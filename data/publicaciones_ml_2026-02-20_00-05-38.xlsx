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icol\Downloads\"/>
    </mc:Choice>
  </mc:AlternateContent>
  <bookViews>
    <workbookView xWindow="0" yWindow="0" windowWidth="23040" windowHeight="9072"/>
  </bookViews>
  <sheets>
    <sheet name="Ayuda" sheetId="1" r:id="rId1"/>
    <sheet name="hidden" sheetId="2" state="veryHidden" r:id="rId2"/>
    <sheet name="Publicaciones" sheetId="3" r:id="rId3"/>
  </sheets>
  <calcPr calcId="162913"/>
</workbook>
</file>

<file path=xl/calcChain.xml><?xml version="1.0" encoding="utf-8"?>
<calcChain xmlns="http://schemas.openxmlformats.org/spreadsheetml/2006/main">
  <c r="O896" i="3" l="1"/>
  <c r="M896" i="3"/>
  <c r="L896" i="3"/>
  <c r="K896" i="3"/>
  <c r="J896" i="3"/>
  <c r="I896" i="3"/>
  <c r="E896" i="3"/>
  <c r="O895" i="3"/>
  <c r="M895" i="3"/>
  <c r="L895" i="3"/>
  <c r="K895" i="3"/>
  <c r="J895" i="3"/>
  <c r="I895" i="3"/>
  <c r="E895" i="3"/>
  <c r="O881" i="3"/>
  <c r="M881" i="3"/>
  <c r="L881" i="3"/>
  <c r="K881" i="3"/>
  <c r="J881" i="3"/>
  <c r="I881" i="3"/>
  <c r="E881" i="3"/>
  <c r="O880" i="3"/>
  <c r="M880" i="3"/>
  <c r="L880" i="3"/>
  <c r="K880" i="3"/>
  <c r="J880" i="3"/>
  <c r="I880" i="3"/>
  <c r="E880" i="3"/>
  <c r="O840" i="3"/>
  <c r="M840" i="3"/>
  <c r="L840" i="3"/>
  <c r="K840" i="3"/>
  <c r="J840" i="3"/>
  <c r="I840" i="3"/>
  <c r="E840" i="3"/>
  <c r="O839" i="3"/>
  <c r="M839" i="3"/>
  <c r="L839" i="3"/>
  <c r="K839" i="3"/>
  <c r="J839" i="3"/>
  <c r="I839" i="3"/>
  <c r="E839" i="3"/>
  <c r="O837" i="3"/>
  <c r="M837" i="3"/>
  <c r="L837" i="3"/>
  <c r="K837" i="3"/>
  <c r="J837" i="3"/>
  <c r="I837" i="3"/>
  <c r="E837" i="3"/>
  <c r="O836" i="3"/>
  <c r="M836" i="3"/>
  <c r="L836" i="3"/>
  <c r="K836" i="3"/>
  <c r="J836" i="3"/>
  <c r="I836" i="3"/>
  <c r="E836" i="3"/>
  <c r="O834" i="3"/>
  <c r="M834" i="3"/>
  <c r="L834" i="3"/>
  <c r="K834" i="3"/>
  <c r="J834" i="3"/>
  <c r="I834" i="3"/>
  <c r="E834" i="3"/>
  <c r="O833" i="3"/>
  <c r="M833" i="3"/>
  <c r="L833" i="3"/>
  <c r="K833" i="3"/>
  <c r="J833" i="3"/>
  <c r="I833" i="3"/>
  <c r="E833" i="3"/>
  <c r="O824" i="3"/>
  <c r="M824" i="3"/>
  <c r="L824" i="3"/>
  <c r="K824" i="3"/>
  <c r="J824" i="3"/>
  <c r="I824" i="3"/>
  <c r="E824" i="3"/>
  <c r="O823" i="3"/>
  <c r="M823" i="3"/>
  <c r="L823" i="3"/>
  <c r="K823" i="3"/>
  <c r="J823" i="3"/>
  <c r="I823" i="3"/>
  <c r="E823" i="3"/>
  <c r="O818" i="3"/>
  <c r="M818" i="3"/>
  <c r="L818" i="3"/>
  <c r="K818" i="3"/>
  <c r="J818" i="3"/>
  <c r="I818" i="3"/>
  <c r="E818" i="3"/>
  <c r="O817" i="3"/>
  <c r="M817" i="3"/>
  <c r="L817" i="3"/>
  <c r="K817" i="3"/>
  <c r="J817" i="3"/>
  <c r="I817" i="3"/>
  <c r="E817" i="3"/>
  <c r="O813" i="3"/>
  <c r="M813" i="3"/>
  <c r="L813" i="3"/>
  <c r="K813" i="3"/>
  <c r="J813" i="3"/>
  <c r="I813" i="3"/>
  <c r="E813" i="3"/>
  <c r="O812" i="3"/>
  <c r="M812" i="3"/>
  <c r="L812" i="3"/>
  <c r="K812" i="3"/>
  <c r="J812" i="3"/>
  <c r="I812" i="3"/>
  <c r="E812" i="3"/>
  <c r="O811" i="3"/>
  <c r="M811" i="3"/>
  <c r="L811" i="3"/>
  <c r="K811" i="3"/>
  <c r="J811" i="3"/>
  <c r="I811" i="3"/>
  <c r="E811" i="3"/>
  <c r="O801" i="3"/>
  <c r="M801" i="3"/>
  <c r="L801" i="3"/>
  <c r="K801" i="3"/>
  <c r="J801" i="3"/>
  <c r="I801" i="3"/>
  <c r="E801" i="3"/>
  <c r="O800" i="3"/>
  <c r="M800" i="3"/>
  <c r="L800" i="3"/>
  <c r="K800" i="3"/>
  <c r="J800" i="3"/>
  <c r="I800" i="3"/>
  <c r="E800" i="3"/>
  <c r="O799" i="3"/>
  <c r="M799" i="3"/>
  <c r="L799" i="3"/>
  <c r="K799" i="3"/>
  <c r="J799" i="3"/>
  <c r="I799" i="3"/>
  <c r="E799" i="3"/>
  <c r="O794" i="3"/>
  <c r="M794" i="3"/>
  <c r="L794" i="3"/>
  <c r="K794" i="3"/>
  <c r="J794" i="3"/>
  <c r="I794" i="3"/>
  <c r="E794" i="3"/>
  <c r="O793" i="3"/>
  <c r="M793" i="3"/>
  <c r="L793" i="3"/>
  <c r="K793" i="3"/>
  <c r="J793" i="3"/>
  <c r="I793" i="3"/>
  <c r="E793" i="3"/>
  <c r="O789" i="3"/>
  <c r="M789" i="3"/>
  <c r="L789" i="3"/>
  <c r="K789" i="3"/>
  <c r="J789" i="3"/>
  <c r="I789" i="3"/>
  <c r="E789" i="3"/>
  <c r="O788" i="3"/>
  <c r="M788" i="3"/>
  <c r="L788" i="3"/>
  <c r="K788" i="3"/>
  <c r="J788" i="3"/>
  <c r="I788" i="3"/>
  <c r="E788" i="3"/>
  <c r="O782" i="3"/>
  <c r="M782" i="3"/>
  <c r="L782" i="3"/>
  <c r="K782" i="3"/>
  <c r="J782" i="3"/>
  <c r="I782" i="3"/>
  <c r="E782" i="3"/>
  <c r="O781" i="3"/>
  <c r="M781" i="3"/>
  <c r="L781" i="3"/>
  <c r="K781" i="3"/>
  <c r="J781" i="3"/>
  <c r="I781" i="3"/>
  <c r="E781" i="3"/>
  <c r="O778" i="3"/>
  <c r="M778" i="3"/>
  <c r="L778" i="3"/>
  <c r="K778" i="3"/>
  <c r="J778" i="3"/>
  <c r="I778" i="3"/>
  <c r="E778" i="3"/>
  <c r="O777" i="3"/>
  <c r="M777" i="3"/>
  <c r="L777" i="3"/>
  <c r="K777" i="3"/>
  <c r="J777" i="3"/>
  <c r="I777" i="3"/>
  <c r="E777" i="3"/>
  <c r="O762" i="3"/>
  <c r="M762" i="3"/>
  <c r="L762" i="3"/>
  <c r="K762" i="3"/>
  <c r="J762" i="3"/>
  <c r="I762" i="3"/>
  <c r="E762" i="3"/>
  <c r="O761" i="3"/>
  <c r="M761" i="3"/>
  <c r="L761" i="3"/>
  <c r="K761" i="3"/>
  <c r="J761" i="3"/>
  <c r="I761" i="3"/>
  <c r="E761" i="3"/>
  <c r="O759" i="3"/>
  <c r="M759" i="3"/>
  <c r="L759" i="3"/>
  <c r="K759" i="3"/>
  <c r="J759" i="3"/>
  <c r="I759" i="3"/>
  <c r="E759" i="3"/>
  <c r="O758" i="3"/>
  <c r="M758" i="3"/>
  <c r="L758" i="3"/>
  <c r="K758" i="3"/>
  <c r="J758" i="3"/>
  <c r="I758" i="3"/>
  <c r="E758" i="3"/>
  <c r="O757" i="3"/>
  <c r="M757" i="3"/>
  <c r="L757" i="3"/>
  <c r="K757" i="3"/>
  <c r="J757" i="3"/>
  <c r="I757" i="3"/>
  <c r="E757" i="3"/>
  <c r="O755" i="3"/>
  <c r="M755" i="3"/>
  <c r="L755" i="3"/>
  <c r="K755" i="3"/>
  <c r="J755" i="3"/>
  <c r="I755" i="3"/>
  <c r="E755" i="3"/>
  <c r="O754" i="3"/>
  <c r="M754" i="3"/>
  <c r="L754" i="3"/>
  <c r="K754" i="3"/>
  <c r="J754" i="3"/>
  <c r="I754" i="3"/>
  <c r="E754" i="3"/>
  <c r="O752" i="3"/>
  <c r="M752" i="3"/>
  <c r="L752" i="3"/>
  <c r="K752" i="3"/>
  <c r="J752" i="3"/>
  <c r="I752" i="3"/>
  <c r="E752" i="3"/>
  <c r="O751" i="3"/>
  <c r="M751" i="3"/>
  <c r="L751" i="3"/>
  <c r="K751" i="3"/>
  <c r="J751" i="3"/>
  <c r="I751" i="3"/>
  <c r="E751" i="3"/>
  <c r="O748" i="3"/>
  <c r="M748" i="3"/>
  <c r="L748" i="3"/>
  <c r="K748" i="3"/>
  <c r="J748" i="3"/>
  <c r="I748" i="3"/>
  <c r="E748" i="3"/>
  <c r="O747" i="3"/>
  <c r="M747" i="3"/>
  <c r="L747" i="3"/>
  <c r="K747" i="3"/>
  <c r="J747" i="3"/>
  <c r="I747" i="3"/>
  <c r="E747" i="3"/>
  <c r="O745" i="3"/>
  <c r="M745" i="3"/>
  <c r="L745" i="3"/>
  <c r="K745" i="3"/>
  <c r="J745" i="3"/>
  <c r="I745" i="3"/>
  <c r="E745" i="3"/>
  <c r="O744" i="3"/>
  <c r="M744" i="3"/>
  <c r="L744" i="3"/>
  <c r="K744" i="3"/>
  <c r="J744" i="3"/>
  <c r="I744" i="3"/>
  <c r="E744" i="3"/>
  <c r="O743" i="3"/>
  <c r="M743" i="3"/>
  <c r="L743" i="3"/>
  <c r="K743" i="3"/>
  <c r="J743" i="3"/>
  <c r="I743" i="3"/>
  <c r="E743" i="3"/>
  <c r="O736" i="3"/>
  <c r="M736" i="3"/>
  <c r="L736" i="3"/>
  <c r="K736" i="3"/>
  <c r="J736" i="3"/>
  <c r="I736" i="3"/>
  <c r="E736" i="3"/>
  <c r="O735" i="3"/>
  <c r="M735" i="3"/>
  <c r="L735" i="3"/>
  <c r="K735" i="3"/>
  <c r="J735" i="3"/>
  <c r="I735" i="3"/>
  <c r="E735" i="3"/>
  <c r="O725" i="3"/>
  <c r="M725" i="3"/>
  <c r="L725" i="3"/>
  <c r="K725" i="3"/>
  <c r="J725" i="3"/>
  <c r="I725" i="3"/>
  <c r="E725" i="3"/>
  <c r="O724" i="3"/>
  <c r="M724" i="3"/>
  <c r="L724" i="3"/>
  <c r="K724" i="3"/>
  <c r="J724" i="3"/>
  <c r="I724" i="3"/>
  <c r="E724" i="3"/>
  <c r="O719" i="3"/>
  <c r="M719" i="3"/>
  <c r="L719" i="3"/>
  <c r="K719" i="3"/>
  <c r="J719" i="3"/>
  <c r="I719" i="3"/>
  <c r="E719" i="3"/>
  <c r="O718" i="3"/>
  <c r="M718" i="3"/>
  <c r="L718" i="3"/>
  <c r="K718" i="3"/>
  <c r="J718" i="3"/>
  <c r="I718" i="3"/>
  <c r="E718" i="3"/>
  <c r="O716" i="3"/>
  <c r="M716" i="3"/>
  <c r="L716" i="3"/>
  <c r="K716" i="3"/>
  <c r="J716" i="3"/>
  <c r="I716" i="3"/>
  <c r="E716" i="3"/>
  <c r="O715" i="3"/>
  <c r="M715" i="3"/>
  <c r="L715" i="3"/>
  <c r="K715" i="3"/>
  <c r="J715" i="3"/>
  <c r="I715" i="3"/>
  <c r="E715" i="3"/>
  <c r="O713" i="3"/>
  <c r="M713" i="3"/>
  <c r="L713" i="3"/>
  <c r="K713" i="3"/>
  <c r="J713" i="3"/>
  <c r="I713" i="3"/>
  <c r="E713" i="3"/>
  <c r="O712" i="3"/>
  <c r="M712" i="3"/>
  <c r="L712" i="3"/>
  <c r="K712" i="3"/>
  <c r="J712" i="3"/>
  <c r="I712" i="3"/>
  <c r="E712" i="3"/>
  <c r="O705" i="3"/>
  <c r="M705" i="3"/>
  <c r="L705" i="3"/>
  <c r="K705" i="3"/>
  <c r="J705" i="3"/>
  <c r="I705" i="3"/>
  <c r="E705" i="3"/>
  <c r="O704" i="3"/>
  <c r="M704" i="3"/>
  <c r="L704" i="3"/>
  <c r="K704" i="3"/>
  <c r="J704" i="3"/>
  <c r="I704" i="3"/>
  <c r="E704" i="3"/>
  <c r="O703" i="3"/>
  <c r="M703" i="3"/>
  <c r="L703" i="3"/>
  <c r="K703" i="3"/>
  <c r="J703" i="3"/>
  <c r="I703" i="3"/>
  <c r="E703" i="3"/>
  <c r="O698" i="3"/>
  <c r="M698" i="3"/>
  <c r="L698" i="3"/>
  <c r="K698" i="3"/>
  <c r="J698" i="3"/>
  <c r="I698" i="3"/>
  <c r="E698" i="3"/>
  <c r="O697" i="3"/>
  <c r="M697" i="3"/>
  <c r="L697" i="3"/>
  <c r="K697" i="3"/>
  <c r="J697" i="3"/>
  <c r="I697" i="3"/>
  <c r="E697" i="3"/>
  <c r="O696" i="3"/>
  <c r="M696" i="3"/>
  <c r="L696" i="3"/>
  <c r="K696" i="3"/>
  <c r="J696" i="3"/>
  <c r="I696" i="3"/>
  <c r="E696" i="3"/>
  <c r="O694" i="3"/>
  <c r="M694" i="3"/>
  <c r="L694" i="3"/>
  <c r="K694" i="3"/>
  <c r="J694" i="3"/>
  <c r="I694" i="3"/>
  <c r="E694" i="3"/>
  <c r="O693" i="3"/>
  <c r="M693" i="3"/>
  <c r="L693" i="3"/>
  <c r="K693" i="3"/>
  <c r="J693" i="3"/>
  <c r="I693" i="3"/>
  <c r="E693" i="3"/>
  <c r="O689" i="3"/>
  <c r="M689" i="3"/>
  <c r="L689" i="3"/>
  <c r="K689" i="3"/>
  <c r="J689" i="3"/>
  <c r="I689" i="3"/>
  <c r="E689" i="3"/>
  <c r="O688" i="3"/>
  <c r="M688" i="3"/>
  <c r="L688" i="3"/>
  <c r="K688" i="3"/>
  <c r="J688" i="3"/>
  <c r="I688" i="3"/>
  <c r="E688" i="3"/>
  <c r="O685" i="3"/>
  <c r="M685" i="3"/>
  <c r="L685" i="3"/>
  <c r="K685" i="3"/>
  <c r="J685" i="3"/>
  <c r="I685" i="3"/>
  <c r="E685" i="3"/>
  <c r="O684" i="3"/>
  <c r="M684" i="3"/>
  <c r="L684" i="3"/>
  <c r="K684" i="3"/>
  <c r="J684" i="3"/>
  <c r="I684" i="3"/>
  <c r="E684" i="3"/>
  <c r="O683" i="3"/>
  <c r="M683" i="3"/>
  <c r="L683" i="3"/>
  <c r="K683" i="3"/>
  <c r="J683" i="3"/>
  <c r="I683" i="3"/>
  <c r="E683" i="3"/>
  <c r="O682" i="3"/>
  <c r="M682" i="3"/>
  <c r="L682" i="3"/>
  <c r="K682" i="3"/>
  <c r="J682" i="3"/>
  <c r="I682" i="3"/>
  <c r="E682" i="3"/>
  <c r="O681" i="3"/>
  <c r="M681" i="3"/>
  <c r="L681" i="3"/>
  <c r="K681" i="3"/>
  <c r="J681" i="3"/>
  <c r="I681" i="3"/>
  <c r="E681" i="3"/>
  <c r="O678" i="3"/>
  <c r="M678" i="3"/>
  <c r="L678" i="3"/>
  <c r="K678" i="3"/>
  <c r="J678" i="3"/>
  <c r="I678" i="3"/>
  <c r="E678" i="3"/>
  <c r="O677" i="3"/>
  <c r="M677" i="3"/>
  <c r="L677" i="3"/>
  <c r="K677" i="3"/>
  <c r="J677" i="3"/>
  <c r="I677" i="3"/>
  <c r="E677" i="3"/>
  <c r="O674" i="3"/>
  <c r="M674" i="3"/>
  <c r="L674" i="3"/>
  <c r="K674" i="3"/>
  <c r="J674" i="3"/>
  <c r="I674" i="3"/>
  <c r="E674" i="3"/>
  <c r="O673" i="3"/>
  <c r="M673" i="3"/>
  <c r="L673" i="3"/>
  <c r="K673" i="3"/>
  <c r="J673" i="3"/>
  <c r="I673" i="3"/>
  <c r="E673" i="3"/>
  <c r="O672" i="3"/>
  <c r="M672" i="3"/>
  <c r="L672" i="3"/>
  <c r="K672" i="3"/>
  <c r="J672" i="3"/>
  <c r="I672" i="3"/>
  <c r="E672" i="3"/>
  <c r="O671" i="3"/>
  <c r="M671" i="3"/>
  <c r="L671" i="3"/>
  <c r="K671" i="3"/>
  <c r="J671" i="3"/>
  <c r="I671" i="3"/>
  <c r="E671" i="3"/>
  <c r="O667" i="3"/>
  <c r="M667" i="3"/>
  <c r="L667" i="3"/>
  <c r="K667" i="3"/>
  <c r="J667" i="3"/>
  <c r="I667" i="3"/>
  <c r="E667" i="3"/>
  <c r="O666" i="3"/>
  <c r="M666" i="3"/>
  <c r="L666" i="3"/>
  <c r="K666" i="3"/>
  <c r="J666" i="3"/>
  <c r="I666" i="3"/>
  <c r="E666" i="3"/>
  <c r="O665" i="3"/>
  <c r="M665" i="3"/>
  <c r="L665" i="3"/>
  <c r="K665" i="3"/>
  <c r="J665" i="3"/>
  <c r="I665" i="3"/>
  <c r="E665" i="3"/>
  <c r="O663" i="3"/>
  <c r="M663" i="3"/>
  <c r="L663" i="3"/>
  <c r="K663" i="3"/>
  <c r="J663" i="3"/>
  <c r="I663" i="3"/>
  <c r="E663" i="3"/>
  <c r="O662" i="3"/>
  <c r="M662" i="3"/>
  <c r="L662" i="3"/>
  <c r="K662" i="3"/>
  <c r="J662" i="3"/>
  <c r="I662" i="3"/>
  <c r="E662" i="3"/>
  <c r="O661" i="3"/>
  <c r="M661" i="3"/>
  <c r="L661" i="3"/>
  <c r="K661" i="3"/>
  <c r="J661" i="3"/>
  <c r="I661" i="3"/>
  <c r="E661" i="3"/>
  <c r="O660" i="3"/>
  <c r="M660" i="3"/>
  <c r="L660" i="3"/>
  <c r="K660" i="3"/>
  <c r="J660" i="3"/>
  <c r="I660" i="3"/>
  <c r="E660" i="3"/>
  <c r="O656" i="3"/>
  <c r="M656" i="3"/>
  <c r="L656" i="3"/>
  <c r="K656" i="3"/>
  <c r="J656" i="3"/>
  <c r="I656" i="3"/>
  <c r="E656" i="3"/>
  <c r="O655" i="3"/>
  <c r="M655" i="3"/>
  <c r="L655" i="3"/>
  <c r="K655" i="3"/>
  <c r="J655" i="3"/>
  <c r="I655" i="3"/>
  <c r="E655" i="3"/>
  <c r="O654" i="3"/>
  <c r="M654" i="3"/>
  <c r="L654" i="3"/>
  <c r="K654" i="3"/>
  <c r="J654" i="3"/>
  <c r="I654" i="3"/>
  <c r="E654" i="3"/>
  <c r="O653" i="3"/>
  <c r="M653" i="3"/>
  <c r="L653" i="3"/>
  <c r="K653" i="3"/>
  <c r="J653" i="3"/>
  <c r="I653" i="3"/>
  <c r="E653" i="3"/>
  <c r="O651" i="3"/>
  <c r="M651" i="3"/>
  <c r="L651" i="3"/>
  <c r="K651" i="3"/>
  <c r="J651" i="3"/>
  <c r="I651" i="3"/>
  <c r="E651" i="3"/>
  <c r="O650" i="3"/>
  <c r="M650" i="3"/>
  <c r="L650" i="3"/>
  <c r="K650" i="3"/>
  <c r="J650" i="3"/>
  <c r="I650" i="3"/>
  <c r="E650" i="3"/>
  <c r="O648" i="3"/>
  <c r="M648" i="3"/>
  <c r="L648" i="3"/>
  <c r="K648" i="3"/>
  <c r="J648" i="3"/>
  <c r="I648" i="3"/>
  <c r="E648" i="3"/>
  <c r="O647" i="3"/>
  <c r="M647" i="3"/>
  <c r="L647" i="3"/>
  <c r="K647" i="3"/>
  <c r="J647" i="3"/>
  <c r="I647" i="3"/>
  <c r="E647" i="3"/>
  <c r="O646" i="3"/>
  <c r="M646" i="3"/>
  <c r="L646" i="3"/>
  <c r="K646" i="3"/>
  <c r="J646" i="3"/>
  <c r="I646" i="3"/>
  <c r="E646" i="3"/>
  <c r="O643" i="3"/>
  <c r="M643" i="3"/>
  <c r="L643" i="3"/>
  <c r="K643" i="3"/>
  <c r="J643" i="3"/>
  <c r="I643" i="3"/>
  <c r="E643" i="3"/>
  <c r="O642" i="3"/>
  <c r="M642" i="3"/>
  <c r="L642" i="3"/>
  <c r="K642" i="3"/>
  <c r="J642" i="3"/>
  <c r="I642" i="3"/>
  <c r="E642" i="3"/>
  <c r="O640" i="3"/>
  <c r="M640" i="3"/>
  <c r="L640" i="3"/>
  <c r="K640" i="3"/>
  <c r="J640" i="3"/>
  <c r="I640" i="3"/>
  <c r="E640" i="3"/>
  <c r="O639" i="3"/>
  <c r="M639" i="3"/>
  <c r="L639" i="3"/>
  <c r="K639" i="3"/>
  <c r="J639" i="3"/>
  <c r="I639" i="3"/>
  <c r="E639" i="3"/>
  <c r="O638" i="3"/>
  <c r="M638" i="3"/>
  <c r="L638" i="3"/>
  <c r="K638" i="3"/>
  <c r="J638" i="3"/>
  <c r="I638" i="3"/>
  <c r="E638" i="3"/>
  <c r="O637" i="3"/>
  <c r="M637" i="3"/>
  <c r="L637" i="3"/>
  <c r="K637" i="3"/>
  <c r="J637" i="3"/>
  <c r="I637" i="3"/>
  <c r="E637" i="3"/>
  <c r="O632" i="3"/>
  <c r="M632" i="3"/>
  <c r="L632" i="3"/>
  <c r="K632" i="3"/>
  <c r="J632" i="3"/>
  <c r="I632" i="3"/>
  <c r="E632" i="3"/>
  <c r="O631" i="3"/>
  <c r="M631" i="3"/>
  <c r="L631" i="3"/>
  <c r="K631" i="3"/>
  <c r="J631" i="3"/>
  <c r="I631" i="3"/>
  <c r="E631" i="3"/>
  <c r="O630" i="3"/>
  <c r="M630" i="3"/>
  <c r="L630" i="3"/>
  <c r="K630" i="3"/>
  <c r="J630" i="3"/>
  <c r="I630" i="3"/>
  <c r="E630" i="3"/>
  <c r="O624" i="3"/>
  <c r="M624" i="3"/>
  <c r="L624" i="3"/>
  <c r="K624" i="3"/>
  <c r="J624" i="3"/>
  <c r="I624" i="3"/>
  <c r="E624" i="3"/>
  <c r="O623" i="3"/>
  <c r="M623" i="3"/>
  <c r="L623" i="3"/>
  <c r="K623" i="3"/>
  <c r="J623" i="3"/>
  <c r="I623" i="3"/>
  <c r="E623" i="3"/>
  <c r="O619" i="3"/>
  <c r="M619" i="3"/>
  <c r="L619" i="3"/>
  <c r="K619" i="3"/>
  <c r="J619" i="3"/>
  <c r="I619" i="3"/>
  <c r="E619" i="3"/>
  <c r="O618" i="3"/>
  <c r="M618" i="3"/>
  <c r="L618" i="3"/>
  <c r="K618" i="3"/>
  <c r="J618" i="3"/>
  <c r="I618" i="3"/>
  <c r="E618" i="3"/>
  <c r="O617" i="3"/>
  <c r="M617" i="3"/>
  <c r="L617" i="3"/>
  <c r="K617" i="3"/>
  <c r="J617" i="3"/>
  <c r="I617" i="3"/>
  <c r="E617" i="3"/>
  <c r="O614" i="3"/>
  <c r="M614" i="3"/>
  <c r="L614" i="3"/>
  <c r="K614" i="3"/>
  <c r="J614" i="3"/>
  <c r="I614" i="3"/>
  <c r="E614" i="3"/>
  <c r="O613" i="3"/>
  <c r="M613" i="3"/>
  <c r="L613" i="3"/>
  <c r="K613" i="3"/>
  <c r="J613" i="3"/>
  <c r="I613" i="3"/>
  <c r="E613" i="3"/>
  <c r="O611" i="3"/>
  <c r="M611" i="3"/>
  <c r="L611" i="3"/>
  <c r="K611" i="3"/>
  <c r="J611" i="3"/>
  <c r="I611" i="3"/>
  <c r="E611" i="3"/>
  <c r="O610" i="3"/>
  <c r="M610" i="3"/>
  <c r="L610" i="3"/>
  <c r="K610" i="3"/>
  <c r="J610" i="3"/>
  <c r="I610" i="3"/>
  <c r="E610" i="3"/>
  <c r="O609" i="3"/>
  <c r="M609" i="3"/>
  <c r="L609" i="3"/>
  <c r="K609" i="3"/>
  <c r="J609" i="3"/>
  <c r="I609" i="3"/>
  <c r="E609" i="3"/>
  <c r="O608" i="3"/>
  <c r="M608" i="3"/>
  <c r="L608" i="3"/>
  <c r="K608" i="3"/>
  <c r="J608" i="3"/>
  <c r="I608" i="3"/>
  <c r="E608" i="3"/>
  <c r="O606" i="3"/>
  <c r="M606" i="3"/>
  <c r="L606" i="3"/>
  <c r="K606" i="3"/>
  <c r="J606" i="3"/>
  <c r="I606" i="3"/>
  <c r="E606" i="3"/>
  <c r="O605" i="3"/>
  <c r="M605" i="3"/>
  <c r="L605" i="3"/>
  <c r="K605" i="3"/>
  <c r="J605" i="3"/>
  <c r="I605" i="3"/>
  <c r="E605" i="3"/>
  <c r="O604" i="3"/>
  <c r="M604" i="3"/>
  <c r="L604" i="3"/>
  <c r="K604" i="3"/>
  <c r="J604" i="3"/>
  <c r="I604" i="3"/>
  <c r="E604" i="3"/>
  <c r="O601" i="3"/>
  <c r="M601" i="3"/>
  <c r="L601" i="3"/>
  <c r="K601" i="3"/>
  <c r="J601" i="3"/>
  <c r="I601" i="3"/>
  <c r="E601" i="3"/>
  <c r="O600" i="3"/>
  <c r="M600" i="3"/>
  <c r="L600" i="3"/>
  <c r="K600" i="3"/>
  <c r="J600" i="3"/>
  <c r="I600" i="3"/>
  <c r="E600" i="3"/>
  <c r="O599" i="3"/>
  <c r="M599" i="3"/>
  <c r="L599" i="3"/>
  <c r="K599" i="3"/>
  <c r="J599" i="3"/>
  <c r="I599" i="3"/>
  <c r="E599" i="3"/>
  <c r="O598" i="3"/>
  <c r="M598" i="3"/>
  <c r="L598" i="3"/>
  <c r="K598" i="3"/>
  <c r="J598" i="3"/>
  <c r="I598" i="3"/>
  <c r="E598" i="3"/>
  <c r="O592" i="3"/>
  <c r="M592" i="3"/>
  <c r="L592" i="3"/>
  <c r="K592" i="3"/>
  <c r="J592" i="3"/>
  <c r="I592" i="3"/>
  <c r="E592" i="3"/>
  <c r="O591" i="3"/>
  <c r="M591" i="3"/>
  <c r="L591" i="3"/>
  <c r="K591" i="3"/>
  <c r="J591" i="3"/>
  <c r="I591" i="3"/>
  <c r="E591" i="3"/>
  <c r="O590" i="3"/>
  <c r="M590" i="3"/>
  <c r="L590" i="3"/>
  <c r="K590" i="3"/>
  <c r="J590" i="3"/>
  <c r="I590" i="3"/>
  <c r="E590" i="3"/>
  <c r="O589" i="3"/>
  <c r="M589" i="3"/>
  <c r="L589" i="3"/>
  <c r="K589" i="3"/>
  <c r="J589" i="3"/>
  <c r="I589" i="3"/>
  <c r="E589" i="3"/>
  <c r="O584" i="3"/>
  <c r="M584" i="3"/>
  <c r="L584" i="3"/>
  <c r="K584" i="3"/>
  <c r="J584" i="3"/>
  <c r="I584" i="3"/>
  <c r="E584" i="3"/>
  <c r="O583" i="3"/>
  <c r="M583" i="3"/>
  <c r="L583" i="3"/>
  <c r="K583" i="3"/>
  <c r="J583" i="3"/>
  <c r="I583" i="3"/>
  <c r="E583" i="3"/>
  <c r="O582" i="3"/>
  <c r="M582" i="3"/>
  <c r="L582" i="3"/>
  <c r="K582" i="3"/>
  <c r="J582" i="3"/>
  <c r="I582" i="3"/>
  <c r="E582" i="3"/>
  <c r="O579" i="3"/>
  <c r="M579" i="3"/>
  <c r="L579" i="3"/>
  <c r="K579" i="3"/>
  <c r="J579" i="3"/>
  <c r="I579" i="3"/>
  <c r="E579" i="3"/>
  <c r="O578" i="3"/>
  <c r="M578" i="3"/>
  <c r="L578" i="3"/>
  <c r="K578" i="3"/>
  <c r="J578" i="3"/>
  <c r="I578" i="3"/>
  <c r="E578" i="3"/>
  <c r="O577" i="3"/>
  <c r="M577" i="3"/>
  <c r="L577" i="3"/>
  <c r="K577" i="3"/>
  <c r="J577" i="3"/>
  <c r="I577" i="3"/>
  <c r="E577" i="3"/>
  <c r="O547" i="3"/>
  <c r="M547" i="3"/>
  <c r="L547" i="3"/>
  <c r="K547" i="3"/>
  <c r="J547" i="3"/>
  <c r="I547" i="3"/>
  <c r="E547" i="3"/>
  <c r="O546" i="3"/>
  <c r="M546" i="3"/>
  <c r="L546" i="3"/>
  <c r="K546" i="3"/>
  <c r="J546" i="3"/>
  <c r="I546" i="3"/>
  <c r="E546" i="3"/>
  <c r="O521" i="3"/>
  <c r="M521" i="3"/>
  <c r="L521" i="3"/>
  <c r="K521" i="3"/>
  <c r="J521" i="3"/>
  <c r="I521" i="3"/>
  <c r="E521" i="3"/>
  <c r="O520" i="3"/>
  <c r="M520" i="3"/>
  <c r="L520" i="3"/>
  <c r="K520" i="3"/>
  <c r="J520" i="3"/>
  <c r="I520" i="3"/>
  <c r="E520" i="3"/>
  <c r="O519" i="3"/>
  <c r="M519" i="3"/>
  <c r="L519" i="3"/>
  <c r="K519" i="3"/>
  <c r="J519" i="3"/>
  <c r="I519" i="3"/>
  <c r="E519" i="3"/>
  <c r="O506" i="3"/>
  <c r="M506" i="3"/>
  <c r="L506" i="3"/>
  <c r="K506" i="3"/>
  <c r="J506" i="3"/>
  <c r="I506" i="3"/>
  <c r="E506" i="3"/>
  <c r="O505" i="3"/>
  <c r="M505" i="3"/>
  <c r="L505" i="3"/>
  <c r="K505" i="3"/>
  <c r="J505" i="3"/>
  <c r="I505" i="3"/>
  <c r="E505" i="3"/>
  <c r="O483" i="3"/>
  <c r="M483" i="3"/>
  <c r="L483" i="3"/>
  <c r="K483" i="3"/>
  <c r="J483" i="3"/>
  <c r="I483" i="3"/>
  <c r="E483" i="3"/>
  <c r="O482" i="3"/>
  <c r="M482" i="3"/>
  <c r="L482" i="3"/>
  <c r="K482" i="3"/>
  <c r="J482" i="3"/>
  <c r="I482" i="3"/>
  <c r="E482" i="3"/>
  <c r="O476" i="3"/>
  <c r="M476" i="3"/>
  <c r="L476" i="3"/>
  <c r="K476" i="3"/>
  <c r="J476" i="3"/>
  <c r="I476" i="3"/>
  <c r="E476" i="3"/>
  <c r="O475" i="3"/>
  <c r="M475" i="3"/>
  <c r="L475" i="3"/>
  <c r="K475" i="3"/>
  <c r="J475" i="3"/>
  <c r="I475" i="3"/>
  <c r="E475" i="3"/>
  <c r="O474" i="3"/>
  <c r="M474" i="3"/>
  <c r="L474" i="3"/>
  <c r="K474" i="3"/>
  <c r="J474" i="3"/>
  <c r="I474" i="3"/>
  <c r="E474" i="3"/>
  <c r="O469" i="3"/>
  <c r="M469" i="3"/>
  <c r="L469" i="3"/>
  <c r="K469" i="3"/>
  <c r="J469" i="3"/>
  <c r="I469" i="3"/>
  <c r="E469" i="3"/>
  <c r="O468" i="3"/>
  <c r="M468" i="3"/>
  <c r="L468" i="3"/>
  <c r="K468" i="3"/>
  <c r="J468" i="3"/>
  <c r="I468" i="3"/>
  <c r="E468" i="3"/>
  <c r="O442" i="3"/>
  <c r="M442" i="3"/>
  <c r="L442" i="3"/>
  <c r="K442" i="3"/>
  <c r="J442" i="3"/>
  <c r="I442" i="3"/>
  <c r="E442" i="3"/>
  <c r="O441" i="3"/>
  <c r="M441" i="3"/>
  <c r="L441" i="3"/>
  <c r="K441" i="3"/>
  <c r="J441" i="3"/>
  <c r="I441" i="3"/>
  <c r="E441" i="3"/>
  <c r="O439" i="3"/>
  <c r="M439" i="3"/>
  <c r="L439" i="3"/>
  <c r="K439" i="3"/>
  <c r="J439" i="3"/>
  <c r="I439" i="3"/>
  <c r="E439" i="3"/>
  <c r="O438" i="3"/>
  <c r="M438" i="3"/>
  <c r="L438" i="3"/>
  <c r="K438" i="3"/>
  <c r="J438" i="3"/>
  <c r="I438" i="3"/>
  <c r="E438" i="3"/>
  <c r="O426" i="3"/>
  <c r="M426" i="3"/>
  <c r="L426" i="3"/>
  <c r="K426" i="3"/>
  <c r="J426" i="3"/>
  <c r="I426" i="3"/>
  <c r="E426" i="3"/>
  <c r="O425" i="3"/>
  <c r="M425" i="3"/>
  <c r="L425" i="3"/>
  <c r="K425" i="3"/>
  <c r="J425" i="3"/>
  <c r="I425" i="3"/>
  <c r="E425" i="3"/>
  <c r="O423" i="3"/>
  <c r="M423" i="3"/>
  <c r="L423" i="3"/>
  <c r="K423" i="3"/>
  <c r="J423" i="3"/>
  <c r="I423" i="3"/>
  <c r="E423" i="3"/>
  <c r="O422" i="3"/>
  <c r="M422" i="3"/>
  <c r="L422" i="3"/>
  <c r="K422" i="3"/>
  <c r="J422" i="3"/>
  <c r="I422" i="3"/>
  <c r="E422" i="3"/>
  <c r="O411" i="3"/>
  <c r="M411" i="3"/>
  <c r="L411" i="3"/>
  <c r="K411" i="3"/>
  <c r="J411" i="3"/>
  <c r="I411" i="3"/>
  <c r="E411" i="3"/>
  <c r="O410" i="3"/>
  <c r="M410" i="3"/>
  <c r="L410" i="3"/>
  <c r="K410" i="3"/>
  <c r="J410" i="3"/>
  <c r="I410" i="3"/>
  <c r="E410" i="3"/>
  <c r="O405" i="3"/>
  <c r="M405" i="3"/>
  <c r="L405" i="3"/>
  <c r="K405" i="3"/>
  <c r="J405" i="3"/>
  <c r="I405" i="3"/>
  <c r="E405" i="3"/>
  <c r="O404" i="3"/>
  <c r="M404" i="3"/>
  <c r="L404" i="3"/>
  <c r="K404" i="3"/>
  <c r="J404" i="3"/>
  <c r="I404" i="3"/>
  <c r="E404" i="3"/>
  <c r="O400" i="3"/>
  <c r="M400" i="3"/>
  <c r="L400" i="3"/>
  <c r="K400" i="3"/>
  <c r="J400" i="3"/>
  <c r="I400" i="3"/>
  <c r="E400" i="3"/>
  <c r="O399" i="3"/>
  <c r="M399" i="3"/>
  <c r="L399" i="3"/>
  <c r="K399" i="3"/>
  <c r="J399" i="3"/>
  <c r="I399" i="3"/>
  <c r="E399" i="3"/>
  <c r="O393" i="3"/>
  <c r="M393" i="3"/>
  <c r="L393" i="3"/>
  <c r="K393" i="3"/>
  <c r="J393" i="3"/>
  <c r="I393" i="3"/>
  <c r="E393" i="3"/>
  <c r="O392" i="3"/>
  <c r="M392" i="3"/>
  <c r="L392" i="3"/>
  <c r="K392" i="3"/>
  <c r="J392" i="3"/>
  <c r="I392" i="3"/>
  <c r="E392" i="3"/>
  <c r="O385" i="3"/>
  <c r="M385" i="3"/>
  <c r="L385" i="3"/>
  <c r="K385" i="3"/>
  <c r="J385" i="3"/>
  <c r="I385" i="3"/>
  <c r="E385" i="3"/>
  <c r="O384" i="3"/>
  <c r="M384" i="3"/>
  <c r="L384" i="3"/>
  <c r="K384" i="3"/>
  <c r="J384" i="3"/>
  <c r="I384" i="3"/>
  <c r="E384" i="3"/>
  <c r="O358" i="3"/>
  <c r="M358" i="3"/>
  <c r="L358" i="3"/>
  <c r="K358" i="3"/>
  <c r="J358" i="3"/>
  <c r="I358" i="3"/>
  <c r="E358" i="3"/>
  <c r="O357" i="3"/>
  <c r="M357" i="3"/>
  <c r="L357" i="3"/>
  <c r="K357" i="3"/>
  <c r="J357" i="3"/>
  <c r="I357" i="3"/>
  <c r="E357" i="3"/>
  <c r="O352" i="3"/>
  <c r="M352" i="3"/>
  <c r="L352" i="3"/>
  <c r="K352" i="3"/>
  <c r="J352" i="3"/>
  <c r="I352" i="3"/>
  <c r="E352" i="3"/>
  <c r="O351" i="3"/>
  <c r="M351" i="3"/>
  <c r="L351" i="3"/>
  <c r="K351" i="3"/>
  <c r="J351" i="3"/>
  <c r="I351" i="3"/>
  <c r="E351" i="3"/>
  <c r="O346" i="3"/>
  <c r="M346" i="3"/>
  <c r="L346" i="3"/>
  <c r="K346" i="3"/>
  <c r="J346" i="3"/>
  <c r="I346" i="3"/>
  <c r="E346" i="3"/>
  <c r="O345" i="3"/>
  <c r="M345" i="3"/>
  <c r="L345" i="3"/>
  <c r="K345" i="3"/>
  <c r="J345" i="3"/>
  <c r="I345" i="3"/>
  <c r="E345" i="3"/>
  <c r="O337" i="3"/>
  <c r="M337" i="3"/>
  <c r="L337" i="3"/>
  <c r="K337" i="3"/>
  <c r="J337" i="3"/>
  <c r="I337" i="3"/>
  <c r="E337" i="3"/>
  <c r="O336" i="3"/>
  <c r="M336" i="3"/>
  <c r="L336" i="3"/>
  <c r="K336" i="3"/>
  <c r="J336" i="3"/>
  <c r="I336" i="3"/>
  <c r="E336" i="3"/>
  <c r="O335" i="3"/>
  <c r="M335" i="3"/>
  <c r="L335" i="3"/>
  <c r="K335" i="3"/>
  <c r="J335" i="3"/>
  <c r="I335" i="3"/>
  <c r="E335" i="3"/>
  <c r="O331" i="3"/>
  <c r="M331" i="3"/>
  <c r="L331" i="3"/>
  <c r="K331" i="3"/>
  <c r="J331" i="3"/>
  <c r="I331" i="3"/>
  <c r="E331" i="3"/>
  <c r="O330" i="3"/>
  <c r="M330" i="3"/>
  <c r="L330" i="3"/>
  <c r="K330" i="3"/>
  <c r="J330" i="3"/>
  <c r="I330" i="3"/>
  <c r="E330" i="3"/>
  <c r="O329" i="3"/>
  <c r="M329" i="3"/>
  <c r="L329" i="3"/>
  <c r="K329" i="3"/>
  <c r="J329" i="3"/>
  <c r="I329" i="3"/>
  <c r="E329" i="3"/>
  <c r="O325" i="3"/>
  <c r="M325" i="3"/>
  <c r="L325" i="3"/>
  <c r="K325" i="3"/>
  <c r="J325" i="3"/>
  <c r="I325" i="3"/>
  <c r="E325" i="3"/>
  <c r="O324" i="3"/>
  <c r="M324" i="3"/>
  <c r="L324" i="3"/>
  <c r="K324" i="3"/>
  <c r="J324" i="3"/>
  <c r="I324" i="3"/>
  <c r="E324" i="3"/>
  <c r="O323" i="3"/>
  <c r="M323" i="3"/>
  <c r="L323" i="3"/>
  <c r="K323" i="3"/>
  <c r="J323" i="3"/>
  <c r="I323" i="3"/>
  <c r="E323" i="3"/>
  <c r="O320" i="3"/>
  <c r="M320" i="3"/>
  <c r="L320" i="3"/>
  <c r="K320" i="3"/>
  <c r="J320" i="3"/>
  <c r="I320" i="3"/>
  <c r="E320" i="3"/>
  <c r="O319" i="3"/>
  <c r="M319" i="3"/>
  <c r="L319" i="3"/>
  <c r="K319" i="3"/>
  <c r="J319" i="3"/>
  <c r="I319" i="3"/>
  <c r="E319" i="3"/>
  <c r="O318" i="3"/>
  <c r="M318" i="3"/>
  <c r="L318" i="3"/>
  <c r="K318" i="3"/>
  <c r="J318" i="3"/>
  <c r="I318" i="3"/>
  <c r="E318" i="3"/>
  <c r="O317" i="3"/>
  <c r="M317" i="3"/>
  <c r="L317" i="3"/>
  <c r="K317" i="3"/>
  <c r="J317" i="3"/>
  <c r="I317" i="3"/>
  <c r="E317" i="3"/>
  <c r="O314" i="3"/>
  <c r="M314" i="3"/>
  <c r="L314" i="3"/>
  <c r="K314" i="3"/>
  <c r="J314" i="3"/>
  <c r="I314" i="3"/>
  <c r="E314" i="3"/>
  <c r="O313" i="3"/>
  <c r="M313" i="3"/>
  <c r="L313" i="3"/>
  <c r="K313" i="3"/>
  <c r="J313" i="3"/>
  <c r="I313" i="3"/>
  <c r="E313" i="3"/>
  <c r="O310" i="3"/>
  <c r="M310" i="3"/>
  <c r="L310" i="3"/>
  <c r="K310" i="3"/>
  <c r="J310" i="3"/>
  <c r="I310" i="3"/>
  <c r="E310" i="3"/>
  <c r="O309" i="3"/>
  <c r="M309" i="3"/>
  <c r="L309" i="3"/>
  <c r="K309" i="3"/>
  <c r="J309" i="3"/>
  <c r="I309" i="3"/>
  <c r="E309" i="3"/>
  <c r="O308" i="3"/>
  <c r="M308" i="3"/>
  <c r="L308" i="3"/>
  <c r="K308" i="3"/>
  <c r="J308" i="3"/>
  <c r="I308" i="3"/>
  <c r="E308" i="3"/>
  <c r="O306" i="3"/>
  <c r="M306" i="3"/>
  <c r="L306" i="3"/>
  <c r="K306" i="3"/>
  <c r="J306" i="3"/>
  <c r="I306" i="3"/>
  <c r="E306" i="3"/>
  <c r="O305" i="3"/>
  <c r="M305" i="3"/>
  <c r="L305" i="3"/>
  <c r="K305" i="3"/>
  <c r="J305" i="3"/>
  <c r="I305" i="3"/>
  <c r="E305" i="3"/>
  <c r="O304" i="3"/>
  <c r="M304" i="3"/>
  <c r="L304" i="3"/>
  <c r="K304" i="3"/>
  <c r="J304" i="3"/>
  <c r="I304" i="3"/>
  <c r="E304" i="3"/>
  <c r="O301" i="3"/>
  <c r="M301" i="3"/>
  <c r="L301" i="3"/>
  <c r="K301" i="3"/>
  <c r="J301" i="3"/>
  <c r="I301" i="3"/>
  <c r="E301" i="3"/>
  <c r="O300" i="3"/>
  <c r="M300" i="3"/>
  <c r="L300" i="3"/>
  <c r="K300" i="3"/>
  <c r="J300" i="3"/>
  <c r="I300" i="3"/>
  <c r="E300" i="3"/>
  <c r="O299" i="3"/>
  <c r="M299" i="3"/>
  <c r="L299" i="3"/>
  <c r="K299" i="3"/>
  <c r="J299" i="3"/>
  <c r="I299" i="3"/>
  <c r="E299" i="3"/>
  <c r="O288" i="3"/>
  <c r="M288" i="3"/>
  <c r="L288" i="3"/>
  <c r="K288" i="3"/>
  <c r="J288" i="3"/>
  <c r="I288" i="3"/>
  <c r="E288" i="3"/>
  <c r="O287" i="3"/>
  <c r="M287" i="3"/>
  <c r="L287" i="3"/>
  <c r="K287" i="3"/>
  <c r="J287" i="3"/>
  <c r="I287" i="3"/>
  <c r="E287" i="3"/>
  <c r="O285" i="3"/>
  <c r="M285" i="3"/>
  <c r="L285" i="3"/>
  <c r="K285" i="3"/>
  <c r="J285" i="3"/>
  <c r="I285" i="3"/>
  <c r="E285" i="3"/>
  <c r="O284" i="3"/>
  <c r="M284" i="3"/>
  <c r="L284" i="3"/>
  <c r="K284" i="3"/>
  <c r="J284" i="3"/>
  <c r="I284" i="3"/>
  <c r="E284" i="3"/>
  <c r="O282" i="3"/>
  <c r="M282" i="3"/>
  <c r="L282" i="3"/>
  <c r="K282" i="3"/>
  <c r="J282" i="3"/>
  <c r="I282" i="3"/>
  <c r="E282" i="3"/>
  <c r="O281" i="3"/>
  <c r="M281" i="3"/>
  <c r="L281" i="3"/>
  <c r="K281" i="3"/>
  <c r="J281" i="3"/>
  <c r="I281" i="3"/>
  <c r="E281" i="3"/>
  <c r="O280" i="3"/>
  <c r="M280" i="3"/>
  <c r="L280" i="3"/>
  <c r="K280" i="3"/>
  <c r="J280" i="3"/>
  <c r="I280" i="3"/>
  <c r="E280" i="3"/>
  <c r="O278" i="3"/>
  <c r="M278" i="3"/>
  <c r="L278" i="3"/>
  <c r="K278" i="3"/>
  <c r="J278" i="3"/>
  <c r="I278" i="3"/>
  <c r="E278" i="3"/>
  <c r="O277" i="3"/>
  <c r="M277" i="3"/>
  <c r="L277" i="3"/>
  <c r="K277" i="3"/>
  <c r="J277" i="3"/>
  <c r="I277" i="3"/>
  <c r="E277" i="3"/>
  <c r="O274" i="3"/>
  <c r="M274" i="3"/>
  <c r="L274" i="3"/>
  <c r="K274" i="3"/>
  <c r="J274" i="3"/>
  <c r="I274" i="3"/>
  <c r="E274" i="3"/>
  <c r="O273" i="3"/>
  <c r="M273" i="3"/>
  <c r="L273" i="3"/>
  <c r="K273" i="3"/>
  <c r="J273" i="3"/>
  <c r="I273" i="3"/>
  <c r="E273" i="3"/>
  <c r="O272" i="3"/>
  <c r="M272" i="3"/>
  <c r="L272" i="3"/>
  <c r="K272" i="3"/>
  <c r="J272" i="3"/>
  <c r="I272" i="3"/>
  <c r="E272" i="3"/>
  <c r="O271" i="3"/>
  <c r="M271" i="3"/>
  <c r="L271" i="3"/>
  <c r="K271" i="3"/>
  <c r="J271" i="3"/>
  <c r="I271" i="3"/>
  <c r="E271" i="3"/>
  <c r="O270" i="3"/>
  <c r="M270" i="3"/>
  <c r="L270" i="3"/>
  <c r="K270" i="3"/>
  <c r="J270" i="3"/>
  <c r="I270" i="3"/>
  <c r="E270" i="3"/>
  <c r="O267" i="3"/>
  <c r="M267" i="3"/>
  <c r="L267" i="3"/>
  <c r="K267" i="3"/>
  <c r="J267" i="3"/>
  <c r="I267" i="3"/>
  <c r="E267" i="3"/>
  <c r="O266" i="3"/>
  <c r="M266" i="3"/>
  <c r="L266" i="3"/>
  <c r="K266" i="3"/>
  <c r="J266" i="3"/>
  <c r="I266" i="3"/>
  <c r="E266" i="3"/>
  <c r="O265" i="3"/>
  <c r="M265" i="3"/>
  <c r="L265" i="3"/>
  <c r="K265" i="3"/>
  <c r="J265" i="3"/>
  <c r="I265" i="3"/>
  <c r="E265" i="3"/>
  <c r="O263" i="3"/>
  <c r="M263" i="3"/>
  <c r="L263" i="3"/>
  <c r="K263" i="3"/>
  <c r="J263" i="3"/>
  <c r="I263" i="3"/>
  <c r="E263" i="3"/>
  <c r="O262" i="3"/>
  <c r="M262" i="3"/>
  <c r="L262" i="3"/>
  <c r="K262" i="3"/>
  <c r="J262" i="3"/>
  <c r="I262" i="3"/>
  <c r="E262" i="3"/>
  <c r="O261" i="3"/>
  <c r="M261" i="3"/>
  <c r="L261" i="3"/>
  <c r="K261" i="3"/>
  <c r="J261" i="3"/>
  <c r="I261" i="3"/>
  <c r="E261" i="3"/>
  <c r="O260" i="3"/>
  <c r="M260" i="3"/>
  <c r="L260" i="3"/>
  <c r="K260" i="3"/>
  <c r="J260" i="3"/>
  <c r="I260" i="3"/>
  <c r="E260" i="3"/>
  <c r="O252" i="3"/>
  <c r="M252" i="3"/>
  <c r="L252" i="3"/>
  <c r="K252" i="3"/>
  <c r="J252" i="3"/>
  <c r="I252" i="3"/>
  <c r="E252" i="3"/>
  <c r="O251" i="3"/>
  <c r="M251" i="3"/>
  <c r="L251" i="3"/>
  <c r="K251" i="3"/>
  <c r="J251" i="3"/>
  <c r="I251" i="3"/>
  <c r="E251" i="3"/>
  <c r="O249" i="3"/>
  <c r="M249" i="3"/>
  <c r="L249" i="3"/>
  <c r="K249" i="3"/>
  <c r="J249" i="3"/>
  <c r="I249" i="3"/>
  <c r="E249" i="3"/>
  <c r="O248" i="3"/>
  <c r="M248" i="3"/>
  <c r="L248" i="3"/>
  <c r="K248" i="3"/>
  <c r="J248" i="3"/>
  <c r="I248" i="3"/>
  <c r="E248" i="3"/>
  <c r="O246" i="3"/>
  <c r="M246" i="3"/>
  <c r="L246" i="3"/>
  <c r="K246" i="3"/>
  <c r="J246" i="3"/>
  <c r="I246" i="3"/>
  <c r="E246" i="3"/>
  <c r="O245" i="3"/>
  <c r="M245" i="3"/>
  <c r="L245" i="3"/>
  <c r="K245" i="3"/>
  <c r="J245" i="3"/>
  <c r="I245" i="3"/>
  <c r="E245" i="3"/>
  <c r="O243" i="3"/>
  <c r="M243" i="3"/>
  <c r="L243" i="3"/>
  <c r="K243" i="3"/>
  <c r="J243" i="3"/>
  <c r="I243" i="3"/>
  <c r="E243" i="3"/>
  <c r="O242" i="3"/>
  <c r="M242" i="3"/>
  <c r="L242" i="3"/>
  <c r="K242" i="3"/>
  <c r="J242" i="3"/>
  <c r="I242" i="3"/>
  <c r="E242" i="3"/>
  <c r="O241" i="3"/>
  <c r="M241" i="3"/>
  <c r="L241" i="3"/>
  <c r="K241" i="3"/>
  <c r="J241" i="3"/>
  <c r="I241" i="3"/>
  <c r="E241" i="3"/>
  <c r="O238" i="3"/>
  <c r="M238" i="3"/>
  <c r="L238" i="3"/>
  <c r="K238" i="3"/>
  <c r="J238" i="3"/>
  <c r="I238" i="3"/>
  <c r="E238" i="3"/>
  <c r="O237" i="3"/>
  <c r="M237" i="3"/>
  <c r="L237" i="3"/>
  <c r="K237" i="3"/>
  <c r="J237" i="3"/>
  <c r="I237" i="3"/>
  <c r="E237" i="3"/>
  <c r="O236" i="3"/>
  <c r="M236" i="3"/>
  <c r="L236" i="3"/>
  <c r="K236" i="3"/>
  <c r="J236" i="3"/>
  <c r="I236" i="3"/>
  <c r="E236" i="3"/>
  <c r="O232" i="3"/>
  <c r="M232" i="3"/>
  <c r="L232" i="3"/>
  <c r="K232" i="3"/>
  <c r="J232" i="3"/>
  <c r="I232" i="3"/>
  <c r="E232" i="3"/>
  <c r="O231" i="3"/>
  <c r="M231" i="3"/>
  <c r="L231" i="3"/>
  <c r="K231" i="3"/>
  <c r="J231" i="3"/>
  <c r="I231" i="3"/>
  <c r="E231" i="3"/>
  <c r="O230" i="3"/>
  <c r="M230" i="3"/>
  <c r="L230" i="3"/>
  <c r="K230" i="3"/>
  <c r="J230" i="3"/>
  <c r="I230" i="3"/>
  <c r="E230" i="3"/>
  <c r="O229" i="3"/>
  <c r="M229" i="3"/>
  <c r="L229" i="3"/>
  <c r="K229" i="3"/>
  <c r="J229" i="3"/>
  <c r="I229" i="3"/>
  <c r="E229" i="3"/>
  <c r="O227" i="3"/>
  <c r="M227" i="3"/>
  <c r="L227" i="3"/>
  <c r="K227" i="3"/>
  <c r="J227" i="3"/>
  <c r="I227" i="3"/>
  <c r="E227" i="3"/>
  <c r="O226" i="3"/>
  <c r="M226" i="3"/>
  <c r="L226" i="3"/>
  <c r="K226" i="3"/>
  <c r="J226" i="3"/>
  <c r="I226" i="3"/>
  <c r="E226" i="3"/>
  <c r="O224" i="3"/>
  <c r="M224" i="3"/>
  <c r="L224" i="3"/>
  <c r="K224" i="3"/>
  <c r="J224" i="3"/>
  <c r="I224" i="3"/>
  <c r="E224" i="3"/>
  <c r="O223" i="3"/>
  <c r="M223" i="3"/>
  <c r="L223" i="3"/>
  <c r="K223" i="3"/>
  <c r="J223" i="3"/>
  <c r="I223" i="3"/>
  <c r="E223" i="3"/>
  <c r="O222" i="3"/>
  <c r="M222" i="3"/>
  <c r="L222" i="3"/>
  <c r="K222" i="3"/>
  <c r="J222" i="3"/>
  <c r="I222" i="3"/>
  <c r="E222" i="3"/>
  <c r="O220" i="3"/>
  <c r="M220" i="3"/>
  <c r="L220" i="3"/>
  <c r="K220" i="3"/>
  <c r="J220" i="3"/>
  <c r="I220" i="3"/>
  <c r="E220" i="3"/>
  <c r="O219" i="3"/>
  <c r="M219" i="3"/>
  <c r="L219" i="3"/>
  <c r="K219" i="3"/>
  <c r="J219" i="3"/>
  <c r="I219" i="3"/>
  <c r="E219" i="3"/>
  <c r="O217" i="3"/>
  <c r="M217" i="3"/>
  <c r="L217" i="3"/>
  <c r="K217" i="3"/>
  <c r="J217" i="3"/>
  <c r="I217" i="3"/>
  <c r="E217" i="3"/>
  <c r="O216" i="3"/>
  <c r="M216" i="3"/>
  <c r="L216" i="3"/>
  <c r="K216" i="3"/>
  <c r="J216" i="3"/>
  <c r="I216" i="3"/>
  <c r="E216" i="3"/>
  <c r="O214" i="3"/>
  <c r="M214" i="3"/>
  <c r="L214" i="3"/>
  <c r="K214" i="3"/>
  <c r="J214" i="3"/>
  <c r="I214" i="3"/>
  <c r="E214" i="3"/>
  <c r="O213" i="3"/>
  <c r="M213" i="3"/>
  <c r="L213" i="3"/>
  <c r="K213" i="3"/>
  <c r="J213" i="3"/>
  <c r="I213" i="3"/>
  <c r="E213" i="3"/>
  <c r="O210" i="3"/>
  <c r="M210" i="3"/>
  <c r="L210" i="3"/>
  <c r="K210" i="3"/>
  <c r="J210" i="3"/>
  <c r="I210" i="3"/>
  <c r="E210" i="3"/>
  <c r="O209" i="3"/>
  <c r="M209" i="3"/>
  <c r="L209" i="3"/>
  <c r="K209" i="3"/>
  <c r="J209" i="3"/>
  <c r="I209" i="3"/>
  <c r="E209" i="3"/>
  <c r="O206" i="3"/>
  <c r="M206" i="3"/>
  <c r="L206" i="3"/>
  <c r="K206" i="3"/>
  <c r="J206" i="3"/>
  <c r="I206" i="3"/>
  <c r="E206" i="3"/>
  <c r="O205" i="3"/>
  <c r="M205" i="3"/>
  <c r="L205" i="3"/>
  <c r="K205" i="3"/>
  <c r="J205" i="3"/>
  <c r="I205" i="3"/>
  <c r="E205" i="3"/>
  <c r="O199" i="3"/>
  <c r="M199" i="3"/>
  <c r="L199" i="3"/>
  <c r="K199" i="3"/>
  <c r="J199" i="3"/>
  <c r="I199" i="3"/>
  <c r="E199" i="3"/>
  <c r="O198" i="3"/>
  <c r="M198" i="3"/>
  <c r="L198" i="3"/>
  <c r="K198" i="3"/>
  <c r="J198" i="3"/>
  <c r="I198" i="3"/>
  <c r="E198" i="3"/>
  <c r="O194" i="3"/>
  <c r="M194" i="3"/>
  <c r="L194" i="3"/>
  <c r="K194" i="3"/>
  <c r="J194" i="3"/>
  <c r="I194" i="3"/>
  <c r="E194" i="3"/>
  <c r="O193" i="3"/>
  <c r="M193" i="3"/>
  <c r="L193" i="3"/>
  <c r="K193" i="3"/>
  <c r="J193" i="3"/>
  <c r="I193" i="3"/>
  <c r="E193" i="3"/>
  <c r="O188" i="3"/>
  <c r="M188" i="3"/>
  <c r="L188" i="3"/>
  <c r="K188" i="3"/>
  <c r="J188" i="3"/>
  <c r="I188" i="3"/>
  <c r="E188" i="3"/>
  <c r="O187" i="3"/>
  <c r="M187" i="3"/>
  <c r="L187" i="3"/>
  <c r="K187" i="3"/>
  <c r="J187" i="3"/>
  <c r="I187" i="3"/>
  <c r="E187" i="3"/>
  <c r="O184" i="3"/>
  <c r="M184" i="3"/>
  <c r="L184" i="3"/>
  <c r="K184" i="3"/>
  <c r="J184" i="3"/>
  <c r="I184" i="3"/>
  <c r="E184" i="3"/>
  <c r="O183" i="3"/>
  <c r="M183" i="3"/>
  <c r="L183" i="3"/>
  <c r="K183" i="3"/>
  <c r="J183" i="3"/>
  <c r="I183" i="3"/>
  <c r="E183" i="3"/>
  <c r="O182" i="3"/>
  <c r="M182" i="3"/>
  <c r="L182" i="3"/>
  <c r="K182" i="3"/>
  <c r="J182" i="3"/>
  <c r="I182" i="3"/>
  <c r="E182" i="3"/>
  <c r="O180" i="3"/>
  <c r="M180" i="3"/>
  <c r="L180" i="3"/>
  <c r="K180" i="3"/>
  <c r="J180" i="3"/>
  <c r="I180" i="3"/>
  <c r="E180" i="3"/>
  <c r="O179" i="3"/>
  <c r="M179" i="3"/>
  <c r="L179" i="3"/>
  <c r="K179" i="3"/>
  <c r="J179" i="3"/>
  <c r="I179" i="3"/>
  <c r="E179" i="3"/>
  <c r="O178" i="3"/>
  <c r="M178" i="3"/>
  <c r="L178" i="3"/>
  <c r="K178" i="3"/>
  <c r="J178" i="3"/>
  <c r="I178" i="3"/>
  <c r="E178" i="3"/>
  <c r="O172" i="3"/>
  <c r="M172" i="3"/>
  <c r="L172" i="3"/>
  <c r="K172" i="3"/>
  <c r="J172" i="3"/>
  <c r="I172" i="3"/>
  <c r="E172" i="3"/>
  <c r="O171" i="3"/>
  <c r="M171" i="3"/>
  <c r="L171" i="3"/>
  <c r="K171" i="3"/>
  <c r="J171" i="3"/>
  <c r="I171" i="3"/>
  <c r="E171" i="3"/>
  <c r="O168" i="3"/>
  <c r="M168" i="3"/>
  <c r="L168" i="3"/>
  <c r="K168" i="3"/>
  <c r="J168" i="3"/>
  <c r="I168" i="3"/>
  <c r="E168" i="3"/>
  <c r="O167" i="3"/>
  <c r="M167" i="3"/>
  <c r="L167" i="3"/>
  <c r="K167" i="3"/>
  <c r="J167" i="3"/>
  <c r="I167" i="3"/>
  <c r="E167" i="3"/>
  <c r="O164" i="3"/>
  <c r="M164" i="3"/>
  <c r="L164" i="3"/>
  <c r="K164" i="3"/>
  <c r="J164" i="3"/>
  <c r="I164" i="3"/>
  <c r="E164" i="3"/>
  <c r="O163" i="3"/>
  <c r="M163" i="3"/>
  <c r="L163" i="3"/>
  <c r="K163" i="3"/>
  <c r="J163" i="3"/>
  <c r="I163" i="3"/>
  <c r="E163" i="3"/>
  <c r="O160" i="3"/>
  <c r="M160" i="3"/>
  <c r="L160" i="3"/>
  <c r="K160" i="3"/>
  <c r="J160" i="3"/>
  <c r="I160" i="3"/>
  <c r="E160" i="3"/>
  <c r="O159" i="3"/>
  <c r="M159" i="3"/>
  <c r="L159" i="3"/>
  <c r="K159" i="3"/>
  <c r="J159" i="3"/>
  <c r="I159" i="3"/>
  <c r="E159" i="3"/>
  <c r="O156" i="3"/>
  <c r="M156" i="3"/>
  <c r="L156" i="3"/>
  <c r="K156" i="3"/>
  <c r="J156" i="3"/>
  <c r="I156" i="3"/>
  <c r="E156" i="3"/>
  <c r="O155" i="3"/>
  <c r="M155" i="3"/>
  <c r="L155" i="3"/>
  <c r="K155" i="3"/>
  <c r="J155" i="3"/>
  <c r="I155" i="3"/>
  <c r="E155" i="3"/>
  <c r="O154" i="3"/>
  <c r="M154" i="3"/>
  <c r="L154" i="3"/>
  <c r="K154" i="3"/>
  <c r="J154" i="3"/>
  <c r="I154" i="3"/>
  <c r="E154" i="3"/>
  <c r="O153" i="3"/>
  <c r="M153" i="3"/>
  <c r="L153" i="3"/>
  <c r="K153" i="3"/>
  <c r="J153" i="3"/>
  <c r="I153" i="3"/>
  <c r="E153" i="3"/>
  <c r="O152" i="3"/>
  <c r="M152" i="3"/>
  <c r="L152" i="3"/>
  <c r="K152" i="3"/>
  <c r="J152" i="3"/>
  <c r="I152" i="3"/>
  <c r="E152" i="3"/>
  <c r="O150" i="3"/>
  <c r="M150" i="3"/>
  <c r="L150" i="3"/>
  <c r="K150" i="3"/>
  <c r="J150" i="3"/>
  <c r="I150" i="3"/>
  <c r="E150" i="3"/>
  <c r="O149" i="3"/>
  <c r="M149" i="3"/>
  <c r="L149" i="3"/>
  <c r="K149" i="3"/>
  <c r="J149" i="3"/>
  <c r="I149" i="3"/>
  <c r="E149" i="3"/>
  <c r="O148" i="3"/>
  <c r="M148" i="3"/>
  <c r="L148" i="3"/>
  <c r="K148" i="3"/>
  <c r="J148" i="3"/>
  <c r="I148" i="3"/>
  <c r="E148" i="3"/>
  <c r="O147" i="3"/>
  <c r="M147" i="3"/>
  <c r="L147" i="3"/>
  <c r="K147" i="3"/>
  <c r="J147" i="3"/>
  <c r="I147" i="3"/>
  <c r="E147" i="3"/>
  <c r="O145" i="3"/>
  <c r="M145" i="3"/>
  <c r="L145" i="3"/>
  <c r="K145" i="3"/>
  <c r="J145" i="3"/>
  <c r="I145" i="3"/>
  <c r="E145" i="3"/>
  <c r="O144" i="3"/>
  <c r="M144" i="3"/>
  <c r="L144" i="3"/>
  <c r="K144" i="3"/>
  <c r="J144" i="3"/>
  <c r="I144" i="3"/>
  <c r="E144" i="3"/>
  <c r="O143" i="3"/>
  <c r="M143" i="3"/>
  <c r="L143" i="3"/>
  <c r="K143" i="3"/>
  <c r="J143" i="3"/>
  <c r="I143" i="3"/>
  <c r="E143" i="3"/>
  <c r="O142" i="3"/>
  <c r="M142" i="3"/>
  <c r="L142" i="3"/>
  <c r="K142" i="3"/>
  <c r="J142" i="3"/>
  <c r="I142" i="3"/>
  <c r="E142" i="3"/>
  <c r="O141" i="3"/>
  <c r="M141" i="3"/>
  <c r="L141" i="3"/>
  <c r="K141" i="3"/>
  <c r="J141" i="3"/>
  <c r="I141" i="3"/>
  <c r="E141" i="3"/>
  <c r="O139" i="3"/>
  <c r="M139" i="3"/>
  <c r="L139" i="3"/>
  <c r="K139" i="3"/>
  <c r="J139" i="3"/>
  <c r="I139" i="3"/>
  <c r="E139" i="3"/>
  <c r="O138" i="3"/>
  <c r="M138" i="3"/>
  <c r="L138" i="3"/>
  <c r="K138" i="3"/>
  <c r="J138" i="3"/>
  <c r="I138" i="3"/>
  <c r="E138" i="3"/>
  <c r="O137" i="3"/>
  <c r="M137" i="3"/>
  <c r="L137" i="3"/>
  <c r="K137" i="3"/>
  <c r="J137" i="3"/>
  <c r="I137" i="3"/>
  <c r="E137" i="3"/>
  <c r="O136" i="3"/>
  <c r="M136" i="3"/>
  <c r="L136" i="3"/>
  <c r="K136" i="3"/>
  <c r="J136" i="3"/>
  <c r="I136" i="3"/>
  <c r="E136" i="3"/>
  <c r="O135" i="3"/>
  <c r="M135" i="3"/>
  <c r="L135" i="3"/>
  <c r="K135" i="3"/>
  <c r="J135" i="3"/>
  <c r="I135" i="3"/>
  <c r="E135" i="3"/>
  <c r="O134" i="3"/>
  <c r="M134" i="3"/>
  <c r="L134" i="3"/>
  <c r="K134" i="3"/>
  <c r="J134" i="3"/>
  <c r="I134" i="3"/>
  <c r="E134" i="3"/>
  <c r="O133" i="3"/>
  <c r="M133" i="3"/>
  <c r="L133" i="3"/>
  <c r="K133" i="3"/>
  <c r="J133" i="3"/>
  <c r="I133" i="3"/>
  <c r="E133" i="3"/>
  <c r="O131" i="3"/>
  <c r="M131" i="3"/>
  <c r="L131" i="3"/>
  <c r="K131" i="3"/>
  <c r="J131" i="3"/>
  <c r="I131" i="3"/>
  <c r="E131" i="3"/>
  <c r="O130" i="3"/>
  <c r="M130" i="3"/>
  <c r="L130" i="3"/>
  <c r="K130" i="3"/>
  <c r="J130" i="3"/>
  <c r="I130" i="3"/>
  <c r="E130" i="3"/>
  <c r="O126" i="3"/>
  <c r="M126" i="3"/>
  <c r="L126" i="3"/>
  <c r="K126" i="3"/>
  <c r="J126" i="3"/>
  <c r="I126" i="3"/>
  <c r="E126" i="3"/>
  <c r="O125" i="3"/>
  <c r="M125" i="3"/>
  <c r="L125" i="3"/>
  <c r="K125" i="3"/>
  <c r="J125" i="3"/>
  <c r="I125" i="3"/>
  <c r="E125" i="3"/>
  <c r="O121" i="3"/>
  <c r="M121" i="3"/>
  <c r="L121" i="3"/>
  <c r="K121" i="3"/>
  <c r="J121" i="3"/>
  <c r="I121" i="3"/>
  <c r="E121" i="3"/>
  <c r="O120" i="3"/>
  <c r="M120" i="3"/>
  <c r="L120" i="3"/>
  <c r="K120" i="3"/>
  <c r="J120" i="3"/>
  <c r="I120" i="3"/>
  <c r="E120" i="3"/>
  <c r="O119" i="3"/>
  <c r="M119" i="3"/>
  <c r="L119" i="3"/>
  <c r="K119" i="3"/>
  <c r="J119" i="3"/>
  <c r="I119" i="3"/>
  <c r="E119" i="3"/>
  <c r="O117" i="3"/>
  <c r="M117" i="3"/>
  <c r="L117" i="3"/>
  <c r="K117" i="3"/>
  <c r="J117" i="3"/>
  <c r="I117" i="3"/>
  <c r="E117" i="3"/>
  <c r="O116" i="3"/>
  <c r="M116" i="3"/>
  <c r="L116" i="3"/>
  <c r="K116" i="3"/>
  <c r="J116" i="3"/>
  <c r="I116" i="3"/>
  <c r="E116" i="3"/>
  <c r="O115" i="3"/>
  <c r="M115" i="3"/>
  <c r="L115" i="3"/>
  <c r="K115" i="3"/>
  <c r="J115" i="3"/>
  <c r="I115" i="3"/>
  <c r="E115" i="3"/>
  <c r="O113" i="3"/>
  <c r="M113" i="3"/>
  <c r="L113" i="3"/>
  <c r="K113" i="3"/>
  <c r="J113" i="3"/>
  <c r="I113" i="3"/>
  <c r="E113" i="3"/>
  <c r="O112" i="3"/>
  <c r="M112" i="3"/>
  <c r="L112" i="3"/>
  <c r="K112" i="3"/>
  <c r="J112" i="3"/>
  <c r="I112" i="3"/>
  <c r="E112" i="3"/>
  <c r="O111" i="3"/>
  <c r="M111" i="3"/>
  <c r="L111" i="3"/>
  <c r="K111" i="3"/>
  <c r="J111" i="3"/>
  <c r="I111" i="3"/>
  <c r="E111" i="3"/>
  <c r="O108" i="3"/>
  <c r="M108" i="3"/>
  <c r="L108" i="3"/>
  <c r="K108" i="3"/>
  <c r="J108" i="3"/>
  <c r="I108" i="3"/>
  <c r="E108" i="3"/>
  <c r="O107" i="3"/>
  <c r="M107" i="3"/>
  <c r="L107" i="3"/>
  <c r="K107" i="3"/>
  <c r="J107" i="3"/>
  <c r="I107" i="3"/>
  <c r="E107" i="3"/>
  <c r="O105" i="3"/>
  <c r="M105" i="3"/>
  <c r="L105" i="3"/>
  <c r="K105" i="3"/>
  <c r="J105" i="3"/>
  <c r="I105" i="3"/>
  <c r="E105" i="3"/>
  <c r="O104" i="3"/>
  <c r="M104" i="3"/>
  <c r="L104" i="3"/>
  <c r="K104" i="3"/>
  <c r="J104" i="3"/>
  <c r="I104" i="3"/>
  <c r="E104" i="3"/>
  <c r="O102" i="3"/>
  <c r="M102" i="3"/>
  <c r="L102" i="3"/>
  <c r="K102" i="3"/>
  <c r="J102" i="3"/>
  <c r="I102" i="3"/>
  <c r="E102" i="3"/>
  <c r="O101" i="3"/>
  <c r="M101" i="3"/>
  <c r="L101" i="3"/>
  <c r="K101" i="3"/>
  <c r="J101" i="3"/>
  <c r="I101" i="3"/>
  <c r="E101" i="3"/>
  <c r="O99" i="3"/>
  <c r="M99" i="3"/>
  <c r="L99" i="3"/>
  <c r="K99" i="3"/>
  <c r="J99" i="3"/>
  <c r="I99" i="3"/>
  <c r="E99" i="3"/>
  <c r="O98" i="3"/>
  <c r="M98" i="3"/>
  <c r="L98" i="3"/>
  <c r="K98" i="3"/>
  <c r="J98" i="3"/>
  <c r="I98" i="3"/>
  <c r="E98" i="3"/>
  <c r="O97" i="3"/>
  <c r="M97" i="3"/>
  <c r="L97" i="3"/>
  <c r="K97" i="3"/>
  <c r="J97" i="3"/>
  <c r="I97" i="3"/>
  <c r="E97" i="3"/>
  <c r="O96" i="3"/>
  <c r="M96" i="3"/>
  <c r="L96" i="3"/>
  <c r="K96" i="3"/>
  <c r="J96" i="3"/>
  <c r="I96" i="3"/>
  <c r="E96" i="3"/>
  <c r="O94" i="3"/>
  <c r="M94" i="3"/>
  <c r="L94" i="3"/>
  <c r="K94" i="3"/>
  <c r="J94" i="3"/>
  <c r="I94" i="3"/>
  <c r="E94" i="3"/>
  <c r="O93" i="3"/>
  <c r="M93" i="3"/>
  <c r="L93" i="3"/>
  <c r="K93" i="3"/>
  <c r="J93" i="3"/>
  <c r="I93" i="3"/>
  <c r="E93" i="3"/>
  <c r="O89" i="3"/>
  <c r="M89" i="3"/>
  <c r="L89" i="3"/>
  <c r="K89" i="3"/>
  <c r="J89" i="3"/>
  <c r="I89" i="3"/>
  <c r="E89" i="3"/>
  <c r="O88" i="3"/>
  <c r="M88" i="3"/>
  <c r="L88" i="3"/>
  <c r="K88" i="3"/>
  <c r="J88" i="3"/>
  <c r="I88" i="3"/>
  <c r="E88" i="3"/>
  <c r="O87" i="3"/>
  <c r="M87" i="3"/>
  <c r="L87" i="3"/>
  <c r="K87" i="3"/>
  <c r="J87" i="3"/>
  <c r="I87" i="3"/>
  <c r="E87" i="3"/>
  <c r="O85" i="3"/>
  <c r="M85" i="3"/>
  <c r="L85" i="3"/>
  <c r="K85" i="3"/>
  <c r="J85" i="3"/>
  <c r="I85" i="3"/>
  <c r="E85" i="3"/>
  <c r="O84" i="3"/>
  <c r="M84" i="3"/>
  <c r="L84" i="3"/>
  <c r="K84" i="3"/>
  <c r="J84" i="3"/>
  <c r="I84" i="3"/>
  <c r="E84" i="3"/>
  <c r="O83" i="3"/>
  <c r="M83" i="3"/>
  <c r="L83" i="3"/>
  <c r="K83" i="3"/>
  <c r="J83" i="3"/>
  <c r="I83" i="3"/>
  <c r="E83" i="3"/>
  <c r="O82" i="3"/>
  <c r="M82" i="3"/>
  <c r="L82" i="3"/>
  <c r="K82" i="3"/>
  <c r="J82" i="3"/>
  <c r="I82" i="3"/>
  <c r="E82" i="3"/>
  <c r="O80" i="3"/>
  <c r="M80" i="3"/>
  <c r="L80" i="3"/>
  <c r="K80" i="3"/>
  <c r="J80" i="3"/>
  <c r="I80" i="3"/>
  <c r="E80" i="3"/>
  <c r="O79" i="3"/>
  <c r="M79" i="3"/>
  <c r="L79" i="3"/>
  <c r="K79" i="3"/>
  <c r="J79" i="3"/>
  <c r="I79" i="3"/>
  <c r="E79" i="3"/>
  <c r="O78" i="3"/>
  <c r="M78" i="3"/>
  <c r="L78" i="3"/>
  <c r="K78" i="3"/>
  <c r="J78" i="3"/>
  <c r="I78" i="3"/>
  <c r="E78" i="3"/>
  <c r="O76" i="3"/>
  <c r="M76" i="3"/>
  <c r="L76" i="3"/>
  <c r="K76" i="3"/>
  <c r="J76" i="3"/>
  <c r="I76" i="3"/>
  <c r="E76" i="3"/>
  <c r="O75" i="3"/>
  <c r="M75" i="3"/>
  <c r="L75" i="3"/>
  <c r="K75" i="3"/>
  <c r="J75" i="3"/>
  <c r="I75" i="3"/>
  <c r="E75" i="3"/>
  <c r="O74" i="3"/>
  <c r="M74" i="3"/>
  <c r="L74" i="3"/>
  <c r="K74" i="3"/>
  <c r="J74" i="3"/>
  <c r="I74" i="3"/>
  <c r="E74" i="3"/>
  <c r="O73" i="3"/>
  <c r="M73" i="3"/>
  <c r="L73" i="3"/>
  <c r="K73" i="3"/>
  <c r="J73" i="3"/>
  <c r="I73" i="3"/>
  <c r="E73" i="3"/>
  <c r="O71" i="3"/>
  <c r="M71" i="3"/>
  <c r="L71" i="3"/>
  <c r="K71" i="3"/>
  <c r="J71" i="3"/>
  <c r="I71" i="3"/>
  <c r="E71" i="3"/>
  <c r="O70" i="3"/>
  <c r="M70" i="3"/>
  <c r="L70" i="3"/>
  <c r="K70" i="3"/>
  <c r="J70" i="3"/>
  <c r="I70" i="3"/>
  <c r="E70" i="3"/>
  <c r="O69" i="3"/>
  <c r="M69" i="3"/>
  <c r="L69" i="3"/>
  <c r="K69" i="3"/>
  <c r="J69" i="3"/>
  <c r="I69" i="3"/>
  <c r="E69" i="3"/>
  <c r="O67" i="3"/>
  <c r="M67" i="3"/>
  <c r="L67" i="3"/>
  <c r="K67" i="3"/>
  <c r="J67" i="3"/>
  <c r="I67" i="3"/>
  <c r="E67" i="3"/>
  <c r="O66" i="3"/>
  <c r="M66" i="3"/>
  <c r="L66" i="3"/>
  <c r="K66" i="3"/>
  <c r="J66" i="3"/>
  <c r="I66" i="3"/>
  <c r="E66" i="3"/>
  <c r="O65" i="3"/>
  <c r="M65" i="3"/>
  <c r="L65" i="3"/>
  <c r="K65" i="3"/>
  <c r="J65" i="3"/>
  <c r="I65" i="3"/>
  <c r="E65" i="3"/>
  <c r="O64" i="3"/>
  <c r="M64" i="3"/>
  <c r="L64" i="3"/>
  <c r="K64" i="3"/>
  <c r="J64" i="3"/>
  <c r="I64" i="3"/>
  <c r="E64" i="3"/>
  <c r="O62" i="3"/>
  <c r="M62" i="3"/>
  <c r="L62" i="3"/>
  <c r="K62" i="3"/>
  <c r="J62" i="3"/>
  <c r="I62" i="3"/>
  <c r="E62" i="3"/>
  <c r="O61" i="3"/>
  <c r="M61" i="3"/>
  <c r="L61" i="3"/>
  <c r="K61" i="3"/>
  <c r="J61" i="3"/>
  <c r="I61" i="3"/>
  <c r="E61" i="3"/>
  <c r="O60" i="3"/>
  <c r="M60" i="3"/>
  <c r="L60" i="3"/>
  <c r="K60" i="3"/>
  <c r="J60" i="3"/>
  <c r="I60" i="3"/>
  <c r="E60" i="3"/>
  <c r="O58" i="3"/>
  <c r="M58" i="3"/>
  <c r="L58" i="3"/>
  <c r="K58" i="3"/>
  <c r="J58" i="3"/>
  <c r="I58" i="3"/>
  <c r="E58" i="3"/>
  <c r="O57" i="3"/>
  <c r="M57" i="3"/>
  <c r="L57" i="3"/>
  <c r="K57" i="3"/>
  <c r="J57" i="3"/>
  <c r="I57" i="3"/>
  <c r="E57" i="3"/>
  <c r="O56" i="3"/>
  <c r="M56" i="3"/>
  <c r="L56" i="3"/>
  <c r="K56" i="3"/>
  <c r="J56" i="3"/>
  <c r="I56" i="3"/>
  <c r="E56" i="3"/>
  <c r="O53" i="3"/>
  <c r="M53" i="3"/>
  <c r="L53" i="3"/>
  <c r="K53" i="3"/>
  <c r="J53" i="3"/>
  <c r="I53" i="3"/>
  <c r="E53" i="3"/>
  <c r="O52" i="3"/>
  <c r="M52" i="3"/>
  <c r="L52" i="3"/>
  <c r="K52" i="3"/>
  <c r="J52" i="3"/>
  <c r="I52" i="3"/>
  <c r="E52" i="3"/>
  <c r="O51" i="3"/>
  <c r="M51" i="3"/>
  <c r="L51" i="3"/>
  <c r="K51" i="3"/>
  <c r="J51" i="3"/>
  <c r="I51" i="3"/>
  <c r="E51" i="3"/>
  <c r="O49" i="3"/>
  <c r="M49" i="3"/>
  <c r="L49" i="3"/>
  <c r="K49" i="3"/>
  <c r="J49" i="3"/>
  <c r="I49" i="3"/>
  <c r="E49" i="3"/>
  <c r="O48" i="3"/>
  <c r="M48" i="3"/>
  <c r="L48" i="3"/>
  <c r="K48" i="3"/>
  <c r="J48" i="3"/>
  <c r="I48" i="3"/>
  <c r="E48" i="3"/>
  <c r="O47" i="3"/>
  <c r="M47" i="3"/>
  <c r="L47" i="3"/>
  <c r="K47" i="3"/>
  <c r="J47" i="3"/>
  <c r="I47" i="3"/>
  <c r="E47" i="3"/>
  <c r="O46" i="3"/>
  <c r="M46" i="3"/>
  <c r="L46" i="3"/>
  <c r="K46" i="3"/>
  <c r="J46" i="3"/>
  <c r="I46" i="3"/>
  <c r="E46" i="3"/>
  <c r="O45" i="3"/>
  <c r="M45" i="3"/>
  <c r="L45" i="3"/>
  <c r="K45" i="3"/>
  <c r="J45" i="3"/>
  <c r="I45" i="3"/>
  <c r="E45" i="3"/>
  <c r="O43" i="3"/>
  <c r="M43" i="3"/>
  <c r="L43" i="3"/>
  <c r="K43" i="3"/>
  <c r="J43" i="3"/>
  <c r="I43" i="3"/>
  <c r="E43" i="3"/>
  <c r="O42" i="3"/>
  <c r="M42" i="3"/>
  <c r="L42" i="3"/>
  <c r="K42" i="3"/>
  <c r="J42" i="3"/>
  <c r="I42" i="3"/>
  <c r="E42" i="3"/>
  <c r="O41" i="3"/>
  <c r="M41" i="3"/>
  <c r="L41" i="3"/>
  <c r="K41" i="3"/>
  <c r="J41" i="3"/>
  <c r="I41" i="3"/>
  <c r="E41" i="3"/>
  <c r="O40" i="3"/>
  <c r="M40" i="3"/>
  <c r="L40" i="3"/>
  <c r="K40" i="3"/>
  <c r="J40" i="3"/>
  <c r="I40" i="3"/>
  <c r="E40" i="3"/>
  <c r="O37" i="3"/>
  <c r="M37" i="3"/>
  <c r="L37" i="3"/>
  <c r="K37" i="3"/>
  <c r="J37" i="3"/>
  <c r="I37" i="3"/>
  <c r="E37" i="3"/>
  <c r="O36" i="3"/>
  <c r="M36" i="3"/>
  <c r="L36" i="3"/>
  <c r="K36" i="3"/>
  <c r="J36" i="3"/>
  <c r="I36" i="3"/>
  <c r="E36" i="3"/>
  <c r="O35" i="3"/>
  <c r="M35" i="3"/>
  <c r="L35" i="3"/>
  <c r="K35" i="3"/>
  <c r="J35" i="3"/>
  <c r="I35" i="3"/>
  <c r="E35" i="3"/>
  <c r="O34" i="3"/>
  <c r="M34" i="3"/>
  <c r="L34" i="3"/>
  <c r="K34" i="3"/>
  <c r="J34" i="3"/>
  <c r="I34" i="3"/>
  <c r="E34" i="3"/>
  <c r="O33" i="3"/>
  <c r="M33" i="3"/>
  <c r="L33" i="3"/>
  <c r="K33" i="3"/>
  <c r="J33" i="3"/>
  <c r="I33" i="3"/>
  <c r="E33" i="3"/>
  <c r="O31" i="3"/>
  <c r="M31" i="3"/>
  <c r="L31" i="3"/>
  <c r="K31" i="3"/>
  <c r="J31" i="3"/>
  <c r="I31" i="3"/>
  <c r="E31" i="3"/>
  <c r="O30" i="3"/>
  <c r="M30" i="3"/>
  <c r="L30" i="3"/>
  <c r="K30" i="3"/>
  <c r="J30" i="3"/>
  <c r="I30" i="3"/>
  <c r="E30" i="3"/>
  <c r="O28" i="3"/>
  <c r="M28" i="3"/>
  <c r="L28" i="3"/>
  <c r="K28" i="3"/>
  <c r="J28" i="3"/>
  <c r="I28" i="3"/>
  <c r="E28" i="3"/>
  <c r="O27" i="3"/>
  <c r="M27" i="3"/>
  <c r="L27" i="3"/>
  <c r="K27" i="3"/>
  <c r="J27" i="3"/>
  <c r="I27" i="3"/>
  <c r="E27" i="3"/>
  <c r="O26" i="3"/>
  <c r="M26" i="3"/>
  <c r="L26" i="3"/>
  <c r="K26" i="3"/>
  <c r="J26" i="3"/>
  <c r="I26" i="3"/>
  <c r="E26" i="3"/>
  <c r="O25" i="3"/>
  <c r="M25" i="3"/>
  <c r="L25" i="3"/>
  <c r="K25" i="3"/>
  <c r="J25" i="3"/>
  <c r="I25" i="3"/>
  <c r="E25" i="3"/>
  <c r="O24" i="3"/>
  <c r="M24" i="3"/>
  <c r="L24" i="3"/>
  <c r="K24" i="3"/>
  <c r="J24" i="3"/>
  <c r="I24" i="3"/>
  <c r="E24" i="3"/>
  <c r="O22" i="3"/>
  <c r="M22" i="3"/>
  <c r="L22" i="3"/>
  <c r="K22" i="3"/>
  <c r="J22" i="3"/>
  <c r="I22" i="3"/>
  <c r="E22" i="3"/>
  <c r="O21" i="3"/>
  <c r="M21" i="3"/>
  <c r="L21" i="3"/>
  <c r="K21" i="3"/>
  <c r="J21" i="3"/>
  <c r="I21" i="3"/>
  <c r="E21" i="3"/>
  <c r="O20" i="3"/>
  <c r="M20" i="3"/>
  <c r="L20" i="3"/>
  <c r="K20" i="3"/>
  <c r="J20" i="3"/>
  <c r="I20" i="3"/>
  <c r="E20" i="3"/>
  <c r="O19" i="3"/>
  <c r="M19" i="3"/>
  <c r="L19" i="3"/>
  <c r="K19" i="3"/>
  <c r="J19" i="3"/>
  <c r="I19" i="3"/>
  <c r="E19" i="3"/>
  <c r="O18" i="3"/>
  <c r="M18" i="3"/>
  <c r="L18" i="3"/>
  <c r="K18" i="3"/>
  <c r="J18" i="3"/>
  <c r="I18" i="3"/>
  <c r="E18" i="3"/>
  <c r="O17" i="3"/>
  <c r="M17" i="3"/>
  <c r="L17" i="3"/>
  <c r="K17" i="3"/>
  <c r="J17" i="3"/>
  <c r="I17" i="3"/>
  <c r="E17" i="3"/>
  <c r="O15" i="3"/>
  <c r="M15" i="3"/>
  <c r="L15" i="3"/>
  <c r="K15" i="3"/>
  <c r="J15" i="3"/>
  <c r="I15" i="3"/>
  <c r="E15" i="3"/>
  <c r="O14" i="3"/>
  <c r="M14" i="3"/>
  <c r="L14" i="3"/>
  <c r="K14" i="3"/>
  <c r="J14" i="3"/>
  <c r="I14" i="3"/>
  <c r="E14" i="3"/>
  <c r="O13" i="3"/>
  <c r="M13" i="3"/>
  <c r="L13" i="3"/>
  <c r="K13" i="3"/>
  <c r="J13" i="3"/>
  <c r="I13" i="3"/>
  <c r="E13" i="3"/>
  <c r="O12" i="3"/>
  <c r="M12" i="3"/>
  <c r="L12" i="3"/>
  <c r="K12" i="3"/>
  <c r="J12" i="3"/>
  <c r="I12" i="3"/>
  <c r="E12" i="3"/>
  <c r="O9" i="3"/>
  <c r="M9" i="3"/>
  <c r="L9" i="3"/>
  <c r="K9" i="3"/>
  <c r="J9" i="3"/>
  <c r="I9" i="3"/>
  <c r="E9" i="3"/>
  <c r="O8" i="3"/>
  <c r="M8" i="3"/>
  <c r="L8" i="3"/>
  <c r="K8" i="3"/>
  <c r="J8" i="3"/>
  <c r="I8" i="3"/>
  <c r="E8" i="3"/>
  <c r="N974" i="3"/>
  <c r="N958" i="3"/>
  <c r="N942" i="3"/>
  <c r="N926" i="3"/>
  <c r="N910" i="3"/>
  <c r="N973" i="3"/>
  <c r="N957" i="3"/>
  <c r="N941" i="3"/>
  <c r="N925" i="3"/>
  <c r="N909" i="3"/>
  <c r="N891" i="3"/>
  <c r="N873" i="3"/>
  <c r="N857" i="3"/>
  <c r="N841" i="3"/>
  <c r="N815" i="3"/>
  <c r="N804" i="3"/>
  <c r="N791" i="3"/>
  <c r="N769" i="3"/>
  <c r="N756" i="3"/>
  <c r="N739" i="3"/>
  <c r="N717" i="3"/>
  <c r="N702" i="3"/>
  <c r="N687" i="3"/>
  <c r="N668" i="3"/>
  <c r="N575" i="3"/>
  <c r="N559" i="3"/>
  <c r="N541" i="3"/>
  <c r="N525" i="3"/>
  <c r="N514" i="3"/>
  <c r="N496" i="3"/>
  <c r="N478" i="3"/>
  <c r="N465" i="3"/>
  <c r="N449" i="3"/>
  <c r="N429" i="3"/>
  <c r="N407" i="3"/>
  <c r="N383" i="3"/>
  <c r="N367" i="3"/>
  <c r="N347" i="3"/>
  <c r="N334" i="3"/>
  <c r="N289" i="3"/>
  <c r="N264" i="3"/>
  <c r="N228" i="3"/>
  <c r="N207" i="3"/>
  <c r="N177" i="3"/>
  <c r="N114" i="3"/>
  <c r="N91" i="3"/>
  <c r="N29" i="3"/>
  <c r="N890" i="3"/>
  <c r="N872" i="3"/>
  <c r="N856" i="3"/>
  <c r="N838" i="3"/>
  <c r="N814" i="3"/>
  <c r="N803" i="3"/>
  <c r="N790" i="3"/>
  <c r="N768" i="3"/>
  <c r="N753" i="3"/>
  <c r="N738" i="3"/>
  <c r="N714" i="3"/>
  <c r="N701" i="3"/>
  <c r="N686" i="3"/>
  <c r="N574" i="3"/>
  <c r="N558" i="3"/>
  <c r="N540" i="3"/>
  <c r="N524" i="3"/>
  <c r="N513" i="3"/>
  <c r="N495" i="3"/>
  <c r="N477" i="3"/>
  <c r="N464" i="3"/>
  <c r="N448" i="3"/>
  <c r="N428" i="3"/>
  <c r="N406" i="3"/>
  <c r="N382" i="3"/>
  <c r="N366" i="3"/>
  <c r="N344" i="3"/>
  <c r="N333" i="3"/>
  <c r="N286" i="3"/>
  <c r="N259" i="3"/>
  <c r="N972" i="3"/>
  <c r="N956" i="3"/>
  <c r="N940" i="3"/>
  <c r="N924" i="3"/>
  <c r="N908" i="3"/>
  <c r="N971" i="3"/>
  <c r="N970" i="3"/>
  <c r="N954" i="3"/>
  <c r="N938" i="3"/>
  <c r="N922" i="3"/>
  <c r="N906" i="3"/>
  <c r="N888" i="3"/>
  <c r="N870" i="3"/>
  <c r="N854" i="3"/>
  <c r="N832" i="3"/>
  <c r="N786" i="3"/>
  <c r="N766" i="3"/>
  <c r="N749" i="3"/>
  <c r="N734" i="3"/>
  <c r="N710" i="3"/>
  <c r="N699" i="3"/>
  <c r="N602" i="3"/>
  <c r="N572" i="3"/>
  <c r="N556" i="3"/>
  <c r="N538" i="3"/>
  <c r="N522" i="3"/>
  <c r="N511" i="3"/>
  <c r="N493" i="3"/>
  <c r="N462" i="3"/>
  <c r="N446" i="3"/>
  <c r="N424" i="3"/>
  <c r="N402" i="3"/>
  <c r="N380" i="3"/>
  <c r="N364" i="3"/>
  <c r="N342" i="3"/>
  <c r="N257" i="3"/>
  <c r="N240" i="3"/>
  <c r="N202" i="3"/>
  <c r="N174" i="3"/>
  <c r="N934" i="3"/>
  <c r="N884" i="3"/>
  <c r="N706" i="3"/>
  <c r="N440" i="3"/>
  <c r="N418" i="3"/>
  <c r="N376" i="3"/>
  <c r="N965" i="3"/>
  <c r="N865" i="3"/>
  <c r="N627" i="3"/>
  <c r="N612" i="3"/>
  <c r="N969" i="3"/>
  <c r="N953" i="3"/>
  <c r="N937" i="3"/>
  <c r="N921" i="3"/>
  <c r="N905" i="3"/>
  <c r="N887" i="3"/>
  <c r="N869" i="3"/>
  <c r="N853" i="3"/>
  <c r="N831" i="3"/>
  <c r="N785" i="3"/>
  <c r="N765" i="3"/>
  <c r="N746" i="3"/>
  <c r="N733" i="3"/>
  <c r="N709" i="3"/>
  <c r="N597" i="3"/>
  <c r="N571" i="3"/>
  <c r="N555" i="3"/>
  <c r="N537" i="3"/>
  <c r="N510" i="3"/>
  <c r="N492" i="3"/>
  <c r="N461" i="3"/>
  <c r="N445" i="3"/>
  <c r="N421" i="3"/>
  <c r="N401" i="3"/>
  <c r="N379" i="3"/>
  <c r="N363" i="3"/>
  <c r="N341" i="3"/>
  <c r="N307" i="3"/>
  <c r="N256" i="3"/>
  <c r="N239" i="3"/>
  <c r="N201" i="3"/>
  <c r="N173" i="3"/>
  <c r="N77" i="3"/>
  <c r="N44" i="3"/>
  <c r="N966" i="3"/>
  <c r="N780" i="3"/>
  <c r="N760" i="3"/>
  <c r="N730" i="3"/>
  <c r="N645" i="3"/>
  <c r="N594" i="3"/>
  <c r="N568" i="3"/>
  <c r="N360" i="3"/>
  <c r="N338" i="3"/>
  <c r="N181" i="3"/>
  <c r="N166" i="3"/>
  <c r="N949" i="3"/>
  <c r="N901" i="3"/>
  <c r="N883" i="3"/>
  <c r="N849" i="3"/>
  <c r="N827" i="3"/>
  <c r="N779" i="3"/>
  <c r="N729" i="3"/>
  <c r="N968" i="3"/>
  <c r="N952" i="3"/>
  <c r="N936" i="3"/>
  <c r="N920" i="3"/>
  <c r="N904" i="3"/>
  <c r="N886" i="3"/>
  <c r="N868" i="3"/>
  <c r="N852" i="3"/>
  <c r="N830" i="3"/>
  <c r="N784" i="3"/>
  <c r="N764" i="3"/>
  <c r="N732" i="3"/>
  <c r="N708" i="3"/>
  <c r="N596" i="3"/>
  <c r="N581" i="3"/>
  <c r="N570" i="3"/>
  <c r="N554" i="3"/>
  <c r="N536" i="3"/>
  <c r="N509" i="3"/>
  <c r="N491" i="3"/>
  <c r="N460" i="3"/>
  <c r="N444" i="3"/>
  <c r="N420" i="3"/>
  <c r="N398" i="3"/>
  <c r="N378" i="3"/>
  <c r="N362" i="3"/>
  <c r="N340" i="3"/>
  <c r="N255" i="3"/>
  <c r="N200" i="3"/>
  <c r="N170" i="3"/>
  <c r="N151" i="3"/>
  <c r="N72" i="3"/>
  <c r="N39" i="3"/>
  <c r="N918" i="3"/>
  <c r="N902" i="3"/>
  <c r="N828" i="3"/>
  <c r="N615" i="3"/>
  <c r="N552" i="3"/>
  <c r="N534" i="3"/>
  <c r="N489" i="3"/>
  <c r="N396" i="3"/>
  <c r="N321" i="3"/>
  <c r="N298" i="3"/>
  <c r="N268" i="3"/>
  <c r="N917" i="3"/>
  <c r="N967" i="3"/>
  <c r="N951" i="3"/>
  <c r="N935" i="3"/>
  <c r="N919" i="3"/>
  <c r="N903" i="3"/>
  <c r="N885" i="3"/>
  <c r="N867" i="3"/>
  <c r="N851" i="3"/>
  <c r="N829" i="3"/>
  <c r="N783" i="3"/>
  <c r="N763" i="3"/>
  <c r="N731" i="3"/>
  <c r="N707" i="3"/>
  <c r="N629" i="3"/>
  <c r="N616" i="3"/>
  <c r="N595" i="3"/>
  <c r="N580" i="3"/>
  <c r="N569" i="3"/>
  <c r="N553" i="3"/>
  <c r="N535" i="3"/>
  <c r="N508" i="3"/>
  <c r="N490" i="3"/>
  <c r="N459" i="3"/>
  <c r="N443" i="3"/>
  <c r="N419" i="3"/>
  <c r="N397" i="3"/>
  <c r="N377" i="3"/>
  <c r="N361" i="3"/>
  <c r="N339" i="3"/>
  <c r="N322" i="3"/>
  <c r="N269" i="3"/>
  <c r="N254" i="3"/>
  <c r="N197" i="3"/>
  <c r="N169" i="3"/>
  <c r="N146" i="3"/>
  <c r="N38" i="3"/>
  <c r="N950" i="3"/>
  <c r="N866" i="3"/>
  <c r="N850" i="3"/>
  <c r="N628" i="3"/>
  <c r="N507" i="3"/>
  <c r="N458" i="3"/>
  <c r="N253" i="3"/>
  <c r="N196" i="3"/>
  <c r="N118" i="3"/>
  <c r="N933" i="3"/>
  <c r="N644" i="3"/>
  <c r="N964" i="3"/>
  <c r="N930" i="3"/>
  <c r="N893" i="3"/>
  <c r="N858" i="3"/>
  <c r="N797" i="3"/>
  <c r="N776" i="3"/>
  <c r="N679" i="3"/>
  <c r="N676" i="3"/>
  <c r="N670" i="3"/>
  <c r="N641" i="3"/>
  <c r="N635" i="3"/>
  <c r="N567" i="3"/>
  <c r="N539" i="3"/>
  <c r="N518" i="3"/>
  <c r="N485" i="3"/>
  <c r="N457" i="3"/>
  <c r="N415" i="3"/>
  <c r="N370" i="3"/>
  <c r="N291" i="3"/>
  <c r="N211" i="3"/>
  <c r="N208" i="3"/>
  <c r="N127" i="3"/>
  <c r="N124" i="3"/>
  <c r="N81" i="3"/>
  <c r="N32" i="3"/>
  <c r="N963" i="3"/>
  <c r="N929" i="3"/>
  <c r="N892" i="3"/>
  <c r="N855" i="3"/>
  <c r="N796" i="3"/>
  <c r="N792" i="3"/>
  <c r="N787" i="3"/>
  <c r="N775" i="3"/>
  <c r="N700" i="3"/>
  <c r="N675" i="3"/>
  <c r="N669" i="3"/>
  <c r="N634" i="3"/>
  <c r="N566" i="3"/>
  <c r="N533" i="3"/>
  <c r="N517" i="3"/>
  <c r="N484" i="3"/>
  <c r="N481" i="3"/>
  <c r="N456" i="3"/>
  <c r="N414" i="3"/>
  <c r="N369" i="3"/>
  <c r="N290" i="3"/>
  <c r="N283" i="3"/>
  <c r="N204" i="3"/>
  <c r="N123" i="3"/>
  <c r="N86" i="3"/>
  <c r="N962" i="3"/>
  <c r="N928" i="3"/>
  <c r="N889" i="3"/>
  <c r="N848" i="3"/>
  <c r="N810" i="3"/>
  <c r="N795" i="3"/>
  <c r="N774" i="3"/>
  <c r="N742" i="3"/>
  <c r="N633" i="3"/>
  <c r="N565" i="3"/>
  <c r="N532" i="3"/>
  <c r="N516" i="3"/>
  <c r="N480" i="3"/>
  <c r="N455" i="3"/>
  <c r="N413" i="3"/>
  <c r="N368" i="3"/>
  <c r="N316" i="3"/>
  <c r="N303" i="3"/>
  <c r="N203" i="3"/>
  <c r="N195" i="3"/>
  <c r="N122" i="3"/>
  <c r="N923" i="3"/>
  <c r="N808" i="3"/>
  <c r="N772" i="3"/>
  <c r="N740" i="3"/>
  <c r="N607" i="3"/>
  <c r="N453" i="3"/>
  <c r="N408" i="3"/>
  <c r="N403" i="3"/>
  <c r="N311" i="3"/>
  <c r="N191" i="3"/>
  <c r="N140" i="3"/>
  <c r="N59" i="3"/>
  <c r="N959" i="3"/>
  <c r="N845" i="3"/>
  <c r="N807" i="3"/>
  <c r="N771" i="3"/>
  <c r="N529" i="3"/>
  <c r="N503" i="3"/>
  <c r="N452" i="3"/>
  <c r="N391" i="3"/>
  <c r="N955" i="3"/>
  <c r="N806" i="3"/>
  <c r="N727" i="3"/>
  <c r="N561" i="3"/>
  <c r="N528" i="3"/>
  <c r="N235" i="3"/>
  <c r="N189" i="3"/>
  <c r="N914" i="3"/>
  <c r="N843" i="3"/>
  <c r="N726" i="3"/>
  <c r="N560" i="3"/>
  <c r="N501" i="3"/>
  <c r="N450" i="3"/>
  <c r="N437" i="3"/>
  <c r="N354" i="3"/>
  <c r="N250" i="3"/>
  <c r="N185" i="3"/>
  <c r="N175" i="3"/>
  <c r="N16" i="3"/>
  <c r="N10" i="3"/>
  <c r="N961" i="3"/>
  <c r="N927" i="3"/>
  <c r="N882" i="3"/>
  <c r="N879" i="3"/>
  <c r="N847" i="3"/>
  <c r="N809" i="3"/>
  <c r="N773" i="3"/>
  <c r="N741" i="3"/>
  <c r="N564" i="3"/>
  <c r="N531" i="3"/>
  <c r="N515" i="3"/>
  <c r="N479" i="3"/>
  <c r="N454" i="3"/>
  <c r="N412" i="3"/>
  <c r="N409" i="3"/>
  <c r="N365" i="3"/>
  <c r="N332" i="3"/>
  <c r="N315" i="3"/>
  <c r="N312" i="3"/>
  <c r="N302" i="3"/>
  <c r="N192" i="3"/>
  <c r="N960" i="3"/>
  <c r="N878" i="3"/>
  <c r="N846" i="3"/>
  <c r="N563" i="3"/>
  <c r="N530" i="3"/>
  <c r="N512" i="3"/>
  <c r="N504" i="3"/>
  <c r="N395" i="3"/>
  <c r="N359" i="3"/>
  <c r="N916" i="3"/>
  <c r="N877" i="3"/>
  <c r="N737" i="3"/>
  <c r="N728" i="3"/>
  <c r="N562" i="3"/>
  <c r="N394" i="3"/>
  <c r="N356" i="3"/>
  <c r="N190" i="3"/>
  <c r="N50" i="3"/>
  <c r="N915" i="3"/>
  <c r="N876" i="3"/>
  <c r="N844" i="3"/>
  <c r="N770" i="3"/>
  <c r="N502" i="3"/>
  <c r="N451" i="3"/>
  <c r="N390" i="3"/>
  <c r="N355" i="3"/>
  <c r="N186" i="3"/>
  <c r="N176" i="3"/>
  <c r="N165" i="3"/>
  <c r="N11" i="3"/>
  <c r="N948" i="3"/>
  <c r="N875" i="3"/>
  <c r="N805" i="3"/>
  <c r="N767" i="3"/>
  <c r="N723" i="3"/>
  <c r="N527" i="3"/>
  <c r="N389" i="3"/>
  <c r="N258" i="3"/>
  <c r="N234" i="3"/>
  <c r="N162" i="3"/>
  <c r="N7" i="3"/>
  <c r="N913" i="3"/>
  <c r="N947" i="3"/>
  <c r="N862" i="3"/>
  <c r="N798" i="3"/>
  <c r="N585" i="3"/>
  <c r="N550" i="3"/>
  <c r="N488" i="3"/>
  <c r="N432" i="3"/>
  <c r="N374" i="3"/>
  <c r="N946" i="3"/>
  <c r="N861" i="3"/>
  <c r="N826" i="3"/>
  <c r="N603" i="3"/>
  <c r="N549" i="3"/>
  <c r="N487" i="3"/>
  <c r="N431" i="3"/>
  <c r="N417" i="3"/>
  <c r="N373" i="3"/>
  <c r="N279" i="3"/>
  <c r="N276" i="3"/>
  <c r="N622" i="3"/>
  <c r="N874" i="3"/>
  <c r="N945" i="3"/>
  <c r="N860" i="3"/>
  <c r="N835" i="3"/>
  <c r="N825" i="3"/>
  <c r="N822" i="3"/>
  <c r="N548" i="3"/>
  <c r="N545" i="3"/>
  <c r="N486" i="3"/>
  <c r="N430" i="3"/>
  <c r="N416" i="3"/>
  <c r="N372" i="3"/>
  <c r="N275" i="3"/>
  <c r="N944" i="3"/>
  <c r="N859" i="3"/>
  <c r="N821" i="3"/>
  <c r="N544" i="3"/>
  <c r="N427" i="3"/>
  <c r="N371" i="3"/>
  <c r="N353" i="3"/>
  <c r="N350" i="3"/>
  <c r="N328" i="3"/>
  <c r="N55" i="3"/>
  <c r="N23" i="3"/>
  <c r="N943" i="3"/>
  <c r="N842" i="3"/>
  <c r="N820" i="3"/>
  <c r="N816" i="3"/>
  <c r="N543" i="3"/>
  <c r="N349" i="3"/>
  <c r="N327" i="3"/>
  <c r="N54" i="3"/>
  <c r="N939" i="3"/>
  <c r="N819" i="3"/>
  <c r="N626" i="3"/>
  <c r="N542" i="3"/>
  <c r="N348" i="3"/>
  <c r="N343" i="3"/>
  <c r="N326" i="3"/>
  <c r="N225" i="3"/>
  <c r="N63" i="3"/>
  <c r="N932" i="3"/>
  <c r="N625" i="3"/>
  <c r="N526" i="3"/>
  <c r="N931" i="3"/>
  <c r="N621" i="3"/>
  <c r="N523" i="3"/>
  <c r="N473" i="3"/>
  <c r="N297" i="3"/>
  <c r="N912" i="3"/>
  <c r="N620" i="3"/>
  <c r="N472" i="3"/>
  <c r="N296" i="3"/>
  <c r="N233" i="3"/>
  <c r="N212" i="3"/>
  <c r="N68" i="3"/>
  <c r="N911" i="3"/>
  <c r="N695" i="3"/>
  <c r="N692" i="3"/>
  <c r="N471" i="3"/>
  <c r="N295" i="3"/>
  <c r="N215" i="3"/>
  <c r="N907" i="3"/>
  <c r="N802" i="3"/>
  <c r="N691" i="3"/>
  <c r="N470" i="3"/>
  <c r="N467" i="3"/>
  <c r="N294" i="3"/>
  <c r="N247" i="3"/>
  <c r="N244" i="3"/>
  <c r="N218" i="3"/>
  <c r="N900" i="3"/>
  <c r="N750" i="3"/>
  <c r="N711" i="3"/>
  <c r="N690" i="3"/>
  <c r="N500" i="3"/>
  <c r="N466" i="3"/>
  <c r="N293" i="3"/>
  <c r="N221" i="3"/>
  <c r="N132" i="3"/>
  <c r="N129" i="3"/>
  <c r="N899" i="3"/>
  <c r="N576" i="3"/>
  <c r="N499" i="3"/>
  <c r="N463" i="3"/>
  <c r="N436" i="3"/>
  <c r="N292" i="3"/>
  <c r="N161" i="3"/>
  <c r="N158" i="3"/>
  <c r="N128" i="3"/>
  <c r="N898" i="3"/>
  <c r="N894" i="3"/>
  <c r="N871" i="3"/>
  <c r="N722" i="3"/>
  <c r="N680" i="3"/>
  <c r="N659" i="3"/>
  <c r="N588" i="3"/>
  <c r="N573" i="3"/>
  <c r="N498" i="3"/>
  <c r="N447" i="3"/>
  <c r="N435" i="3"/>
  <c r="N388" i="3"/>
  <c r="N157" i="3"/>
  <c r="N92" i="3"/>
  <c r="N897" i="3"/>
  <c r="N864" i="3"/>
  <c r="N721" i="3"/>
  <c r="N664" i="3"/>
  <c r="N658" i="3"/>
  <c r="N652" i="3"/>
  <c r="N649" i="3"/>
  <c r="N593" i="3"/>
  <c r="N587" i="3"/>
  <c r="N557" i="3"/>
  <c r="N497" i="3"/>
  <c r="N434" i="3"/>
  <c r="N387" i="3"/>
  <c r="N381" i="3"/>
  <c r="N110" i="3"/>
  <c r="N95" i="3"/>
  <c r="N90" i="3"/>
  <c r="N6" i="3"/>
  <c r="N863" i="3"/>
  <c r="N720" i="3"/>
  <c r="N657" i="3"/>
  <c r="N636" i="3"/>
  <c r="N586" i="3"/>
  <c r="N551" i="3"/>
  <c r="N494" i="3"/>
  <c r="N386" i="3"/>
  <c r="N375" i="3"/>
  <c r="N433" i="3"/>
  <c r="N100" i="3"/>
  <c r="N103" i="3"/>
  <c r="N106" i="3"/>
  <c r="N109" i="3"/>
  <c r="N107" i="3" l="1"/>
  <c r="N108" i="3"/>
  <c r="N104" i="3"/>
  <c r="N105" i="3"/>
  <c r="N101" i="3"/>
  <c r="N102" i="3"/>
  <c r="N639" i="3"/>
  <c r="N637" i="3"/>
  <c r="N638" i="3"/>
  <c r="N640" i="3"/>
  <c r="N98" i="3"/>
  <c r="N96" i="3"/>
  <c r="N97" i="3"/>
  <c r="N99" i="3"/>
  <c r="N113" i="3"/>
  <c r="N111" i="3"/>
  <c r="N112" i="3"/>
  <c r="N650" i="3"/>
  <c r="N651" i="3"/>
  <c r="N655" i="3"/>
  <c r="N653" i="3"/>
  <c r="N654" i="3"/>
  <c r="N656" i="3"/>
  <c r="N667" i="3"/>
  <c r="N665" i="3"/>
  <c r="N666" i="3"/>
  <c r="N94" i="3"/>
  <c r="N93" i="3"/>
  <c r="N591" i="3"/>
  <c r="N589" i="3"/>
  <c r="N592" i="3"/>
  <c r="N590" i="3"/>
  <c r="N662" i="3"/>
  <c r="N660" i="3"/>
  <c r="N663" i="3"/>
  <c r="N661" i="3"/>
  <c r="N685" i="3"/>
  <c r="N683" i="3"/>
  <c r="N681" i="3"/>
  <c r="N682" i="3"/>
  <c r="N684" i="3"/>
  <c r="N895" i="3"/>
  <c r="N896" i="3"/>
  <c r="N159" i="3"/>
  <c r="N160" i="3"/>
  <c r="N578" i="3"/>
  <c r="N577" i="3"/>
  <c r="N579" i="3"/>
  <c r="N130" i="3"/>
  <c r="N131" i="3"/>
  <c r="N139" i="3"/>
  <c r="N135" i="3"/>
  <c r="N137" i="3"/>
  <c r="N133" i="3"/>
  <c r="N134" i="3"/>
  <c r="N136" i="3"/>
  <c r="N138" i="3"/>
  <c r="N224" i="3"/>
  <c r="N222" i="3"/>
  <c r="N223" i="3"/>
  <c r="N713" i="3"/>
  <c r="N712" i="3"/>
  <c r="N752" i="3"/>
  <c r="N751" i="3"/>
  <c r="N219" i="3"/>
  <c r="N220" i="3"/>
  <c r="N245" i="3"/>
  <c r="N246" i="3"/>
  <c r="N248" i="3"/>
  <c r="N249" i="3"/>
  <c r="N468" i="3"/>
  <c r="N469" i="3"/>
  <c r="N216" i="3"/>
  <c r="N217" i="3"/>
  <c r="N693" i="3"/>
  <c r="N694" i="3"/>
  <c r="N698" i="3"/>
  <c r="N696" i="3"/>
  <c r="N697" i="3"/>
  <c r="N69" i="3"/>
  <c r="N71" i="3"/>
  <c r="N70" i="3"/>
  <c r="N213" i="3"/>
  <c r="N214" i="3"/>
  <c r="N476" i="3"/>
  <c r="N474" i="3"/>
  <c r="N475" i="3"/>
  <c r="N67" i="3"/>
  <c r="N65" i="3"/>
  <c r="N64" i="3"/>
  <c r="N66" i="3"/>
  <c r="N226" i="3"/>
  <c r="N227" i="3"/>
  <c r="N818" i="3"/>
  <c r="N817" i="3"/>
  <c r="N28" i="3"/>
  <c r="N26" i="3"/>
  <c r="N24" i="3"/>
  <c r="N25" i="3"/>
  <c r="N27" i="3"/>
  <c r="N58" i="3"/>
  <c r="N56" i="3"/>
  <c r="N57" i="3"/>
  <c r="N331" i="3"/>
  <c r="N329" i="3"/>
  <c r="N330" i="3"/>
  <c r="N351" i="3"/>
  <c r="N352" i="3"/>
  <c r="N546" i="3"/>
  <c r="N547" i="3"/>
  <c r="N823" i="3"/>
  <c r="N824" i="3"/>
  <c r="N837" i="3"/>
  <c r="N836" i="3"/>
  <c r="N623" i="3"/>
  <c r="N624" i="3"/>
  <c r="N277" i="3"/>
  <c r="N278" i="3"/>
  <c r="N282" i="3"/>
  <c r="N280" i="3"/>
  <c r="N281" i="3"/>
  <c r="N605" i="3"/>
  <c r="N604" i="3"/>
  <c r="N606" i="3"/>
  <c r="N801" i="3"/>
  <c r="N799" i="3"/>
  <c r="N800" i="3"/>
  <c r="N8" i="3"/>
  <c r="N9" i="3"/>
  <c r="N163" i="3"/>
  <c r="N164" i="3"/>
  <c r="N724" i="3"/>
  <c r="N725" i="3"/>
  <c r="N14" i="3"/>
  <c r="N12" i="3"/>
  <c r="N13" i="3"/>
  <c r="N15" i="3"/>
  <c r="N187" i="3"/>
  <c r="N188" i="3"/>
  <c r="N53" i="3"/>
  <c r="N51" i="3"/>
  <c r="N52" i="3"/>
  <c r="N358" i="3"/>
  <c r="N357" i="3"/>
  <c r="N505" i="3"/>
  <c r="N506" i="3"/>
  <c r="N194" i="3"/>
  <c r="N193" i="3"/>
  <c r="N313" i="3"/>
  <c r="N314" i="3"/>
  <c r="N410" i="3"/>
  <c r="N411" i="3"/>
  <c r="N880" i="3"/>
  <c r="N881" i="3"/>
  <c r="N21" i="3"/>
  <c r="N19" i="3"/>
  <c r="N17" i="3"/>
  <c r="N18" i="3"/>
  <c r="N20" i="3"/>
  <c r="N22" i="3"/>
  <c r="N251" i="3"/>
  <c r="N252" i="3"/>
  <c r="N438" i="3"/>
  <c r="N439" i="3"/>
  <c r="N238" i="3"/>
  <c r="N236" i="3"/>
  <c r="N237" i="3"/>
  <c r="N392" i="3"/>
  <c r="N393" i="3"/>
  <c r="N61" i="3"/>
  <c r="N60" i="3"/>
  <c r="N62" i="3"/>
  <c r="N144" i="3"/>
  <c r="N142" i="3"/>
  <c r="N141" i="3"/>
  <c r="N143" i="3"/>
  <c r="N145" i="3"/>
  <c r="N405" i="3"/>
  <c r="N404" i="3"/>
  <c r="N611" i="3"/>
  <c r="N609" i="3"/>
  <c r="N608" i="3"/>
  <c r="N610" i="3"/>
  <c r="N306" i="3"/>
  <c r="N304" i="3"/>
  <c r="N305" i="3"/>
  <c r="N319" i="3"/>
  <c r="N317" i="3"/>
  <c r="N318" i="3"/>
  <c r="N320" i="3"/>
  <c r="N745" i="3"/>
  <c r="N743" i="3"/>
  <c r="N744" i="3"/>
  <c r="N813" i="3"/>
  <c r="N811" i="3"/>
  <c r="N812" i="3"/>
  <c r="N89" i="3"/>
  <c r="N87" i="3"/>
  <c r="N88" i="3"/>
  <c r="N206" i="3"/>
  <c r="N205" i="3"/>
  <c r="N285" i="3"/>
  <c r="N284" i="3"/>
  <c r="N482" i="3"/>
  <c r="N483" i="3"/>
  <c r="N789" i="3"/>
  <c r="N788" i="3"/>
  <c r="N794" i="3"/>
  <c r="N793" i="3"/>
  <c r="N36" i="3"/>
  <c r="N34" i="3"/>
  <c r="N33" i="3"/>
  <c r="N35" i="3"/>
  <c r="N37" i="3"/>
  <c r="N84" i="3"/>
  <c r="N82" i="3"/>
  <c r="N83" i="3"/>
  <c r="N85" i="3"/>
  <c r="N125" i="3"/>
  <c r="N126" i="3"/>
  <c r="N210" i="3"/>
  <c r="N209" i="3"/>
  <c r="N521" i="3"/>
  <c r="N519" i="3"/>
  <c r="N520" i="3"/>
  <c r="N643" i="3"/>
  <c r="N642" i="3"/>
  <c r="N671" i="3"/>
  <c r="N673" i="3"/>
  <c r="N672" i="3"/>
  <c r="N674" i="3"/>
  <c r="N677" i="3"/>
  <c r="N678" i="3"/>
  <c r="N778" i="3"/>
  <c r="N777" i="3"/>
  <c r="N121" i="3"/>
  <c r="N119" i="3"/>
  <c r="N120" i="3"/>
  <c r="N150" i="3"/>
  <c r="N148" i="3"/>
  <c r="N147" i="3"/>
  <c r="N149" i="3"/>
  <c r="N199" i="3"/>
  <c r="N198" i="3"/>
  <c r="N273" i="3"/>
  <c r="N271" i="3"/>
  <c r="N270" i="3"/>
  <c r="N272" i="3"/>
  <c r="N274" i="3"/>
  <c r="N324" i="3"/>
  <c r="N323" i="3"/>
  <c r="N325" i="3"/>
  <c r="N618" i="3"/>
  <c r="N617" i="3"/>
  <c r="N619" i="3"/>
  <c r="N631" i="3"/>
  <c r="N630" i="3"/>
  <c r="N632" i="3"/>
  <c r="N301" i="3"/>
  <c r="N299" i="3"/>
  <c r="N300" i="3"/>
  <c r="N43" i="3"/>
  <c r="N41" i="3"/>
  <c r="N42" i="3"/>
  <c r="N40" i="3"/>
  <c r="N76" i="3"/>
  <c r="N74" i="3"/>
  <c r="N75" i="3"/>
  <c r="N73" i="3"/>
  <c r="N155" i="3"/>
  <c r="N153" i="3"/>
  <c r="N152" i="3"/>
  <c r="N154" i="3"/>
  <c r="N156" i="3"/>
  <c r="N172" i="3"/>
  <c r="N171" i="3"/>
  <c r="N400" i="3"/>
  <c r="N399" i="3"/>
  <c r="N583" i="3"/>
  <c r="N582" i="3"/>
  <c r="N584" i="3"/>
  <c r="N167" i="3"/>
  <c r="N168" i="3"/>
  <c r="N184" i="3"/>
  <c r="N182" i="3"/>
  <c r="N183" i="3"/>
  <c r="N648" i="3"/>
  <c r="N646" i="3"/>
  <c r="N647" i="3"/>
  <c r="N761" i="3"/>
  <c r="N762" i="3"/>
  <c r="N781" i="3"/>
  <c r="N782" i="3"/>
  <c r="N48" i="3"/>
  <c r="N46" i="3"/>
  <c r="N47" i="3"/>
  <c r="N45" i="3"/>
  <c r="N49" i="3"/>
  <c r="N79" i="3"/>
  <c r="N78" i="3"/>
  <c r="N80" i="3"/>
  <c r="N309" i="3"/>
  <c r="N308" i="3"/>
  <c r="N310" i="3"/>
  <c r="N423" i="3"/>
  <c r="N422" i="3"/>
  <c r="N601" i="3"/>
  <c r="N599" i="3"/>
  <c r="N600" i="3"/>
  <c r="N598" i="3"/>
  <c r="N748" i="3"/>
  <c r="N747" i="3"/>
  <c r="N613" i="3"/>
  <c r="N614" i="3"/>
  <c r="N441" i="3"/>
  <c r="N442" i="3"/>
  <c r="N242" i="3"/>
  <c r="N241" i="3"/>
  <c r="N243" i="3"/>
  <c r="N426" i="3"/>
  <c r="N425" i="3"/>
  <c r="N736" i="3"/>
  <c r="N735" i="3"/>
  <c r="N834" i="3"/>
  <c r="N833" i="3"/>
  <c r="N262" i="3"/>
  <c r="N260" i="3"/>
  <c r="N261" i="3"/>
  <c r="N263" i="3"/>
  <c r="N288" i="3"/>
  <c r="N287" i="3"/>
  <c r="N345" i="3"/>
  <c r="N346" i="3"/>
  <c r="N715" i="3"/>
  <c r="N716" i="3"/>
  <c r="N754" i="3"/>
  <c r="N755" i="3"/>
  <c r="N839" i="3"/>
  <c r="N840" i="3"/>
  <c r="N31" i="3"/>
  <c r="N30" i="3"/>
  <c r="N116" i="3"/>
  <c r="N115" i="3"/>
  <c r="N117" i="3"/>
  <c r="N179" i="3"/>
  <c r="N178" i="3"/>
  <c r="N180" i="3"/>
  <c r="N232" i="3"/>
  <c r="N231" i="3"/>
  <c r="N229" i="3"/>
  <c r="N230" i="3"/>
  <c r="N266" i="3"/>
  <c r="N265" i="3"/>
  <c r="N267" i="3"/>
  <c r="N336" i="3"/>
  <c r="N335" i="3"/>
  <c r="N337" i="3"/>
  <c r="N385" i="3"/>
  <c r="N384" i="3"/>
  <c r="N689" i="3"/>
  <c r="N688" i="3"/>
  <c r="N704" i="3"/>
  <c r="N703" i="3"/>
  <c r="N705" i="3"/>
  <c r="N719" i="3"/>
  <c r="N718" i="3"/>
  <c r="N758" i="3"/>
  <c r="N757" i="3"/>
  <c r="N759" i="3"/>
</calcChain>
</file>

<file path=xl/sharedStrings.xml><?xml version="1.0" encoding="utf-8"?>
<sst xmlns="http://schemas.openxmlformats.org/spreadsheetml/2006/main" count="8901" uniqueCount="2590">
  <si>
    <t>Modifica tus publicaciones</t>
  </si>
  <si>
    <t>Cambia los datos de tus productos mucho más rápido.</t>
  </si>
  <si>
    <t>Publicaciones</t>
  </si>
  <si>
    <t>¿Ya completaste los datos?</t>
  </si>
  <si>
    <t>Cuando termines, recuerda guardar y</t>
  </si>
  <si>
    <t>Ten en cuenta que...</t>
  </si>
  <si>
    <t>Solo tienes que modificar o editar las celdas con color de fondo blanco.</t>
  </si>
  <si>
    <t>Desde este excel no vas a poder agregar o quitar publicaciones ni imágenes del producto.</t>
  </si>
  <si>
    <t>Recuerda mantener el orden de las columnas para que podamos identificar lo que completes.</t>
  </si>
  <si>
    <t>¿Qué significa cada color de las celdas?</t>
  </si>
  <si>
    <t>Son las que debes completar.</t>
  </si>
  <si>
    <t xml:space="preserve">No puedes modificarla.                </t>
  </si>
  <si>
    <t>Variante</t>
  </si>
  <si>
    <t>Subir la planilla excel</t>
  </si>
  <si>
    <t>Hazlo antes del 26 de Febrero</t>
  </si>
  <si>
    <t>¿Cómo utilizar estas columnas?</t>
  </si>
  <si>
    <t>Estas son las columnas que están agrupadas. Puedes desplegarlas presionando el más [+] o colapsarlas presionando en el menos [-] en la parte superior.</t>
  </si>
  <si>
    <t>Título del producto</t>
  </si>
  <si>
    <t>b0d3095b-4ba0-4cfd-b6bb-f40786dac343</t>
  </si>
  <si>
    <t>No puedes modificar esta columna porque las unidades están en la bodega.</t>
  </si>
  <si>
    <t>Si cambias la moneda en una publicación, asegúrate de revisar todos sus precios.</t>
  </si>
  <si>
    <r>
      <t>Indica la condición del producto y evita reclamos de los compradores.</t>
    </r>
    <r>
      <rPr>
        <b/>
        <u/>
        <sz val="10"/>
        <color rgb="FF0E3D85"/>
        <rFont val="Proxima Nova"/>
      </rPr>
      <t xml:space="preserve"> 
Identificar la condición del producto</t>
    </r>
  </si>
  <si>
    <t>FAMILY_ID</t>
  </si>
  <si>
    <t>Agrupador de variantes</t>
  </si>
  <si>
    <t/>
  </si>
  <si>
    <t>ITEM_ID</t>
  </si>
  <si>
    <t>Número de publicación</t>
  </si>
  <si>
    <t>PRODUCT_NUMBER</t>
  </si>
  <si>
    <t>Número de producto</t>
  </si>
  <si>
    <t>VARIATION_ID</t>
  </si>
  <si>
    <t>Número de variante</t>
  </si>
  <si>
    <t>TITLE</t>
  </si>
  <si>
    <t>Título</t>
  </si>
  <si>
    <t>VARIATIONS</t>
  </si>
  <si>
    <t>Variantes</t>
  </si>
  <si>
    <t>STOCK_FLEX</t>
  </si>
  <si>
    <t>En mi depósito</t>
  </si>
  <si>
    <t>Obligatorio</t>
  </si>
  <si>
    <t>STOCK_FULL</t>
  </si>
  <si>
    <t>En full
(Bodega de ML)</t>
  </si>
  <si>
    <t>Información de stock</t>
  </si>
  <si>
    <t>PRICE</t>
  </si>
  <si>
    <t>Precio</t>
  </si>
  <si>
    <t>CURRENCY_ID</t>
  </si>
  <si>
    <t>Moneda</t>
  </si>
  <si>
    <t>CONDITION</t>
  </si>
  <si>
    <t>Condición</t>
  </si>
  <si>
    <t>Información del producto</t>
  </si>
  <si>
    <t>SHIPPING_METHOD</t>
  </si>
  <si>
    <t>Forma de entrega</t>
  </si>
  <si>
    <t>Condiciones de entrega</t>
  </si>
  <si>
    <t>LISTING_TYPE</t>
  </si>
  <si>
    <t>Tipo de publicación</t>
  </si>
  <si>
    <t>FEE_PER_SALE</t>
  </si>
  <si>
    <t>Cargo por venta</t>
  </si>
  <si>
    <t>STATUS</t>
  </si>
  <si>
    <t>Estado</t>
  </si>
  <si>
    <t>Condiciones de publicación</t>
  </si>
  <si>
    <t>3292701293236046</t>
  </si>
  <si>
    <t>MLC964581141</t>
  </si>
  <si>
    <t>U39091093</t>
  </si>
  <si>
    <t>Manillas Palancas Honda Crf 150f 230f 250f Logo Retráctiles</t>
  </si>
  <si>
    <t>-</t>
  </si>
  <si>
    <t>$</t>
  </si>
  <si>
    <t>Nuevo</t>
  </si>
  <si>
    <t>Mercado Envíos gratis</t>
  </si>
  <si>
    <t>Clásica</t>
  </si>
  <si>
    <t>Activa</t>
  </si>
  <si>
    <t>MLC1546909315</t>
  </si>
  <si>
    <t>Par Intermitentes Led Carenado Gota Yamaha R15 R3 R6 Etc</t>
  </si>
  <si>
    <t>8</t>
  </si>
  <si>
    <t>Mercado Envíos a cargo del comprador</t>
  </si>
  <si>
    <t>186328272947</t>
  </si>
  <si>
    <t>Transparente</t>
  </si>
  <si>
    <t>186328272945</t>
  </si>
  <si>
    <t>Ahumado</t>
  </si>
  <si>
    <t>6704137866872184</t>
  </si>
  <si>
    <t>MLC627432467</t>
  </si>
  <si>
    <t>U32923270</t>
  </si>
  <si>
    <t>Manillas Palancas Honda Crf250r Crf 250r 450r Rx Retráctil</t>
  </si>
  <si>
    <t>MLC636399648</t>
  </si>
  <si>
    <t>Protector Radiador Cubierta Yamaha Mt-03 03 Colores + Env.</t>
  </si>
  <si>
    <t>3</t>
  </si>
  <si>
    <t>173797099574</t>
  </si>
  <si>
    <t>Azul</t>
  </si>
  <si>
    <t>93155395950</t>
  </si>
  <si>
    <t>Negro</t>
  </si>
  <si>
    <t>173975042034</t>
  </si>
  <si>
    <t>Dorado</t>
  </si>
  <si>
    <t>173956655455</t>
  </si>
  <si>
    <t>Rojo</t>
  </si>
  <si>
    <t>MLC581014115</t>
  </si>
  <si>
    <t>Manillas Honda Cb190 Cb190r Con Logo Colores Hasta Año 2024</t>
  </si>
  <si>
    <t>5</t>
  </si>
  <si>
    <t>174124433026</t>
  </si>
  <si>
    <t>173664468634</t>
  </si>
  <si>
    <t>77870420264</t>
  </si>
  <si>
    <t>Gris</t>
  </si>
  <si>
    <t>75748965601</t>
  </si>
  <si>
    <t>174124433025</t>
  </si>
  <si>
    <t>Naranjo</t>
  </si>
  <si>
    <t>174124433024</t>
  </si>
  <si>
    <t>MLC1117935473</t>
  </si>
  <si>
    <t>Manillas Palancas Yamaha Yzf R3 R3a R 3 Logo Colores</t>
  </si>
  <si>
    <t>6</t>
  </si>
  <si>
    <t>180533851451</t>
  </si>
  <si>
    <t>180761712283</t>
  </si>
  <si>
    <t>180761712285</t>
  </si>
  <si>
    <t>180533851459</t>
  </si>
  <si>
    <t>180761712281</t>
  </si>
  <si>
    <t>MLC1300103008</t>
  </si>
  <si>
    <t>Soporte Patente Fender Cola C/luz Ktm Duke 200 Ng 250 390</t>
  </si>
  <si>
    <t>2</t>
  </si>
  <si>
    <t>178391137113</t>
  </si>
  <si>
    <t>178391137115</t>
  </si>
  <si>
    <t>MLC581921873</t>
  </si>
  <si>
    <t>Manillas Yamaha Mt 03 Mt03 Mt-03 Logo Colores + E. Gratis</t>
  </si>
  <si>
    <t>180761179717</t>
  </si>
  <si>
    <t>180761179719</t>
  </si>
  <si>
    <t>180761179721</t>
  </si>
  <si>
    <t>180761179723</t>
  </si>
  <si>
    <t>180761179725</t>
  </si>
  <si>
    <t>6775302030626130</t>
  </si>
  <si>
    <t>MLC972028792</t>
  </si>
  <si>
    <t>U42504138</t>
  </si>
  <si>
    <t>Tacómetro Tablero Velocímetro Yamaha Fz16 Fz 16 Fz-16</t>
  </si>
  <si>
    <t>MLC939358561</t>
  </si>
  <si>
    <t>Manillas Palancas Yamaha Fz25 Fz 25 Hasta 2023 Sin Abs Logo</t>
  </si>
  <si>
    <t>173966726254</t>
  </si>
  <si>
    <t>173966726253</t>
  </si>
  <si>
    <t>173966726255</t>
  </si>
  <si>
    <t>173966726256</t>
  </si>
  <si>
    <t>MLC1032755107</t>
  </si>
  <si>
    <t>Colín Monoplaza Deportivo Yamaha R3 R3a R 3 A Mt03 Mt 03</t>
  </si>
  <si>
    <t>174918201776</t>
  </si>
  <si>
    <t>174918201777</t>
  </si>
  <si>
    <t>174918201778</t>
  </si>
  <si>
    <t>Negro Mate</t>
  </si>
  <si>
    <t>174918201775</t>
  </si>
  <si>
    <t>196504525995</t>
  </si>
  <si>
    <t>Fibra de Carbono</t>
  </si>
  <si>
    <t>MLC1015436650</t>
  </si>
  <si>
    <t>Protector Radiador Cubre Yamaha R3 R3a R 3 A Base Negra</t>
  </si>
  <si>
    <t>4</t>
  </si>
  <si>
    <t>174725779408</t>
  </si>
  <si>
    <t>194150620493</t>
  </si>
  <si>
    <t>174725779410</t>
  </si>
  <si>
    <t>6870044320002322</t>
  </si>
  <si>
    <t>MLC1143851763</t>
  </si>
  <si>
    <t>U22712940</t>
  </si>
  <si>
    <t>Foco Integrado Led Yamaha Mt03 Mt03a R3 R3a Mt07 Con Relé</t>
  </si>
  <si>
    <t>MLC1337865772</t>
  </si>
  <si>
    <t>Cúpula Parabrisas Universal Manubrio Fz25 Mt03 Z400 Duke Gsx</t>
  </si>
  <si>
    <t>191315593431</t>
  </si>
  <si>
    <t>187116594697</t>
  </si>
  <si>
    <t>176704893005</t>
  </si>
  <si>
    <t>MLC2429450528</t>
  </si>
  <si>
    <t>Spools Carretes Soporte Caballete Yamaha Yzf R25 R3 R6 R7 R1</t>
  </si>
  <si>
    <t>No disponible</t>
  </si>
  <si>
    <t>185222024921</t>
  </si>
  <si>
    <t>184488682441</t>
  </si>
  <si>
    <t>188178550079</t>
  </si>
  <si>
    <t>MLC1311421846</t>
  </si>
  <si>
    <t>Alerón - Winglet Yamaha R15 V3 Colores</t>
  </si>
  <si>
    <t>1</t>
  </si>
  <si>
    <t>184628289887</t>
  </si>
  <si>
    <t>Amarillo</t>
  </si>
  <si>
    <t>184628886715</t>
  </si>
  <si>
    <t>184488422219</t>
  </si>
  <si>
    <t>184628886713</t>
  </si>
  <si>
    <t>MLC939807186</t>
  </si>
  <si>
    <t>Manillas Palancas Yamaha R15 R 15 V3 Logo</t>
  </si>
  <si>
    <t>184199810805</t>
  </si>
  <si>
    <t>187154292853</t>
  </si>
  <si>
    <t>187154292855</t>
  </si>
  <si>
    <t>MLC613790476</t>
  </si>
  <si>
    <t>Manillas Pulsar Ns / Rs 160 180 200 Logo Colores + Envío</t>
  </si>
  <si>
    <t>85157384525</t>
  </si>
  <si>
    <t>85157384527</t>
  </si>
  <si>
    <t>85157384520</t>
  </si>
  <si>
    <t>90804572251</t>
  </si>
  <si>
    <t>MLC911351848</t>
  </si>
  <si>
    <t>Espejos Tipo Rizoma Yamaha Fz25 Fz 25 Logo Colores + Envío</t>
  </si>
  <si>
    <t>180160190637</t>
  </si>
  <si>
    <t>180160487949</t>
  </si>
  <si>
    <t>180160487951</t>
  </si>
  <si>
    <t>MLC612727386</t>
  </si>
  <si>
    <t>Manillas Palancas Yamaha Fz16 Fzn150 Fz 2.0 Fz-s V1 V2 Logo</t>
  </si>
  <si>
    <t>7</t>
  </si>
  <si>
    <t>84697865271</t>
  </si>
  <si>
    <t>185785393387</t>
  </si>
  <si>
    <t>185785393389</t>
  </si>
  <si>
    <t>185785393391</t>
  </si>
  <si>
    <t>MLC939832275</t>
  </si>
  <si>
    <t>Tank Grip / Protector Estanque Tracción Yahama R15 R 15 V3</t>
  </si>
  <si>
    <t>184488344947</t>
  </si>
  <si>
    <t>184556880817</t>
  </si>
  <si>
    <t>184556880819</t>
  </si>
  <si>
    <t>2251628557571757</t>
  </si>
  <si>
    <t>MLC2263684572</t>
  </si>
  <si>
    <t>U207139154</t>
  </si>
  <si>
    <t>Relé Flash Intermitentes Led Moto 2 Pines Paralelos R3a Mt07</t>
  </si>
  <si>
    <t>1136610126296290</t>
  </si>
  <si>
    <t>MLC627437330</t>
  </si>
  <si>
    <t>U40894798</t>
  </si>
  <si>
    <t>Manillas Honda Crf 250l Retráctiles + Envío</t>
  </si>
  <si>
    <t>MLC922034190</t>
  </si>
  <si>
    <t>Protector Manillas Manillar Ktm Duke Con Logo Colores</t>
  </si>
  <si>
    <t>173811982155</t>
  </si>
  <si>
    <t>173811982156</t>
  </si>
  <si>
    <t>MLC909956475</t>
  </si>
  <si>
    <t>Espejos Tipo Rizoma Honda Cb190 Cb190r Logo Colores + Envío</t>
  </si>
  <si>
    <t>173671033697</t>
  </si>
  <si>
    <t>173671033699</t>
  </si>
  <si>
    <t>173671033698</t>
  </si>
  <si>
    <t>173671033700</t>
  </si>
  <si>
    <t>MLC959214600</t>
  </si>
  <si>
    <t>Manillas Palancas Ktm Rc 200 250 390 Con Logo Colores</t>
  </si>
  <si>
    <t>178866754639</t>
  </si>
  <si>
    <t>178866754641</t>
  </si>
  <si>
    <t>MLC972253186</t>
  </si>
  <si>
    <t>Cúpula Parabrisas Doble Burbuja Yamaha R3 R 3 Hasta 2018</t>
  </si>
  <si>
    <t>183148906193</t>
  </si>
  <si>
    <t>184421408387</t>
  </si>
  <si>
    <t>Iridium</t>
  </si>
  <si>
    <t>MLC980180455</t>
  </si>
  <si>
    <t>Cúpula Parabrisas Yamaha Mt03a Mt03 A Mt 03 Desde Año 2020</t>
  </si>
  <si>
    <t>181252188071</t>
  </si>
  <si>
    <t>181252188069</t>
  </si>
  <si>
    <t>1129316731642417</t>
  </si>
  <si>
    <t>MLC1337684330</t>
  </si>
  <si>
    <t>U19541513</t>
  </si>
  <si>
    <t>Cubierta Protector Radiador Honda Cb500x Cb 500 X</t>
  </si>
  <si>
    <t>MLC1055980849</t>
  </si>
  <si>
    <t>Alerón - Winglet Yamaha R3 (desde 2019) R3a R3 A</t>
  </si>
  <si>
    <t>175216105772</t>
  </si>
  <si>
    <t>175216105770</t>
  </si>
  <si>
    <t>Fibra Carbono</t>
  </si>
  <si>
    <t>175216105771</t>
  </si>
  <si>
    <t>MLC1055980907</t>
  </si>
  <si>
    <t>Alerón Yamaha R3 - Winglet Yamaha R3 (hasta 2018) Colores</t>
  </si>
  <si>
    <t>184488786613</t>
  </si>
  <si>
    <t>184488786615</t>
  </si>
  <si>
    <t>180686043035</t>
  </si>
  <si>
    <t>MLC911385051</t>
  </si>
  <si>
    <t>Cúpula Parabrisas Yamaha Mt 03 Mt03 Hasta 2019 + E. Gratis</t>
  </si>
  <si>
    <t>179565896602</t>
  </si>
  <si>
    <t>177233941389</t>
  </si>
  <si>
    <t>186577664337</t>
  </si>
  <si>
    <t>Marrón</t>
  </si>
  <si>
    <t>5459178662718164</t>
  </si>
  <si>
    <t>MLC2013914492</t>
  </si>
  <si>
    <t>U30333139</t>
  </si>
  <si>
    <t>Set Reposapiés Pedalines Delanteros Honda Cb190r Originales</t>
  </si>
  <si>
    <t>6354583714710492</t>
  </si>
  <si>
    <t>MLC2263632680</t>
  </si>
  <si>
    <t>U207137596</t>
  </si>
  <si>
    <t>Relé Flash Intermitentes Led Moto 2 Pines L Mt03 R3 (no R3a)</t>
  </si>
  <si>
    <t>MLC1041393909</t>
  </si>
  <si>
    <t>Manillas Palancas Honda Crf300l Crf 300l Logo Retráctiles</t>
  </si>
  <si>
    <t>181514688669</t>
  </si>
  <si>
    <t>181514688671</t>
  </si>
  <si>
    <t>621852799146492</t>
  </si>
  <si>
    <t>MLC1286786828</t>
  </si>
  <si>
    <t>U22355409</t>
  </si>
  <si>
    <t>Tapa Cubierta Abrazadera Manillar Ktm Duke 125 200 250 390</t>
  </si>
  <si>
    <t>3331422236070063</t>
  </si>
  <si>
    <t>MLC915358016</t>
  </si>
  <si>
    <t>U41210529</t>
  </si>
  <si>
    <t>Tank Pad Protector Estanque + Protector Tapa Dép. Cbr Repsol</t>
  </si>
  <si>
    <t>MLC932107042</t>
  </si>
  <si>
    <t>Tank Grip / Protector Estanque Ktm Duke 200 (no Ng) 390</t>
  </si>
  <si>
    <t>184824407887</t>
  </si>
  <si>
    <t>185077542881</t>
  </si>
  <si>
    <t>MLC939833131</t>
  </si>
  <si>
    <t>Soporte Espejo Barra Extensora Semi Manillar - Vespas</t>
  </si>
  <si>
    <t>173972936864</t>
  </si>
  <si>
    <t>173972936863</t>
  </si>
  <si>
    <t>173972936865</t>
  </si>
  <si>
    <t>173972936866</t>
  </si>
  <si>
    <t>173972936867</t>
  </si>
  <si>
    <t>173972936868</t>
  </si>
  <si>
    <t>Plateado</t>
  </si>
  <si>
    <t>173972936869</t>
  </si>
  <si>
    <t>MLC938302863</t>
  </si>
  <si>
    <t>Adhesivos Sticker Pegatinas Reflectantes Ruedas Cb190 Cb190r</t>
  </si>
  <si>
    <t>185885597565</t>
  </si>
  <si>
    <t>Tricolor</t>
  </si>
  <si>
    <t>174165078554</t>
  </si>
  <si>
    <t>174165078555</t>
  </si>
  <si>
    <t>174165078558</t>
  </si>
  <si>
    <t>174165078556</t>
  </si>
  <si>
    <t>MLC939813141</t>
  </si>
  <si>
    <t>Protector Radiador Cubierta Yamaha R15 R 15 V3</t>
  </si>
  <si>
    <t>173971800722</t>
  </si>
  <si>
    <t>173971800720</t>
  </si>
  <si>
    <t>173971800721</t>
  </si>
  <si>
    <t>173971800719</t>
  </si>
  <si>
    <t>MLC582291290</t>
  </si>
  <si>
    <t>Manillas Honda Cbr 250 300 500 Abs Logo Colores + E. Gratis</t>
  </si>
  <si>
    <t>190502922898</t>
  </si>
  <si>
    <t>Negro-Negro-Negro</t>
  </si>
  <si>
    <t>173974905112</t>
  </si>
  <si>
    <t>Naranjo-Negro-Naranjo</t>
  </si>
  <si>
    <t>173974905113</t>
  </si>
  <si>
    <t>Naranjo-Gris-Naranjo</t>
  </si>
  <si>
    <t>79623956764</t>
  </si>
  <si>
    <t>Dorado-Negro-Dorado</t>
  </si>
  <si>
    <t>173974905111</t>
  </si>
  <si>
    <t>Rojo-Negro-Rojo</t>
  </si>
  <si>
    <t>3997300887903161</t>
  </si>
  <si>
    <t>MLC972996557</t>
  </si>
  <si>
    <t>U40514651</t>
  </si>
  <si>
    <t>Tank Grip / Protector Estanque Tracción Yahama R3a R3 A Goma</t>
  </si>
  <si>
    <t>MLC961882466</t>
  </si>
  <si>
    <t>Protector Manillas Palancas Manillar Yamaha Mt03 Mt 03 Logo</t>
  </si>
  <si>
    <t>174191585561</t>
  </si>
  <si>
    <t>174191585560</t>
  </si>
  <si>
    <t>7442879794793335</t>
  </si>
  <si>
    <t>MLC633235120</t>
  </si>
  <si>
    <t>U37592744</t>
  </si>
  <si>
    <t>Tank Grip / Protector Estanque Tracción Yahama R3 (no R3a)</t>
  </si>
  <si>
    <t>MLC986167258</t>
  </si>
  <si>
    <t>Protector Radiador Cubierta Ktm Duke 200 250 390 Desde 2018</t>
  </si>
  <si>
    <t>174430627780</t>
  </si>
  <si>
    <t>174429706018</t>
  </si>
  <si>
    <t>5273693977846403</t>
  </si>
  <si>
    <t>MLC986409035</t>
  </si>
  <si>
    <t>U42325389</t>
  </si>
  <si>
    <t>Pedalines Reposapiés Estriberas Honda Crf 250 450 R X M L</t>
  </si>
  <si>
    <t>MLC1014923728</t>
  </si>
  <si>
    <t>Manillas Palancas Honda Cb500x Cb500f Cb500 (h. 2021) Logo</t>
  </si>
  <si>
    <t>181816455659</t>
  </si>
  <si>
    <t>181816455661</t>
  </si>
  <si>
    <t>1442698388567553</t>
  </si>
  <si>
    <t>MLC1055997138</t>
  </si>
  <si>
    <t>U22066355</t>
  </si>
  <si>
    <t>Protector Cubierta Cubre Cárter Motor Honda Crf300l Crf 300l</t>
  </si>
  <si>
    <t>MLC1320686626</t>
  </si>
  <si>
    <t>Pedales Freno Cambio Ktm Duke 200 250 390 Rc Hasta Año 2016</t>
  </si>
  <si>
    <t>186417464015</t>
  </si>
  <si>
    <t>186417464013</t>
  </si>
  <si>
    <t>8113835013135023</t>
  </si>
  <si>
    <t>MLC1556342917</t>
  </si>
  <si>
    <t>U2885942200</t>
  </si>
  <si>
    <t>Alerones Laterales Aerodinámicos Universales Motos R15 R3</t>
  </si>
  <si>
    <t>8755827386415607</t>
  </si>
  <si>
    <t>MLC1600804393</t>
  </si>
  <si>
    <t>U3132674465</t>
  </si>
  <si>
    <t>Filtro Aceite Yamaha R3 R3a Mt03 Mt03a Mt07 R6 Xj6 Original</t>
  </si>
  <si>
    <t>5585721537247259</t>
  </si>
  <si>
    <t>MLC944067291</t>
  </si>
  <si>
    <t>U35185147</t>
  </si>
  <si>
    <t>Manillas Palancas Honda Repsol Cb190r Hasta 2024 Cbr 300/500</t>
  </si>
  <si>
    <t>1966092801360107</t>
  </si>
  <si>
    <t>MLC1578921497</t>
  </si>
  <si>
    <t>U3023323957</t>
  </si>
  <si>
    <t>Perno Tornillo Pedal Cambio Honda Cb190r Hasta Año 2024</t>
  </si>
  <si>
    <t>MLC2280826350</t>
  </si>
  <si>
    <t>Alerón - Winglet Yamaha R15 V4 Colores + Envío Gratis</t>
  </si>
  <si>
    <t>184745172335</t>
  </si>
  <si>
    <t>184745172331</t>
  </si>
  <si>
    <t>184745172333</t>
  </si>
  <si>
    <t>MLC1055889758</t>
  </si>
  <si>
    <t>Quilla Cubierta Protector Motor Honda Cb150f Cb190r Colores</t>
  </si>
  <si>
    <t>175216150780</t>
  </si>
  <si>
    <t>178893585961</t>
  </si>
  <si>
    <t>175216150779</t>
  </si>
  <si>
    <t>1005256776525713</t>
  </si>
  <si>
    <t>MLC1299906207</t>
  </si>
  <si>
    <t>U24882124</t>
  </si>
  <si>
    <t>Soporte Patente C/luz Cola Ktm Rc 200 250 390 Modelo Antiguo</t>
  </si>
  <si>
    <t>MLC2601669682</t>
  </si>
  <si>
    <t>Tapas Tornillo Amortiguador Delantero Yamaha R3 R3a R 3 Logo</t>
  </si>
  <si>
    <t>183811083825</t>
  </si>
  <si>
    <t>183811083823</t>
  </si>
  <si>
    <t>612478929570887</t>
  </si>
  <si>
    <t>MLC2852833184</t>
  </si>
  <si>
    <t>U3046414811</t>
  </si>
  <si>
    <t>Tacómetro Velocímetro Yamaha Fz 2.0 Fzn150 Fz-s V2 Fi</t>
  </si>
  <si>
    <t>6070860809716462</t>
  </si>
  <si>
    <t>MLC1198803270</t>
  </si>
  <si>
    <t>U23921569</t>
  </si>
  <si>
    <t>Parrilla Soporte Manos Equipaje Carga Honda Crf300l Crf 300l</t>
  </si>
  <si>
    <t>2639909066898647</t>
  </si>
  <si>
    <t>MLC1438717601</t>
  </si>
  <si>
    <t>U31363984</t>
  </si>
  <si>
    <t>Linterna De Cuello Cat Caterpilar 200 Lumens Ct7100nb Blanco Negro</t>
  </si>
  <si>
    <t>MLC1469810933</t>
  </si>
  <si>
    <t>Cúpula Parabrisas Ktm Adventure Adv 250 390</t>
  </si>
  <si>
    <t>182055953765</t>
  </si>
  <si>
    <t>182055953767</t>
  </si>
  <si>
    <t>4428364405153298</t>
  </si>
  <si>
    <t>MLC1600873529</t>
  </si>
  <si>
    <t>U3138112354</t>
  </si>
  <si>
    <t>Filtro De Aire Yamaha R3 R3a Mt03 Mt03a Original</t>
  </si>
  <si>
    <t>1835422015241568</t>
  </si>
  <si>
    <t>MLC1816853996</t>
  </si>
  <si>
    <t>U26188784</t>
  </si>
  <si>
    <t>Guardamanos Protector Manillar Palancas Yamaha Mt03 Mt03a</t>
  </si>
  <si>
    <t>MLC2469002456</t>
  </si>
  <si>
    <t>Placa Soporte Extensión Pata Apoyo Honda Cb500x Cb500 X</t>
  </si>
  <si>
    <t>182973350771</t>
  </si>
  <si>
    <t>185222024883</t>
  </si>
  <si>
    <t>1914102165004308</t>
  </si>
  <si>
    <t>MLC3394711382</t>
  </si>
  <si>
    <t>U3665213526</t>
  </si>
  <si>
    <t>Aceite Ipone Katana Sport 10w50 1l Full Sintético</t>
  </si>
  <si>
    <t>5912242571748759</t>
  </si>
  <si>
    <t>MLC1274106406</t>
  </si>
  <si>
    <t>U23789904</t>
  </si>
  <si>
    <t>Manillas Palancas Honda Crf150r Crf 150r Logo Retráctiles</t>
  </si>
  <si>
    <t>1139729541245097</t>
  </si>
  <si>
    <t>MLC1495561331</t>
  </si>
  <si>
    <t>U391523960</t>
  </si>
  <si>
    <t>Foco Integrado Led Yamaha Mt03 Mt03a R3 R3a Mt07 Sin Relé</t>
  </si>
  <si>
    <t>7259433809477943</t>
  </si>
  <si>
    <t>MLC2554626296</t>
  </si>
  <si>
    <t>U400734342</t>
  </si>
  <si>
    <t>Reposapiés Delantero Izquierdo Cambio Honda Cb190r Original</t>
  </si>
  <si>
    <t>MLC1015413388</t>
  </si>
  <si>
    <t>Set Manillas Palancas + Protector Ktm Rc 200 250 390 Logo</t>
  </si>
  <si>
    <t>174725561529</t>
  </si>
  <si>
    <t>Negro-Naranjo</t>
  </si>
  <si>
    <t>174725561528</t>
  </si>
  <si>
    <t>Naranjo-Naranjo</t>
  </si>
  <si>
    <t>7062899857569936</t>
  </si>
  <si>
    <t>MLC1500535503</t>
  </si>
  <si>
    <t>U398989901</t>
  </si>
  <si>
    <t>Reposapiés Delantero Derecho Freno Honda Cb190r Original</t>
  </si>
  <si>
    <t>MLC2773925514</t>
  </si>
  <si>
    <t>Par Intermitentes Yamaha R15 R3 R6 Mt03 Etc</t>
  </si>
  <si>
    <t>186005984285</t>
  </si>
  <si>
    <t>186005984287</t>
  </si>
  <si>
    <t>9000721074896707</t>
  </si>
  <si>
    <t>MLC2888321548</t>
  </si>
  <si>
    <t>U3168765658</t>
  </si>
  <si>
    <t>Pastillas Freno Trasero Yamaha R3 R3a Mt03 Mt03a Original</t>
  </si>
  <si>
    <t>MLC636061559</t>
  </si>
  <si>
    <t>Protector De Manillas Bajaj Pulsar Ns Rs Con Logo Colores</t>
  </si>
  <si>
    <t>93079281995</t>
  </si>
  <si>
    <t>93079281993</t>
  </si>
  <si>
    <t>MLC938327690</t>
  </si>
  <si>
    <t>Alerón Winglet Ninja 250 300 400 Desde Año 2018</t>
  </si>
  <si>
    <t>183884884773</t>
  </si>
  <si>
    <t>Verde</t>
  </si>
  <si>
    <t>183884884771</t>
  </si>
  <si>
    <t>MLC985706558</t>
  </si>
  <si>
    <t>Manillas Palancas Honda Cb500x Cb500 X (h. 2021) Logo</t>
  </si>
  <si>
    <t>175216151716</t>
  </si>
  <si>
    <t>175216151717</t>
  </si>
  <si>
    <t>MLC1146656931</t>
  </si>
  <si>
    <t>Set 3 Tapas Depósito Líquido Freno Protector Yamaha R3 R3a</t>
  </si>
  <si>
    <t>175720868430</t>
  </si>
  <si>
    <t>185221790911</t>
  </si>
  <si>
    <t>185221790913</t>
  </si>
  <si>
    <t>MLC1286772645</t>
  </si>
  <si>
    <t>Foco Integrado + Soporte Patente Elimina Cola Honda Crf 250l</t>
  </si>
  <si>
    <t>176361147524</t>
  </si>
  <si>
    <t>176361147525</t>
  </si>
  <si>
    <t>MLC1484798467</t>
  </si>
  <si>
    <t>Alerón Winglet Bajaj Rs200 Rs 200 Colores</t>
  </si>
  <si>
    <t>184954797387</t>
  </si>
  <si>
    <t>182758084551</t>
  </si>
  <si>
    <t>184954797389</t>
  </si>
  <si>
    <t>184954797385</t>
  </si>
  <si>
    <t>8752467274481656</t>
  </si>
  <si>
    <t>MLC1618282639</t>
  </si>
  <si>
    <t>U3196203691</t>
  </si>
  <si>
    <t>Piola De Embrague Yamaha R3 R3a Original</t>
  </si>
  <si>
    <t>5077898602539151</t>
  </si>
  <si>
    <t>MLC2677889756</t>
  </si>
  <si>
    <t>U713863369</t>
  </si>
  <si>
    <t>Par Resistencias Intermitentes Led Moto Universal Hyperflash</t>
  </si>
  <si>
    <t>MLC609167937</t>
  </si>
  <si>
    <t>Manillas Abatibles Regulables Bajaj Dominar Con Logo Colores</t>
  </si>
  <si>
    <t>89948061481</t>
  </si>
  <si>
    <t>92719252894</t>
  </si>
  <si>
    <t>83134468244</t>
  </si>
  <si>
    <t>3231808767119618</t>
  </si>
  <si>
    <t>MLC986355802</t>
  </si>
  <si>
    <t>U39982933</t>
  </si>
  <si>
    <t>Pedalines Estriberas Ktm Exc Sx Xcw F Six Days 17/..</t>
  </si>
  <si>
    <t>MLC986970908</t>
  </si>
  <si>
    <t>Espejos Tipo Rizoma Yamaha Mt03 Mt 03 Mt-03 Logo Colores</t>
  </si>
  <si>
    <t>174436317804</t>
  </si>
  <si>
    <t>174436317803</t>
  </si>
  <si>
    <t>174436317805</t>
  </si>
  <si>
    <t>MLC1299030718</t>
  </si>
  <si>
    <t>Set Protector Estanque Kawasaki Ninja400 Z400 Ninja Z Goma</t>
  </si>
  <si>
    <t>180462698871</t>
  </si>
  <si>
    <t>180462698873</t>
  </si>
  <si>
    <t>MLC1375837855</t>
  </si>
  <si>
    <t>Placa Soporte Extensión Pata Apoyo Ktm Duke 200 390 ../18</t>
  </si>
  <si>
    <t>177836756453</t>
  </si>
  <si>
    <t>Negro - Naranjo</t>
  </si>
  <si>
    <t>177836756455</t>
  </si>
  <si>
    <t>Negro - Negro</t>
  </si>
  <si>
    <t>MLC2676597432</t>
  </si>
  <si>
    <t>Foco Faro Luz Led Delantero Ktm Exc Xc Sx Mx Xc Universal</t>
  </si>
  <si>
    <t>186268342769</t>
  </si>
  <si>
    <t>Ambos lados / Naranjo</t>
  </si>
  <si>
    <t>186603888663</t>
  </si>
  <si>
    <t>Ambos lados / Blanco</t>
  </si>
  <si>
    <t>6645157436243241</t>
  </si>
  <si>
    <t>MLC2796293058</t>
  </si>
  <si>
    <t>U2876317769</t>
  </si>
  <si>
    <t>Alerón Winglet Aleta Yamaha R15 R 15 V3 Fibra De Carbono</t>
  </si>
  <si>
    <t>6176607676003778</t>
  </si>
  <si>
    <t>MLC2800860692</t>
  </si>
  <si>
    <t>U2884828619</t>
  </si>
  <si>
    <t>Manillas Palancas Ktm Exc Sx Xcw F Six Days Desde 2014</t>
  </si>
  <si>
    <t>1255307326840100</t>
  </si>
  <si>
    <t>MLC2823789240</t>
  </si>
  <si>
    <t>U2926909619</t>
  </si>
  <si>
    <t>Protector Radiador Cubierta Yamaha Mt03 Mt03a Mt-03 Mt 03 V2</t>
  </si>
  <si>
    <t>7374119294965285</t>
  </si>
  <si>
    <t>MLC2858013666</t>
  </si>
  <si>
    <t>U3068708175</t>
  </si>
  <si>
    <t>Manillas Honda Crf 250r 450r Rx Crf250r Retráctil S/logo</t>
  </si>
  <si>
    <t>1309762120769873</t>
  </si>
  <si>
    <t>MLC2872833210</t>
  </si>
  <si>
    <t>U3129966484</t>
  </si>
  <si>
    <t>Manilla Palanca Freno Yamaha R3 R3a Mt03 Mt03a Original</t>
  </si>
  <si>
    <t>Aluminio</t>
  </si>
  <si>
    <t>2122310059686522</t>
  </si>
  <si>
    <t>MLC986401233</t>
  </si>
  <si>
    <t>U40776519</t>
  </si>
  <si>
    <t>Pedalines Estriberas Ktm Exc Sx Xcw F Six Days ../16</t>
  </si>
  <si>
    <t>MLC1041795709</t>
  </si>
  <si>
    <t>Manillas Yamaha Mt 07 Mt07 Mt-07 Logo Colores + E. Gratis</t>
  </si>
  <si>
    <t>190505171552</t>
  </si>
  <si>
    <t>190505171554</t>
  </si>
  <si>
    <t>190505171556</t>
  </si>
  <si>
    <t>190505171558</t>
  </si>
  <si>
    <t>MLC1300057728</t>
  </si>
  <si>
    <t>Sliders Topes De Caída Yamaha R15 V3 Colores</t>
  </si>
  <si>
    <t>176426810356</t>
  </si>
  <si>
    <t>176426810357</t>
  </si>
  <si>
    <t>179134401499</t>
  </si>
  <si>
    <t>8523435568101215</t>
  </si>
  <si>
    <t>MLC2873205140</t>
  </si>
  <si>
    <t>U3130712922</t>
  </si>
  <si>
    <t>Manilla Palanca Embrague Yamaha R15 V3 R15 V4 Original</t>
  </si>
  <si>
    <t>MLC635723020</t>
  </si>
  <si>
    <t>Manillas Yamaha R15 R 15 V1 V2 Regulables Abatibles Logo</t>
  </si>
  <si>
    <t>92942241084</t>
  </si>
  <si>
    <t>92942241086</t>
  </si>
  <si>
    <t>173969848229</t>
  </si>
  <si>
    <t>173969848230</t>
  </si>
  <si>
    <t>92942241082</t>
  </si>
  <si>
    <t>8728873572691461</t>
  </si>
  <si>
    <t>MLC938149894</t>
  </si>
  <si>
    <t>U41538641</t>
  </si>
  <si>
    <t>Protector Radiador Cubierta Kawasaki Ninja400 Ninja 400</t>
  </si>
  <si>
    <t>MLC1017702344</t>
  </si>
  <si>
    <t>Protector Radiador Cubre Cubierta Kawasaki Z400 Z 400 Logo</t>
  </si>
  <si>
    <t>174752262620</t>
  </si>
  <si>
    <t>178303493115</t>
  </si>
  <si>
    <t>MLC1041807855</t>
  </si>
  <si>
    <t>Set Adhesivos Sticker Pegatinas Reflectantes Ruedas Mt03</t>
  </si>
  <si>
    <t>180728458025</t>
  </si>
  <si>
    <t>180728458023</t>
  </si>
  <si>
    <t>180728458027</t>
  </si>
  <si>
    <t>MLC1405400527</t>
  </si>
  <si>
    <t>Placa Soporte Extensión Pata Apoyo Yamaha R3 R3a R 3</t>
  </si>
  <si>
    <t>179136975303</t>
  </si>
  <si>
    <t>179136975307</t>
  </si>
  <si>
    <t>MLC1459769271</t>
  </si>
  <si>
    <t>Adhesivos Sticker Reflectantes Ruedas Yamaha R3 R3a Logo Xl</t>
  </si>
  <si>
    <t>191465249537</t>
  </si>
  <si>
    <t>181755345299</t>
  </si>
  <si>
    <t>5222759112764344</t>
  </si>
  <si>
    <t>MLC1495832993</t>
  </si>
  <si>
    <t>U390413379</t>
  </si>
  <si>
    <t>Tacómetro Tablero Velocímetro Honda Cbx250 Twister</t>
  </si>
  <si>
    <t>1351543333266043</t>
  </si>
  <si>
    <t>MLC1593278409</t>
  </si>
  <si>
    <t>U3097609423</t>
  </si>
  <si>
    <t>Pedal Lado Freno Ktm Duke 200 250 390 Rc Hasta Año 2016 Goma</t>
  </si>
  <si>
    <t>4738249807461698</t>
  </si>
  <si>
    <t>MLC1779557469</t>
  </si>
  <si>
    <t>U3658595615</t>
  </si>
  <si>
    <t>Aceite Yamalube Full Sintético 10w40 1l</t>
  </si>
  <si>
    <t>4176574355178530</t>
  </si>
  <si>
    <t>MLC2248033080</t>
  </si>
  <si>
    <t>U139072998</t>
  </si>
  <si>
    <t>Pedal Palanca De Cambio Yamaha Mt03 Mt03a R3 R3a Alternativo</t>
  </si>
  <si>
    <t>678113867592703</t>
  </si>
  <si>
    <t>MLC2677967894</t>
  </si>
  <si>
    <t>U713968495</t>
  </si>
  <si>
    <t>Radiador Yamaha Mt03 Mt-03 Mt 03 Mt03a Alternativo</t>
  </si>
  <si>
    <t>1856780251967283</t>
  </si>
  <si>
    <t>MLC2679131212</t>
  </si>
  <si>
    <t>U725279550</t>
  </si>
  <si>
    <t>Tank Grip / Protector Estanque Tracción Yahama R7 R 7 Logo</t>
  </si>
  <si>
    <t>7124034951358082</t>
  </si>
  <si>
    <t>MLC2688511868</t>
  </si>
  <si>
    <t>U922755897</t>
  </si>
  <si>
    <t>Intercomunicador Audífono Casco Moto Ejeas V6 Pro + Plus</t>
  </si>
  <si>
    <t>5774164815481945</t>
  </si>
  <si>
    <t>MLC911371959</t>
  </si>
  <si>
    <t>U41517388</t>
  </si>
  <si>
    <t>Cúpula Parabrisas Yamaha Mt 03 Mt03 Desde 2020 + E. Gratis</t>
  </si>
  <si>
    <t>6801763975846387</t>
  </si>
  <si>
    <t>MLC1469812243</t>
  </si>
  <si>
    <t>U334744363</t>
  </si>
  <si>
    <t>Placa Soporte Extensión Pata Apoyo Ktm Adventure Adv 390</t>
  </si>
  <si>
    <t>MLC1490022221</t>
  </si>
  <si>
    <t>Manillas Palancas Yamaha R15 R 15 V4 Logo</t>
  </si>
  <si>
    <t>182986300329</t>
  </si>
  <si>
    <t>182986300327</t>
  </si>
  <si>
    <t>186644277739</t>
  </si>
  <si>
    <t>7719185259727300</t>
  </si>
  <si>
    <t>MLC1496373773</t>
  </si>
  <si>
    <t>U391495381</t>
  </si>
  <si>
    <t>Compresor Mini Portátil Recargable Para Carro Bici Czk Color Negro</t>
  </si>
  <si>
    <t>MLC2514753046</t>
  </si>
  <si>
    <t>Protector Cubre Radiador + Entrada Aire Yamaha Mt03a Mt 03 A</t>
  </si>
  <si>
    <t>183249168149</t>
  </si>
  <si>
    <t>183249168147</t>
  </si>
  <si>
    <t>183249168151</t>
  </si>
  <si>
    <t>MLC2690423042</t>
  </si>
  <si>
    <t>Protector Radiador Cubierta Yamaha Mt 07 Mt07 Fz07 Logo V2</t>
  </si>
  <si>
    <t>181590211592</t>
  </si>
  <si>
    <t>184745639921</t>
  </si>
  <si>
    <t>184745639923</t>
  </si>
  <si>
    <t>4669492800144263</t>
  </si>
  <si>
    <t>MLC2849389290</t>
  </si>
  <si>
    <t>U3030160795</t>
  </si>
  <si>
    <t>Reposapiés Delantero Derecho Honda Cb190r Alternativo</t>
  </si>
  <si>
    <t>MLC2858156952</t>
  </si>
  <si>
    <t>Manillas Palancas Honda Cb190r Cb500x F (hasta 2021) S/logo</t>
  </si>
  <si>
    <t>187233644841</t>
  </si>
  <si>
    <t>187233644843</t>
  </si>
  <si>
    <t>6220449386652801</t>
  </si>
  <si>
    <t>MLC3405402566</t>
  </si>
  <si>
    <t>U3671185838</t>
  </si>
  <si>
    <t>Bujia Ngk Iridium Cr8eix Yamaha R3/a Mt03/a Etc</t>
  </si>
  <si>
    <t>MLC985744179</t>
  </si>
  <si>
    <t>Manillas Palancas Kawasaki Z400 Z 400 Logo Abatibles</t>
  </si>
  <si>
    <t>174435732997</t>
  </si>
  <si>
    <t>174435732998</t>
  </si>
  <si>
    <t>175925438768</t>
  </si>
  <si>
    <t>176354220820</t>
  </si>
  <si>
    <t>1755309531366928</t>
  </si>
  <si>
    <t>MLC1015431390</t>
  </si>
  <si>
    <t>U18828870</t>
  </si>
  <si>
    <t>Protector Radiador Cubre Kawasaki Z400 Z 400 Logo Inferior</t>
  </si>
  <si>
    <t>MLC1015432192</t>
  </si>
  <si>
    <t>Protector Manillas Manillar Ktm Rc Con Logo Colores</t>
  </si>
  <si>
    <t>175980979014</t>
  </si>
  <si>
    <t>Fibra Carbono-Naranjo</t>
  </si>
  <si>
    <t>175980979016</t>
  </si>
  <si>
    <t>175980979017</t>
  </si>
  <si>
    <t>Negro-Negro</t>
  </si>
  <si>
    <t>8061038720997741</t>
  </si>
  <si>
    <t>MLC1041801851</t>
  </si>
  <si>
    <t>U21715469</t>
  </si>
  <si>
    <t>Manillas Honda Crf 250m 250 M Retráctiles + Envío Gratis</t>
  </si>
  <si>
    <t>4160260334140025</t>
  </si>
  <si>
    <t>MLC1399069043</t>
  </si>
  <si>
    <t>U26993022</t>
  </si>
  <si>
    <t>Máscara Cubre Cuello Largo Frío 3m Thinsulate Moto Bici Ski</t>
  </si>
  <si>
    <t>Largo Negro Fibra 3m Thinsulate</t>
  </si>
  <si>
    <t>MLC1436347567</t>
  </si>
  <si>
    <t>Adhesivos Sticker Pegatinas Reflectantes Ruedas Yamaha R15</t>
  </si>
  <si>
    <t>180444455409</t>
  </si>
  <si>
    <t>180444455405</t>
  </si>
  <si>
    <t>180444455407</t>
  </si>
  <si>
    <t>6368293647851543</t>
  </si>
  <si>
    <t>MLC1467668894</t>
  </si>
  <si>
    <t>U28546111</t>
  </si>
  <si>
    <t>Manillas Palancas Honda Crf250x Crf450x 450x 250x Retráctil</t>
  </si>
  <si>
    <t>7832858392044463</t>
  </si>
  <si>
    <t>MLC2250510372</t>
  </si>
  <si>
    <t>U138763111</t>
  </si>
  <si>
    <t>Protector Radiador Cubierta Husqvarna Svartpilen 401 H. 2023</t>
  </si>
  <si>
    <t>MLC2492232144</t>
  </si>
  <si>
    <t>Protector Cubierta Entrada Aire Yamaha Mt03a Mt 03 A Colores</t>
  </si>
  <si>
    <t>180703317698</t>
  </si>
  <si>
    <t>180703317700</t>
  </si>
  <si>
    <t>180703317696</t>
  </si>
  <si>
    <t>2674872471752755</t>
  </si>
  <si>
    <t>MLC2800789600</t>
  </si>
  <si>
    <t>U2889330620</t>
  </si>
  <si>
    <t>Soporte Patente C/luz Cola Kawasaki Ninja400 Ninja500 Z400</t>
  </si>
  <si>
    <t>2897115103478611</t>
  </si>
  <si>
    <t>MLC2860752618</t>
  </si>
  <si>
    <t>U3078702643</t>
  </si>
  <si>
    <t>Soporte Patente Cola C/luz Fijo Yamaha R15 V1 V2 V3 V4</t>
  </si>
  <si>
    <t>6816374276484182</t>
  </si>
  <si>
    <t>MLC2867622386</t>
  </si>
  <si>
    <t>U3106135705</t>
  </si>
  <si>
    <t>Protector Basculante Ktm Exc Excf Xcw Xcfw Six Days 12-22</t>
  </si>
  <si>
    <t>6191870635244693</t>
  </si>
  <si>
    <t>MLC1073840140</t>
  </si>
  <si>
    <t>U22455421</t>
  </si>
  <si>
    <t>Set Adhesivos Sticker Reflectantes Ruedas Kawasaki Z400</t>
  </si>
  <si>
    <t>8552104894003119</t>
  </si>
  <si>
    <t>MLC1477773777</t>
  </si>
  <si>
    <t>U358000136</t>
  </si>
  <si>
    <t>Pedal Palanca Cambio Kawasaki Ninja400 Z400 Ninja 400 R</t>
  </si>
  <si>
    <t>6909075699859702</t>
  </si>
  <si>
    <t>MLC1775877048</t>
  </si>
  <si>
    <t>U26015244</t>
  </si>
  <si>
    <t>Máscara Cubre Cuello Frente Largo Rimix Frío Moto Bici Ski</t>
  </si>
  <si>
    <t>Largo Negro</t>
  </si>
  <si>
    <t>MLC2798773926</t>
  </si>
  <si>
    <t>Cúpula Parabrisas Doble Burbuja Yamaha R 15 R15 V3</t>
  </si>
  <si>
    <t>186302884109</t>
  </si>
  <si>
    <t>186302884111</t>
  </si>
  <si>
    <t>7980504470267734</t>
  </si>
  <si>
    <t>MLC2854754456</t>
  </si>
  <si>
    <t>U3061836436</t>
  </si>
  <si>
    <t>Manillas Palancas Honda Crf 150f 230f 250f S/logo Retráctil</t>
  </si>
  <si>
    <t>8376926750436386</t>
  </si>
  <si>
    <t>MLC2873398612</t>
  </si>
  <si>
    <t>U3131965842</t>
  </si>
  <si>
    <t>Manilla Freno Yamaha R15 V4 - Fz25a - Fz-s V3 - Fzx Original</t>
  </si>
  <si>
    <t>88547047077005</t>
  </si>
  <si>
    <t>MLC2877776020</t>
  </si>
  <si>
    <t>U3140718418</t>
  </si>
  <si>
    <t>Goma Roce Deslizador Cadena Yamaha Fz25 Fz25a Original</t>
  </si>
  <si>
    <t>MLC911316464</t>
  </si>
  <si>
    <t>Cúpula Parabrisas Doble Burbuja Honda Cbr 500 Desde 2019</t>
  </si>
  <si>
    <t>174064633885</t>
  </si>
  <si>
    <t>173689879119</t>
  </si>
  <si>
    <t>4235291839782638</t>
  </si>
  <si>
    <t>MLC964581201</t>
  </si>
  <si>
    <t>U42032957</t>
  </si>
  <si>
    <t>Manillas Honda Crf250r Crf450r 2004-2006 Retráctiles</t>
  </si>
  <si>
    <t>2904152495189963</t>
  </si>
  <si>
    <t>MLC973153717</t>
  </si>
  <si>
    <t>U35120562</t>
  </si>
  <si>
    <t>Tank Grip / Protector Estanque Tracción Yahama Mt07 (../17)</t>
  </si>
  <si>
    <t>3309241205290657</t>
  </si>
  <si>
    <t>MLC1509108135</t>
  </si>
  <si>
    <t>U427705438</t>
  </si>
  <si>
    <t>Set Protector Estanque Yamaha Mt03 (desde 2020) Mt03a Goma</t>
  </si>
  <si>
    <t>MLC1552847181</t>
  </si>
  <si>
    <t>Sliders Topes De Caída Simples Yamaha R3 Hasta Año 2018</t>
  </si>
  <si>
    <t>186187846991</t>
  </si>
  <si>
    <t>186187846993</t>
  </si>
  <si>
    <t>854538377809996</t>
  </si>
  <si>
    <t>MLC1598556481</t>
  </si>
  <si>
    <t>U3124077217</t>
  </si>
  <si>
    <t>Soporte Espejo Manilla Embrague Yamaha R3/a Mt03/a Original</t>
  </si>
  <si>
    <t>3059061346168661</t>
  </si>
  <si>
    <t>MLC1625290361</t>
  </si>
  <si>
    <t>U3223283815</t>
  </si>
  <si>
    <t>Piola De Embrague Yamaha Mt03a Mt03 A Mt 03 Abs Original</t>
  </si>
  <si>
    <t>4123950105985324</t>
  </si>
  <si>
    <t>MLC1629798853</t>
  </si>
  <si>
    <t>U3248066332</t>
  </si>
  <si>
    <t>Bujía Denso Iridium Japón Iu24 (cr8e) Yamaha R3/a Mt03/a Etc</t>
  </si>
  <si>
    <t>937252353890612</t>
  </si>
  <si>
    <t>MLC2250497908</t>
  </si>
  <si>
    <t>U138764027</t>
  </si>
  <si>
    <t>Protector Radiador Cubierta Husqvarna Vitpilen 401</t>
  </si>
  <si>
    <t>5597287729563137</t>
  </si>
  <si>
    <t>MLC2429501128</t>
  </si>
  <si>
    <t>U370965272</t>
  </si>
  <si>
    <t>Asiento Sillín Copiloto Pasajero Yamaha R3 R3a Mt03 Mt03a</t>
  </si>
  <si>
    <t>8520466586843758</t>
  </si>
  <si>
    <t>MLC2429721698</t>
  </si>
  <si>
    <t>U369466589</t>
  </si>
  <si>
    <t>Tope Caída Slider Rueda Delantera Yamaha Mt03 Mt03a R3 R3a</t>
  </si>
  <si>
    <t>6496746551654795</t>
  </si>
  <si>
    <t>MLC2563571632</t>
  </si>
  <si>
    <t>U403591966</t>
  </si>
  <si>
    <t>Radiador Yamaha R3 R3a R 3 A Alternativo</t>
  </si>
  <si>
    <t>4077935834184675</t>
  </si>
  <si>
    <t>MLC2889830722</t>
  </si>
  <si>
    <t>U3173327370</t>
  </si>
  <si>
    <t>Manilla Palanca Embrague Yamaha Fz25 Fz25a Fz 25 A Original</t>
  </si>
  <si>
    <t>1449785790144468</t>
  </si>
  <si>
    <t>MLC2904589662</t>
  </si>
  <si>
    <t>U3209810106</t>
  </si>
  <si>
    <t>Piola De Embrague Yamaha Mt03 Mt 03 (no Mt03a) Original</t>
  </si>
  <si>
    <t>2900635755602958</t>
  </si>
  <si>
    <t>MLC1203501052</t>
  </si>
  <si>
    <t>U22145642</t>
  </si>
  <si>
    <t>Cubierta Protector Radiador Honda Crf300l Crf 300l</t>
  </si>
  <si>
    <t>4050612367986502</t>
  </si>
  <si>
    <t>MLC1604101295</t>
  </si>
  <si>
    <t>U3150025724</t>
  </si>
  <si>
    <t>Coolant Líquido Refrigerante Para Radiador De Moto Ipone 1l</t>
  </si>
  <si>
    <t>3416511581142266</t>
  </si>
  <si>
    <t>MLC1629789897</t>
  </si>
  <si>
    <t>U3248059926</t>
  </si>
  <si>
    <t>Bujías Denso Iridium Japón Iu24 (cr8e) Yamaha R3/a Mt03/a X2</t>
  </si>
  <si>
    <t>4246465854505481</t>
  </si>
  <si>
    <t>MLC1772690125</t>
  </si>
  <si>
    <t>U3640804459</t>
  </si>
  <si>
    <t>Filtro Aceite Hiflo 204rc Yamaha R3/a Mt03/a Honda Kawasaki</t>
  </si>
  <si>
    <t>MLC1775782448</t>
  </si>
  <si>
    <t>Linterna Cat Ct7100 Cuello 2 Focos Led 200 Lúmenes Pilas Aa</t>
  </si>
  <si>
    <t>Blanco Negro</t>
  </si>
  <si>
    <t>7942181676715045</t>
  </si>
  <si>
    <t>MLC1778567895</t>
  </si>
  <si>
    <t>U3665226618</t>
  </si>
  <si>
    <t>Aceite Para Moto Ipone Full Power Katana 10w40 X3 Unidades</t>
  </si>
  <si>
    <t>1756784628127551</t>
  </si>
  <si>
    <t>MLC2473276812</t>
  </si>
  <si>
    <t>U381884736</t>
  </si>
  <si>
    <t>Pedal De Cambio Yamaha Mt07 Mt 07 Xsr700 Xsr 700</t>
  </si>
  <si>
    <t>2907778435773288</t>
  </si>
  <si>
    <t>MLC2676623654</t>
  </si>
  <si>
    <t>U704017454</t>
  </si>
  <si>
    <t>Protector Radiador Cubierta Yamaha Mt 07 Mt07 Fz07 Logo</t>
  </si>
  <si>
    <t>7237318494360768</t>
  </si>
  <si>
    <t>MLC2783392498</t>
  </si>
  <si>
    <t>U2822487173</t>
  </si>
  <si>
    <t>Protector Estanque Tank Tracción Yahama Mt07 Desde 2021</t>
  </si>
  <si>
    <t>1742218045294939</t>
  </si>
  <si>
    <t>MLC2800853792</t>
  </si>
  <si>
    <t>U2884372103</t>
  </si>
  <si>
    <t>Placa Soporte Extensión Pata Apoyo Honda Crf300l Crf 300l</t>
  </si>
  <si>
    <t>Rojo Y Negro</t>
  </si>
  <si>
    <t>2744873061928017</t>
  </si>
  <si>
    <t>MLC2849014122</t>
  </si>
  <si>
    <t>U3027534255</t>
  </si>
  <si>
    <t>Adhesivos Sticker Reflectantes Ruedas Yamaha R3 R3a</t>
  </si>
  <si>
    <t>3513135065872931</t>
  </si>
  <si>
    <t>MLC2868805180</t>
  </si>
  <si>
    <t>U3109548863</t>
  </si>
  <si>
    <t>Estribera + Reposapiés Trasero Izq. Yamaha R3 R3a Mt03 Mt03a</t>
  </si>
  <si>
    <t>5350308596501482</t>
  </si>
  <si>
    <t>MLC2905445042</t>
  </si>
  <si>
    <t>U3207623843</t>
  </si>
  <si>
    <t>Manillas Palanca Embrague Ktm Duke Rc 200 250 390</t>
  </si>
  <si>
    <t>8497801353723753</t>
  </si>
  <si>
    <t>MLC3002626694</t>
  </si>
  <si>
    <t>U3333593121</t>
  </si>
  <si>
    <t>Piola De Embrague Yamaha Mt07 2014-2020 Original</t>
  </si>
  <si>
    <t>6156139940432843</t>
  </si>
  <si>
    <t>MLC939500360</t>
  </si>
  <si>
    <t>U41868162</t>
  </si>
  <si>
    <t>Protector Radiador Cubierta Kawasaki Ninja300 Ninja 300</t>
  </si>
  <si>
    <t>MLC986387616</t>
  </si>
  <si>
    <t>Set Soportes Pedales Deportivos Ktm Rc 200 390 Hasta 2019</t>
  </si>
  <si>
    <t>175925510431</t>
  </si>
  <si>
    <t>175925510430</t>
  </si>
  <si>
    <t>8871759506149993</t>
  </si>
  <si>
    <t>MLC1055391362</t>
  </si>
  <si>
    <t>U18788782</t>
  </si>
  <si>
    <t>Placa Soporte Extensión Pata Apoyo Ktm Duke Rc 200 250 390</t>
  </si>
  <si>
    <t>Base Naranjo-negro</t>
  </si>
  <si>
    <t>2336078130442896</t>
  </si>
  <si>
    <t>MLC1496373771</t>
  </si>
  <si>
    <t>U391495629</t>
  </si>
  <si>
    <t>Compresor Aire Mini Portátil Inflador Ruedas Auto Bici Moto</t>
  </si>
  <si>
    <t>7226809897563662</t>
  </si>
  <si>
    <t>MLC1560646497</t>
  </si>
  <si>
    <t>U2907413742</t>
  </si>
  <si>
    <t>Foco Luz Freno Trasero Honda Cb190r Hasta Año 2019 Original</t>
  </si>
  <si>
    <t>Derecho/pasajero Rojo</t>
  </si>
  <si>
    <t>3157940066111709</t>
  </si>
  <si>
    <t>MLC1579826237</t>
  </si>
  <si>
    <t>U3035792058</t>
  </si>
  <si>
    <t>Estribera Delantera Derecha Honda Cb190r 2020-2024</t>
  </si>
  <si>
    <t>8264536870639247</t>
  </si>
  <si>
    <t>MLC1588620781</t>
  </si>
  <si>
    <t>U3073823411</t>
  </si>
  <si>
    <t>Comando Izq. Luces Honda Cb190r Cb 190 Hasta 2019 Original</t>
  </si>
  <si>
    <t>MLC1590627057</t>
  </si>
  <si>
    <t>Protector Cubierta Cubre Cárter Motor Honda Xr250r 96-04</t>
  </si>
  <si>
    <t>187319590323</t>
  </si>
  <si>
    <t>187319590325</t>
  </si>
  <si>
    <t>6154999585130628</t>
  </si>
  <si>
    <t>MLC1594787409</t>
  </si>
  <si>
    <t>U3105238581</t>
  </si>
  <si>
    <t>Pata Apoyo Husqvarna Te 250 300 Fe 250 350 450 501 2013-2016</t>
  </si>
  <si>
    <t>Naranja Oscuro</t>
  </si>
  <si>
    <t>5438913343970769</t>
  </si>
  <si>
    <t>MLC1608501505</t>
  </si>
  <si>
    <t>U3168449224</t>
  </si>
  <si>
    <t>Pastillas Freno Delantero Yamaha R3 R3a Mt03 Mt03a Original</t>
  </si>
  <si>
    <t>1460944706667775</t>
  </si>
  <si>
    <t>MLC1658548447</t>
  </si>
  <si>
    <t>U3339100890</t>
  </si>
  <si>
    <t>Filtro De Aire Yamaha Mt07 R7 Original</t>
  </si>
  <si>
    <t>8316680679648021</t>
  </si>
  <si>
    <t>MLC2468881488</t>
  </si>
  <si>
    <t>U379292807</t>
  </si>
  <si>
    <t>Pedal Palanca Cambio Honda Cb500x Cb500f Cb500r Cb500 X F R</t>
  </si>
  <si>
    <t>MLC2702528640</t>
  </si>
  <si>
    <t>186728636727</t>
  </si>
  <si>
    <t>186728636729</t>
  </si>
  <si>
    <t>433040150104688</t>
  </si>
  <si>
    <t>MLC2800857352</t>
  </si>
  <si>
    <t>U2889723506</t>
  </si>
  <si>
    <t>Estribera Delantera Izq. + Reposapiés Honda Cb190r 2020-2024</t>
  </si>
  <si>
    <t>3343922021183044</t>
  </si>
  <si>
    <t>MLC2800872794</t>
  </si>
  <si>
    <t>U2889831592</t>
  </si>
  <si>
    <t>Parrilla Soporte Equipaje Carga Honda Xr250r Xr250 R 96-04</t>
  </si>
  <si>
    <t>MLC2803413264</t>
  </si>
  <si>
    <t>Guardamanos Cubre Puños Honda Cb500x Cb 500x Nc750x Nc 750x</t>
  </si>
  <si>
    <t>182497551030</t>
  </si>
  <si>
    <t>Izquierdo/Derecho / Negro</t>
  </si>
  <si>
    <t>182497551032</t>
  </si>
  <si>
    <t>Ahumado / Izquierdo/Derecho</t>
  </si>
  <si>
    <t>1052425007152059</t>
  </si>
  <si>
    <t>MLC2824122948</t>
  </si>
  <si>
    <t>U2932596318</t>
  </si>
  <si>
    <t>Estribera Delantera Derecha Honda Cb190r H. 2019 1ra. Gen.</t>
  </si>
  <si>
    <t>2736421378099871</t>
  </si>
  <si>
    <t>MLC2824225640</t>
  </si>
  <si>
    <t>U2932588166</t>
  </si>
  <si>
    <t>Estribera Delantera Izquierda Honda Cb190r H. 2019 1ra. Gen.</t>
  </si>
  <si>
    <t>6827188976616163</t>
  </si>
  <si>
    <t>MLC2859701326</t>
  </si>
  <si>
    <t>U3073918399</t>
  </si>
  <si>
    <t>Par Intermitentes Direccionales Honda Cb190r Cb190 Cb 190r</t>
  </si>
  <si>
    <t>MLC2861184368</t>
  </si>
  <si>
    <t>Cúpula Parabrisas Ktm Duke Tacómetro Tft 200 390 Ng H. 2023</t>
  </si>
  <si>
    <t>187292746991</t>
  </si>
  <si>
    <t>187292746993</t>
  </si>
  <si>
    <t>320503574135135</t>
  </si>
  <si>
    <t>MLC2868794144</t>
  </si>
  <si>
    <t>U3109685291</t>
  </si>
  <si>
    <t>Comando Izq. Luces Honda Cb190r Cb 190 2020-2024 Original</t>
  </si>
  <si>
    <t>4419162279220948</t>
  </si>
  <si>
    <t>MLC2876506102</t>
  </si>
  <si>
    <t>U3132737189</t>
  </si>
  <si>
    <t>Reposapiés Apoyapiés Del. Der. Yamaha R3/a Mt03/a Original</t>
  </si>
  <si>
    <t>289398955667785</t>
  </si>
  <si>
    <t>MLC2889091118</t>
  </si>
  <si>
    <t>U3166332735</t>
  </si>
  <si>
    <t>Filtro De Aire Yamaha Fz25 Fz25a Fz 25 Fz25 A Original</t>
  </si>
  <si>
    <t>7598455037685094</t>
  </si>
  <si>
    <t>MLC2889792602</t>
  </si>
  <si>
    <t>U3173345226</t>
  </si>
  <si>
    <t>Cadenilla Distribución Yamaha Fz25 Fz25a Fz 25 A Original</t>
  </si>
  <si>
    <t>Original</t>
  </si>
  <si>
    <t>499336049120709</t>
  </si>
  <si>
    <t>MLC2907981954</t>
  </si>
  <si>
    <t>U3212433055</t>
  </si>
  <si>
    <t>Protector Radiador Cubierta Bmw G310gs G 310 Gs G310 Gs</t>
  </si>
  <si>
    <t>7938394480478176</t>
  </si>
  <si>
    <t>MLC3377399108</t>
  </si>
  <si>
    <t>U3650047692</t>
  </si>
  <si>
    <t>Perno Tornillo Pedal Cambio Yamaha R3/a Mt03/a Original</t>
  </si>
  <si>
    <t>4127664270274728</t>
  </si>
  <si>
    <t>MLC3545352082</t>
  </si>
  <si>
    <t>U3754460443</t>
  </si>
  <si>
    <t>Reposapiés Apoyapiés Delantero Der. Yamaha R3 R3a Mt03 Mt03a</t>
  </si>
  <si>
    <t>841039910313950</t>
  </si>
  <si>
    <t>MLC1291723625</t>
  </si>
  <si>
    <t>U22078389</t>
  </si>
  <si>
    <t>Set Soportes Pedales Deportivos Ktm Rc 200 390 Hasta 2019 V2</t>
  </si>
  <si>
    <t>4588940502195597</t>
  </si>
  <si>
    <t>MLC1557223993</t>
  </si>
  <si>
    <t>U2889926506</t>
  </si>
  <si>
    <t>Protector Rejilla Foco Faro Delantero Honda Cb500x 2019-2024</t>
  </si>
  <si>
    <t>MLC1579838989</t>
  </si>
  <si>
    <t>Protector Radiador Cubierta Yamaha R15 V4 R15 M R 15 V4 M</t>
  </si>
  <si>
    <t>187028127673</t>
  </si>
  <si>
    <t>187028127675</t>
  </si>
  <si>
    <t>MLC1582563659</t>
  </si>
  <si>
    <t>Placa Soporte Extensión Pata Apoyo Yamaha Mt03 Mt03a Mt 03</t>
  </si>
  <si>
    <t>187103581977</t>
  </si>
  <si>
    <t>187103581979</t>
  </si>
  <si>
    <t>8470405925792756</t>
  </si>
  <si>
    <t>MLC1594884461</t>
  </si>
  <si>
    <t>U3111547650</t>
  </si>
  <si>
    <t>Protector Basculante Husqvarna Tc Tx Fc Fx 14-22 Te Fe 14-23</t>
  </si>
  <si>
    <t>7393598474450624</t>
  </si>
  <si>
    <t>MLC1600850303</t>
  </si>
  <si>
    <t>U3138187602</t>
  </si>
  <si>
    <t>Reposapiés Apoyapiés Del. Izq. Yamaha R3/a Mt03/a Original</t>
  </si>
  <si>
    <t>3264179618862347</t>
  </si>
  <si>
    <t>MLC1604061787</t>
  </si>
  <si>
    <t>U3144534705</t>
  </si>
  <si>
    <t>Neumático Moto Trasero Dunlop Sportmax Gpr300 140/70r17 66h</t>
  </si>
  <si>
    <t>884100602030097</t>
  </si>
  <si>
    <t>MLC1710686727</t>
  </si>
  <si>
    <t>U3460200098</t>
  </si>
  <si>
    <t>Soporte Gps Celular Accesorios Honda Cb500x Cb500 X Cb 500 X</t>
  </si>
  <si>
    <t>498973432271956</t>
  </si>
  <si>
    <t>MLC1771893611</t>
  </si>
  <si>
    <t>U3647303424</t>
  </si>
  <si>
    <t>Aceite Ipone 10w40 Katana Full Sintético</t>
  </si>
  <si>
    <t>2830213942161629</t>
  </si>
  <si>
    <t>MLC1783603023</t>
  </si>
  <si>
    <t>U3676927032</t>
  </si>
  <si>
    <t>Cable Piola Embrague Yamaha Fz25 (no Fz25a) Original</t>
  </si>
  <si>
    <t>2855944016497543</t>
  </si>
  <si>
    <t>MLC1804282697</t>
  </si>
  <si>
    <t>U3704278620</t>
  </si>
  <si>
    <t>Manubrio Manillar Yamaha Mt03a Mt03 Abs Original</t>
  </si>
  <si>
    <t>1324039511678315</t>
  </si>
  <si>
    <t>MLC2383542716</t>
  </si>
  <si>
    <t>U356598093</t>
  </si>
  <si>
    <t>Reposapiés Pedalines Delanteros Yamaha R1 R6 R1m R6s</t>
  </si>
  <si>
    <t>4447194233447863</t>
  </si>
  <si>
    <t>MLC2468949776</t>
  </si>
  <si>
    <t>U379318449</t>
  </si>
  <si>
    <t>Tapas Protectoras Cubierta Motor Honda Cb500x F R Desde 2019</t>
  </si>
  <si>
    <t>7997038289236956</t>
  </si>
  <si>
    <t>MLC2800848160</t>
  </si>
  <si>
    <t>U2884836231</t>
  </si>
  <si>
    <t>Manillas Palancas Ktm Exc Sx Xcw F Six Days 2006-2013</t>
  </si>
  <si>
    <t>MLC2854453196</t>
  </si>
  <si>
    <t>Par Tapas Decorativas Marco Chasis Yamaha R3 R3a Mt03 Mt03a</t>
  </si>
  <si>
    <t>187155566729</t>
  </si>
  <si>
    <t>187155566731</t>
  </si>
  <si>
    <t>MLC2859706592</t>
  </si>
  <si>
    <t>Barra Soporte Gps Celular Accesorios Honda Cb190r Cb 190r</t>
  </si>
  <si>
    <t>187261664245</t>
  </si>
  <si>
    <t>187261664247</t>
  </si>
  <si>
    <t>3717926101414275</t>
  </si>
  <si>
    <t>MLC2860846824</t>
  </si>
  <si>
    <t>U3078945553</t>
  </si>
  <si>
    <t>Reposapiés Pedalines Delanteros Yamaha Xj6 Fz6 Fz1 Fjr</t>
  </si>
  <si>
    <t>1033276519148448</t>
  </si>
  <si>
    <t>MLC2862603012</t>
  </si>
  <si>
    <t>U3086704841</t>
  </si>
  <si>
    <t>Manilla Embrague Yamaha Mt07 Mt09 R6 R7 R1 Tenere 700 Xj6</t>
  </si>
  <si>
    <t>2404669246686345</t>
  </si>
  <si>
    <t>MLC2865194226</t>
  </si>
  <si>
    <t>U3096319563</t>
  </si>
  <si>
    <t>Estribera + Reposapiés Trasero Der. Yamaha R3 R3a Mt03 Mt03a</t>
  </si>
  <si>
    <t>4984199493068229</t>
  </si>
  <si>
    <t>MLC2867489256</t>
  </si>
  <si>
    <t>U3110629356</t>
  </si>
  <si>
    <t>Pata Apoyo Ktm Exc Excf Xc Xcw Xcf Xcfw Six Days 2008-2016</t>
  </si>
  <si>
    <t>4206407939293036</t>
  </si>
  <si>
    <t>MLC2867553926</t>
  </si>
  <si>
    <t>U3110663646</t>
  </si>
  <si>
    <t>Manilla Embrague Kawasaki Ninja 250 300 400 250r 300r 400r</t>
  </si>
  <si>
    <t>649881376653732</t>
  </si>
  <si>
    <t>MLC2869592062</t>
  </si>
  <si>
    <t>U3118666892</t>
  </si>
  <si>
    <t>Manilla Embrague Yamaha Mt07 Mt09 R6 R7 R1 700 Xj6 Original</t>
  </si>
  <si>
    <t>1574201766039530</t>
  </si>
  <si>
    <t>MLC2889909014</t>
  </si>
  <si>
    <t>U3173357370</t>
  </si>
  <si>
    <t>Tensor Cadenilla Distribución Yamaha Fz25 Fz25a Original</t>
  </si>
  <si>
    <t>7521707677476009</t>
  </si>
  <si>
    <t>MLC2907536618</t>
  </si>
  <si>
    <t>U3217347320</t>
  </si>
  <si>
    <t>Reposapiés Delanteros Kawasaki Ninja 250r Er6n Versys 650</t>
  </si>
  <si>
    <t>2970684712567460</t>
  </si>
  <si>
    <t>MLC2910438922</t>
  </si>
  <si>
    <t>U3218529609</t>
  </si>
  <si>
    <t>Foco Faro Delantero Yamaha R3 (no R3a) Original</t>
  </si>
  <si>
    <t>Izquierdo/conductor</t>
  </si>
  <si>
    <t>3859972610700057</t>
  </si>
  <si>
    <t>MLC2910451072</t>
  </si>
  <si>
    <t>U3218513543</t>
  </si>
  <si>
    <t>Foco Faro Delantero Yamaha R15 V3 Original</t>
  </si>
  <si>
    <t>5987531897635125</t>
  </si>
  <si>
    <t>MLC2971884838</t>
  </si>
  <si>
    <t>U3299434408</t>
  </si>
  <si>
    <t>Bujía Ngk Cr8e Yamaha R3/a Mt03/a Etc</t>
  </si>
  <si>
    <t>3833245585121439</t>
  </si>
  <si>
    <t>MLC2971884914</t>
  </si>
  <si>
    <t>U3293629283</t>
  </si>
  <si>
    <t>Bujía Ngk Cpr8ea-9 Yamaha Fz16 Xtz150 Honda Cb190r Cb500x</t>
  </si>
  <si>
    <t>6793673356232468</t>
  </si>
  <si>
    <t>MLC3012763886</t>
  </si>
  <si>
    <t>U3348006814</t>
  </si>
  <si>
    <t>Espejo Yamaha R3a Derecho Original</t>
  </si>
  <si>
    <t>1719387637118103</t>
  </si>
  <si>
    <t>MLC3012920256</t>
  </si>
  <si>
    <t>U3342025665</t>
  </si>
  <si>
    <t>Espejo Yamaha Mt03 Mt07 Mt09 Izquierdo Original</t>
  </si>
  <si>
    <t>5208007364851188</t>
  </si>
  <si>
    <t>MLC3012988506</t>
  </si>
  <si>
    <t>U3342113355</t>
  </si>
  <si>
    <t>Espejo Yamaha Mt03a Mt03 Abs Derecho Original</t>
  </si>
  <si>
    <t>357208565644579</t>
  </si>
  <si>
    <t>MLC3071935610</t>
  </si>
  <si>
    <t>U3370739613</t>
  </si>
  <si>
    <t>Soporte Foco Faro Araña Yamaha Yzf R3a (no R3) Original</t>
  </si>
  <si>
    <t>5623103020053997</t>
  </si>
  <si>
    <t>MLC3141362140</t>
  </si>
  <si>
    <t>U3415639553</t>
  </si>
  <si>
    <t>Cubierta Protector Radiador Honda Cb500x Desde Año 2020</t>
  </si>
  <si>
    <t>6921401552877952</t>
  </si>
  <si>
    <t>MLC3341394946</t>
  </si>
  <si>
    <t>U3564565167</t>
  </si>
  <si>
    <t>Puño Empuñadura Izquierda Yamaha R3 R3a Mt03 Mt03a Original</t>
  </si>
  <si>
    <t>8733181074077263</t>
  </si>
  <si>
    <t>MLC3341832018</t>
  </si>
  <si>
    <t>U3572539666</t>
  </si>
  <si>
    <t>Tensor + Cadenilla Distribución Yamaha Fz25 Fz25a Original</t>
  </si>
  <si>
    <t>5924445928254244</t>
  </si>
  <si>
    <t>MLC3423237810</t>
  </si>
  <si>
    <t>U3672259669</t>
  </si>
  <si>
    <t>Protector Estanque Yamaha Mt03a (mt03 Desde Año 2020) Goma</t>
  </si>
  <si>
    <t>7653150970334895</t>
  </si>
  <si>
    <t>MLC607517031</t>
  </si>
  <si>
    <t>U1828818654</t>
  </si>
  <si>
    <t>Manillas Yamaha Fz-s Fz S V3 Con Logo Colores</t>
  </si>
  <si>
    <t>4390799759222582</t>
  </si>
  <si>
    <t>MLC1001338150</t>
  </si>
  <si>
    <t>U46835780</t>
  </si>
  <si>
    <t>Manillas Palancas Ktm Duke 390 Desde 2019 Logo Colores</t>
  </si>
  <si>
    <t>8186695850410874</t>
  </si>
  <si>
    <t>MLC1454243295</t>
  </si>
  <si>
    <t>U115399177</t>
  </si>
  <si>
    <t>Manillas Palancas Honda Cbr1000rr Repsol (04-07) Cb1000r</t>
  </si>
  <si>
    <t>7219623321516274</t>
  </si>
  <si>
    <t>MLC1578801675</t>
  </si>
  <si>
    <t>U3023009207</t>
  </si>
  <si>
    <t>Soporte Patente Con Luz Fender Kawasaki Zx4r Zx4rr Zx 4rr</t>
  </si>
  <si>
    <t>MLC1583403679</t>
  </si>
  <si>
    <t>Par Protectores Pie Estribera Reposapiés Yamaha R3 R3a</t>
  </si>
  <si>
    <t>187126392251</t>
  </si>
  <si>
    <t>187126392253</t>
  </si>
  <si>
    <t>6336615371573807</t>
  </si>
  <si>
    <t>MLC1584281081</t>
  </si>
  <si>
    <t>U3054671431</t>
  </si>
  <si>
    <t>Foco Integrado Led Kawasaki Zx4rr Zx6rr Zx10rr Abs D. 2019</t>
  </si>
  <si>
    <t>Ambos Lados Ahumado</t>
  </si>
  <si>
    <t>2141785445588497</t>
  </si>
  <si>
    <t>MLC1584414467</t>
  </si>
  <si>
    <t>U3056054835</t>
  </si>
  <si>
    <t>Estriberas + Reposapiés Traseros Yamaha R3 R3a Mt03 Mt03a</t>
  </si>
  <si>
    <t>4972289795644361</t>
  </si>
  <si>
    <t>MLC1589202743</t>
  </si>
  <si>
    <t>U3076274175</t>
  </si>
  <si>
    <t>Manilla Embrague Honda Cb190 Cb190r Con Logo</t>
  </si>
  <si>
    <t>MLC1589435689</t>
  </si>
  <si>
    <t>Soporte Patente Cola C/luz Fijo Yamaha R15 V1 V2 V3 V4 Logo</t>
  </si>
  <si>
    <t>187282498823</t>
  </si>
  <si>
    <t>187282498825</t>
  </si>
  <si>
    <t>187282498827</t>
  </si>
  <si>
    <t>5379484816841239</t>
  </si>
  <si>
    <t>MLC1594417089</t>
  </si>
  <si>
    <t>U3108181562</t>
  </si>
  <si>
    <t>Protector Cubre Cárter Motor Logo Honda Nc750x (d. 2017)</t>
  </si>
  <si>
    <t>3865869083627990</t>
  </si>
  <si>
    <t>MLC1598632467</t>
  </si>
  <si>
    <t>U3124104965</t>
  </si>
  <si>
    <t>Pedal Palanca Freno Yamaha R3 R3a Mt03 Mt03a Original</t>
  </si>
  <si>
    <t>MLC1603958179</t>
  </si>
  <si>
    <t>Neumático Trasera Para Moto Dunlop Sportmax Gpr-300 Sin Cámara De 140/70r17 H 66 X 1 Unidad</t>
  </si>
  <si>
    <t>MLC1604088557</t>
  </si>
  <si>
    <t>Refrigerante Ipone</t>
  </si>
  <si>
    <t>MLC1607398073</t>
  </si>
  <si>
    <t>Sliders Topes De Caída Honda Cb500x Cbr500r Desde Año 2019</t>
  </si>
  <si>
    <t>187807103263</t>
  </si>
  <si>
    <t>187807363789</t>
  </si>
  <si>
    <t>6111506896237119</t>
  </si>
  <si>
    <t>MLC1619486343</t>
  </si>
  <si>
    <t>U3201058419</t>
  </si>
  <si>
    <t>Manilla Freno Yamaha Mt07 (14-20/25) Mt09 Xj6 Alternativa</t>
  </si>
  <si>
    <t>1858068461671803</t>
  </si>
  <si>
    <t>MLC1658524699</t>
  </si>
  <si>
    <t>U3338839712</t>
  </si>
  <si>
    <t>Filtro De Aceite Yamaha R15 V2 - R15 V3 - R15 V4</t>
  </si>
  <si>
    <t>3531873541221570</t>
  </si>
  <si>
    <t>MLC1658552283</t>
  </si>
  <si>
    <t>U3332843635</t>
  </si>
  <si>
    <t>Filtro De Aceite Yamaha Fzn150 Fz16 Fzs 3.0</t>
  </si>
  <si>
    <t>5434175746767499</t>
  </si>
  <si>
    <t>MLC1703855323</t>
  </si>
  <si>
    <t>U3436425915</t>
  </si>
  <si>
    <t>Protector Cubre Cárter Motor Ktm Exc 250 350 2017-2020</t>
  </si>
  <si>
    <t>3914940745227711</t>
  </si>
  <si>
    <t>MLC1712492427</t>
  </si>
  <si>
    <t>U3462231577</t>
  </si>
  <si>
    <t>Pedal Palanca De Cambio Yamaha R7</t>
  </si>
  <si>
    <t>178785014149978</t>
  </si>
  <si>
    <t>MLC1750568955</t>
  </si>
  <si>
    <t>U3558183814</t>
  </si>
  <si>
    <t>Adhesivos Sticker Pegatinas Reflectantes Ruedas Mt03 Bordes</t>
  </si>
  <si>
    <t>3855780062761389</t>
  </si>
  <si>
    <t>MLC1771753647</t>
  </si>
  <si>
    <t>U3647536490</t>
  </si>
  <si>
    <t>Aceite Maxima Pro Plus+ 10w40 1l Ester Full Sintetico 4t</t>
  </si>
  <si>
    <t>MLC1771895325</t>
  </si>
  <si>
    <t>Aceite 10w40 Full Sintetico Pro Plus Maxima 4t 1 L</t>
  </si>
  <si>
    <t>6530632223344772</t>
  </si>
  <si>
    <t>MLC1774163439</t>
  </si>
  <si>
    <t>U3645858469</t>
  </si>
  <si>
    <t>Tope Manillar Manubrio Yamaha R3 R3a Mt03 Mt03a Original</t>
  </si>
  <si>
    <t>2327032700411100</t>
  </si>
  <si>
    <t>MLC1775037471</t>
  </si>
  <si>
    <t>U3648870459</t>
  </si>
  <si>
    <t>Radiador Yamaha R3 R3a R 3 A Original</t>
  </si>
  <si>
    <t>350001573904135</t>
  </si>
  <si>
    <t>MLC1781396035</t>
  </si>
  <si>
    <t>U3670791696</t>
  </si>
  <si>
    <t>Aceite Maxima Pro Plus+ 10w50 1l Ester Full Sintetico 4t</t>
  </si>
  <si>
    <t>MLC1781421603</t>
  </si>
  <si>
    <t>Aceite 100% Sintetico Pro Plus+ 10w-50 Maxima</t>
  </si>
  <si>
    <t>6262899572691848</t>
  </si>
  <si>
    <t>MLC1781461337</t>
  </si>
  <si>
    <t>U3662883271</t>
  </si>
  <si>
    <t>Aceite Maxima Full Syn 10w50 1l Full Sintetico 4t</t>
  </si>
  <si>
    <t>5884838868022304</t>
  </si>
  <si>
    <t>MLC1784985821</t>
  </si>
  <si>
    <t>U3680222578</t>
  </si>
  <si>
    <t>Soporte Manilla Embrague Yamaha R15 V3 - R15 V4 Original</t>
  </si>
  <si>
    <t>4949632529122952</t>
  </si>
  <si>
    <t>MLC1801336607</t>
  </si>
  <si>
    <t>U3701062348</t>
  </si>
  <si>
    <t>Manillas Palancas Honda Xr250r 1996-2004 Logo Retráctiles</t>
  </si>
  <si>
    <t>557992292801155</t>
  </si>
  <si>
    <t>MLC1811410459</t>
  </si>
  <si>
    <t>U3712099648</t>
  </si>
  <si>
    <t>Aceite Ipone Katana Sport 15w50 1l Full Sintético</t>
  </si>
  <si>
    <t>7972959455914113</t>
  </si>
  <si>
    <t>MLC1811789039</t>
  </si>
  <si>
    <t>U3712451390</t>
  </si>
  <si>
    <t>Plástico Tapa Final Cola Yamaha R3 R3a Mt03 Mt03a Original</t>
  </si>
  <si>
    <t>4321715423649455</t>
  </si>
  <si>
    <t>MLC1853381873</t>
  </si>
  <si>
    <t>U3785506632</t>
  </si>
  <si>
    <t>Sliders Barras Defensas Topes Caída Honda Cb500x Año 2019+</t>
  </si>
  <si>
    <t>4579736477614517</t>
  </si>
  <si>
    <t>MLC2468975960</t>
  </si>
  <si>
    <t>U379319225</t>
  </si>
  <si>
    <t>Tapas Protectoras Cubierta Motor Honda Cb500x F R Hasta 2018</t>
  </si>
  <si>
    <t>4450078395678269</t>
  </si>
  <si>
    <t>MLC2803382856</t>
  </si>
  <si>
    <t>U2894906480</t>
  </si>
  <si>
    <t>Reposapiés Pedalines Delanteros Yamaha Mt09 Mt 09</t>
  </si>
  <si>
    <t>MLC2803387618</t>
  </si>
  <si>
    <t>Set 4 Tapas Depósito Líquido Freno Tapón Yamaha R3 R3a</t>
  </si>
  <si>
    <t>186391181331</t>
  </si>
  <si>
    <t>186391181329</t>
  </si>
  <si>
    <t>1945556767195806</t>
  </si>
  <si>
    <t>MLC2803407116</t>
  </si>
  <si>
    <t>U2894815470</t>
  </si>
  <si>
    <t>Soporte Patente Con Luz Fender Yamaha Mt09</t>
  </si>
  <si>
    <t>1173042663647982</t>
  </si>
  <si>
    <t>MLC2805519262</t>
  </si>
  <si>
    <t>U2899003372</t>
  </si>
  <si>
    <t>Manillas Palancas Honda Crf 450r 450rx 2021-20xx Retráctiles</t>
  </si>
  <si>
    <t>186623288411665</t>
  </si>
  <si>
    <t>MLC2809728344</t>
  </si>
  <si>
    <t>U2907532680</t>
  </si>
  <si>
    <t>Faro Foco Delantero Honda Cb190r (2020-2024)</t>
  </si>
  <si>
    <t>Premium</t>
  </si>
  <si>
    <t>MLC2809754072</t>
  </si>
  <si>
    <t>1094220560891699</t>
  </si>
  <si>
    <t>MLC2820908594</t>
  </si>
  <si>
    <t>U2922480971</t>
  </si>
  <si>
    <t>Set Soportes Pedales Deportivos Ktm Duke 200 390 1ra. Gen.</t>
  </si>
  <si>
    <t>3365736380225813</t>
  </si>
  <si>
    <t>MLC2820921702</t>
  </si>
  <si>
    <t>U2927598650</t>
  </si>
  <si>
    <t>Soportes Pedales Deportivos Ktm Duke 200 Ng 250 390 D. 2018</t>
  </si>
  <si>
    <t>8454883410546309</t>
  </si>
  <si>
    <t>MLC2854947750</t>
  </si>
  <si>
    <t>U3061853594</t>
  </si>
  <si>
    <t>Cúpula Parabrisas Yamaha Mt07 Mt 07 Mt-07 2021-2024</t>
  </si>
  <si>
    <t>8543873837175123</t>
  </si>
  <si>
    <t>MLC2855627328</t>
  </si>
  <si>
    <t>U3058926669</t>
  </si>
  <si>
    <t>Manilla Freno Honda Cb500x F (h. 2021) Cb190r Cbr Regulable</t>
  </si>
  <si>
    <t>5026259166501081</t>
  </si>
  <si>
    <t>MLC2859040486</t>
  </si>
  <si>
    <t>U3076851366</t>
  </si>
  <si>
    <t>Soporte Reposapiés Delantero Izq Yamaha Mt03 Mt03a R3 R3a</t>
  </si>
  <si>
    <t>6798205915429620</t>
  </si>
  <si>
    <t>MLC2859612710</t>
  </si>
  <si>
    <t>U3079308436</t>
  </si>
  <si>
    <t>Cúpula Parabrisas 40 Cm Honda Cb190r Cb190 Cb 190r</t>
  </si>
  <si>
    <t>7793024317332038</t>
  </si>
  <si>
    <t>MLC2859703352</t>
  </si>
  <si>
    <t>U3073984117</t>
  </si>
  <si>
    <t>Cúpula Parabrisas 50 Cm Honda Cb190r Cb190 Cb 190r</t>
  </si>
  <si>
    <t>MLC2859747938</t>
  </si>
  <si>
    <t>Manilla Corta Acrobacias Stunt C/soporte 22mm Deportiva</t>
  </si>
  <si>
    <t>187263910939</t>
  </si>
  <si>
    <t>187263910941</t>
  </si>
  <si>
    <t>187263910943</t>
  </si>
  <si>
    <t>5474030275461291</t>
  </si>
  <si>
    <t>MLC2859878918</t>
  </si>
  <si>
    <t>U3075605351</t>
  </si>
  <si>
    <t>Tank Grip Protector Estanque Tracción Yahama Mt07 2018-2020</t>
  </si>
  <si>
    <t>6167692410029476</t>
  </si>
  <si>
    <t>MLC2862822388</t>
  </si>
  <si>
    <t>U3092132898</t>
  </si>
  <si>
    <t>Cubierta Protector Radiador Honda Nc 750 Nc750 Nc750x Nc750s</t>
  </si>
  <si>
    <t>6193257817987829</t>
  </si>
  <si>
    <t>MLC2867162790</t>
  </si>
  <si>
    <t>U3102776071</t>
  </si>
  <si>
    <t>Protector Cubierta Cubre Cárter Motor Honda Nc750x (d. 2017)</t>
  </si>
  <si>
    <t>4880757662498447</t>
  </si>
  <si>
    <t>MLC2873426274</t>
  </si>
  <si>
    <t>U3132008034</t>
  </si>
  <si>
    <t>Manilla Freno Yamaha Mt07 (14-20/25) Mt09 Xt660 Xj6 Original</t>
  </si>
  <si>
    <t>4691486148059685</t>
  </si>
  <si>
    <t>MLC2873443170</t>
  </si>
  <si>
    <t>U3126026857</t>
  </si>
  <si>
    <t>Manilla Palanca Freno Yamaha R15 V3 - Fz25 Sin Abs Original</t>
  </si>
  <si>
    <t>6515898373498691</t>
  </si>
  <si>
    <t>MLC2877800938</t>
  </si>
  <si>
    <t>U3135231941</t>
  </si>
  <si>
    <t>Perno Testigo Aviso Reposapiés Yamaha R3/a Mt03/a Original</t>
  </si>
  <si>
    <t>708020491309550</t>
  </si>
  <si>
    <t>MLC2878245506</t>
  </si>
  <si>
    <t>U3142182356</t>
  </si>
  <si>
    <t>Cúpula Parabrisas Yamaha Mt09 Mt 09 Mt-09 Hasta Año 2016</t>
  </si>
  <si>
    <t>409012222047768</t>
  </si>
  <si>
    <t>MLC2879116254</t>
  </si>
  <si>
    <t>U3139123783</t>
  </si>
  <si>
    <t>Estribera Soporte Delantera Der Yamaha Mt03/a R3/a Original</t>
  </si>
  <si>
    <t>3928383755272350</t>
  </si>
  <si>
    <t>MLC2886745174</t>
  </si>
  <si>
    <t>U3164702628</t>
  </si>
  <si>
    <t>Manilla Embrague Honda Crf250r Crf250x Crf450r Crf450x Rx</t>
  </si>
  <si>
    <t>4478615757937683</t>
  </si>
  <si>
    <t>MLC2888349756</t>
  </si>
  <si>
    <t>U3168828690</t>
  </si>
  <si>
    <t>Disco Freno Delantero Yamaha R3 R3a Mt03 Mt03a Original</t>
  </si>
  <si>
    <t>7612079937337016</t>
  </si>
  <si>
    <t>MLC2889282368</t>
  </si>
  <si>
    <t>U3166363595</t>
  </si>
  <si>
    <t>Filtro Aceite Yamaha Fz25 Fz25a Fz 25 Fz 25 A Original</t>
  </si>
  <si>
    <t>3726840885129175</t>
  </si>
  <si>
    <t>MLC2889727680</t>
  </si>
  <si>
    <t>U3167811769</t>
  </si>
  <si>
    <t>Pedal Palanca Freno Yamaha Fz25 (no Fz25a) Original</t>
  </si>
  <si>
    <t>4024673025506803</t>
  </si>
  <si>
    <t>MLC2889780300</t>
  </si>
  <si>
    <t>U3173363974</t>
  </si>
  <si>
    <t>Manubrio Manillar Yamaha Fz25 (no Fz25a) Original</t>
  </si>
  <si>
    <t>5686072895233012</t>
  </si>
  <si>
    <t>MLC2899421328</t>
  </si>
  <si>
    <t>U3186761281</t>
  </si>
  <si>
    <t>Disco Freno Trasero Yamaha R3 R3a Mt03 Mt03a Original</t>
  </si>
  <si>
    <t>4499546358866040</t>
  </si>
  <si>
    <t>MLC2902311020</t>
  </si>
  <si>
    <t>U3201790422</t>
  </si>
  <si>
    <t>Pedal Palanca De Cambio Yamaha R3/a Mt03/a Sin Goma Original</t>
  </si>
  <si>
    <t>8476464222126930</t>
  </si>
  <si>
    <t>MLC2905644116</t>
  </si>
  <si>
    <t>U3213183568</t>
  </si>
  <si>
    <t>Soporte Patente Con Luz Fender Kawasaki Zx6r Zx-6r 2024+</t>
  </si>
  <si>
    <t>7056794235606422</t>
  </si>
  <si>
    <t>MLC2905655882</t>
  </si>
  <si>
    <t>U3213154394</t>
  </si>
  <si>
    <t>5102830236918170</t>
  </si>
  <si>
    <t>MLC2907558552</t>
  </si>
  <si>
    <t>U3211507165</t>
  </si>
  <si>
    <t>Reposapiés Pedalin Delantero Izquierdo Yamaha R1 R6 R1m R6s</t>
  </si>
  <si>
    <t>4872490210610966</t>
  </si>
  <si>
    <t>MLC2907622992</t>
  </si>
  <si>
    <t>U3211506655</t>
  </si>
  <si>
    <t>Reposapiés Pedalin Delantero Derecho Yamaha R1 R6 R1m R6s</t>
  </si>
  <si>
    <t>314928620616536</t>
  </si>
  <si>
    <t>MLC2928322094</t>
  </si>
  <si>
    <t>U3241552535</t>
  </si>
  <si>
    <t>Cadena Moto Did Vo 525 - 120 Eslabones O'ring Japón</t>
  </si>
  <si>
    <t>8306545557968005</t>
  </si>
  <si>
    <t>MLC3012739600</t>
  </si>
  <si>
    <t>U3342071613</t>
  </si>
  <si>
    <t>Espejo Yamaha Mt03a Mt03 Abs Izquierdo Original</t>
  </si>
  <si>
    <t>2424712966222444</t>
  </si>
  <si>
    <t>MLC3012985604</t>
  </si>
  <si>
    <t>U3342031587</t>
  </si>
  <si>
    <t>Espejo Yamaha Mt03 Mt07 Mt09 Derecho Original</t>
  </si>
  <si>
    <t>542314422825661</t>
  </si>
  <si>
    <t>MLC3013075548</t>
  </si>
  <si>
    <t>U3347993966</t>
  </si>
  <si>
    <t>Espejo Yamaha R3a Izquierdo Original</t>
  </si>
  <si>
    <t>MLC3156667768</t>
  </si>
  <si>
    <t>Set 3 Tapas Depósito Líquido Freno Tapón Yamaha R3 R3a</t>
  </si>
  <si>
    <t>190862191897</t>
  </si>
  <si>
    <t>190862191899</t>
  </si>
  <si>
    <t>MLC3205930878</t>
  </si>
  <si>
    <t>U3482256270</t>
  </si>
  <si>
    <t>3960165167914793</t>
  </si>
  <si>
    <t>MLC3242176360</t>
  </si>
  <si>
    <t>U3505961540</t>
  </si>
  <si>
    <t>Pedal Palanca De Cambio Completo Yamaha R3 Mt03 Original</t>
  </si>
  <si>
    <t>3853221990556453</t>
  </si>
  <si>
    <t>MLC3271554794</t>
  </si>
  <si>
    <t>U3523639560</t>
  </si>
  <si>
    <t>Espejo Yamaha R15 V3 - V4 Izquierdo Original</t>
  </si>
  <si>
    <t>3360331329673718</t>
  </si>
  <si>
    <t>MLC3271995726</t>
  </si>
  <si>
    <t>U3516498095</t>
  </si>
  <si>
    <t>Espejo Yamaha R15 V3 - V4 Derecho Original</t>
  </si>
  <si>
    <t>4709343903577206</t>
  </si>
  <si>
    <t>MLC3332947392</t>
  </si>
  <si>
    <t>U3564859856</t>
  </si>
  <si>
    <t>1303373820172612</t>
  </si>
  <si>
    <t>MLC3374348218</t>
  </si>
  <si>
    <t>U3647541438</t>
  </si>
  <si>
    <t>Aceite Maxima Pro Plus+ 10w40 3l + Filtro Yamaha Mt 03 07 R3</t>
  </si>
  <si>
    <t>MLC3374358846</t>
  </si>
  <si>
    <t>Aceite Ipone Katana Sport 10w40 1l Full Sintético</t>
  </si>
  <si>
    <t>7341719316237408</t>
  </si>
  <si>
    <t>MLC3374490310</t>
  </si>
  <si>
    <t>U3647682732</t>
  </si>
  <si>
    <t>Aceite Ipone Katana Sport 10w40 3l + Filtro Yamaha R3 Mt03/7</t>
  </si>
  <si>
    <t>6515568862650967</t>
  </si>
  <si>
    <t>MLC3394633742</t>
  </si>
  <si>
    <t>U3665171964</t>
  </si>
  <si>
    <t>Aceite Ipone Katana Sport 10w40 3l + Filtro Hiflo R3 Mt03 07</t>
  </si>
  <si>
    <t>8239420034584672</t>
  </si>
  <si>
    <t>MLC3394633770</t>
  </si>
  <si>
    <t>U3657206695</t>
  </si>
  <si>
    <t>Aceite Maxima Pro Plus+ 10w40 3l + Filtro Hiflo Mt 03 07 R3</t>
  </si>
  <si>
    <t>2771615910185772</t>
  </si>
  <si>
    <t>MLC3394743554</t>
  </si>
  <si>
    <t>U3665252448</t>
  </si>
  <si>
    <t>Aceite Ipone Katana Sport 10w50 3l Full Sintético</t>
  </si>
  <si>
    <t>MLC3394755938</t>
  </si>
  <si>
    <t>Aceite Ipone Katana Sport 10w40 3l Full Sintético</t>
  </si>
  <si>
    <t>5423177841812754</t>
  </si>
  <si>
    <t>MLC3394910104</t>
  </si>
  <si>
    <t>U3657273721</t>
  </si>
  <si>
    <t>Aceite Maxima Pro Plus+ 10w40 3l Ester Full Sintetico</t>
  </si>
  <si>
    <t>293394728844258</t>
  </si>
  <si>
    <t>MLC3400268030</t>
  </si>
  <si>
    <t>U3668657136</t>
  </si>
  <si>
    <t>Cadena Moto Did Vo 520 - 120 Eslabones O'ring Japón</t>
  </si>
  <si>
    <t>645844517260085</t>
  </si>
  <si>
    <t>MLC3403890432</t>
  </si>
  <si>
    <t>U3662971447</t>
  </si>
  <si>
    <t>Aceite Maxima Full Syn 10w40 1l Full Sintetico 4t</t>
  </si>
  <si>
    <t>7831590527636273</t>
  </si>
  <si>
    <t>MLC3404846054</t>
  </si>
  <si>
    <t>U3670998178</t>
  </si>
  <si>
    <t>Aciete 20w50 Full Sintetico 4t Pro Plus Maxima</t>
  </si>
  <si>
    <t>MLC3405141012</t>
  </si>
  <si>
    <t>Aceite Maxima Pro Plus+ 20w50 1l Ester Full Sintetico 4t</t>
  </si>
  <si>
    <t>4264845770306221</t>
  </si>
  <si>
    <t>MLC3466781404</t>
  </si>
  <si>
    <t>U3704347856</t>
  </si>
  <si>
    <t>Manubrio Manillar Yamaha Mt03 (no Mt03a) Original</t>
  </si>
  <si>
    <t>6015549650915416</t>
  </si>
  <si>
    <t>MLC3489636920</t>
  </si>
  <si>
    <t>U3713130270</t>
  </si>
  <si>
    <t>Tapa Barro Guarda Barros Trasero Yamaha R3 R3a Mt03 Mt03a</t>
  </si>
  <si>
    <t>1612418195108626</t>
  </si>
  <si>
    <t>MLC3509670562</t>
  </si>
  <si>
    <t>U3714101357</t>
  </si>
  <si>
    <t>Aceite Suspensión Horquilla Teléscopicas 10w Maxima Fork Oil</t>
  </si>
  <si>
    <t>1926276382070935</t>
  </si>
  <si>
    <t>MLC3545559664</t>
  </si>
  <si>
    <t>U3754458607</t>
  </si>
  <si>
    <t>Reposapiés Apoyapiés Delantero Izq. Yamaha R3 R3a Mt03 Mt03a</t>
  </si>
  <si>
    <t>5357315052076050</t>
  </si>
  <si>
    <t>MLC3571219690</t>
  </si>
  <si>
    <t>U3778117497</t>
  </si>
  <si>
    <t>Radiador Yamaha Mt03 Mt03a Mt 03 Original B04e24610000</t>
  </si>
  <si>
    <t>2626672230501723</t>
  </si>
  <si>
    <t>MLC3583661816</t>
  </si>
  <si>
    <t>U3799533908</t>
  </si>
  <si>
    <t>Soporte Cubre Foco Máscara Yamaha R3 (no R3a) Original</t>
  </si>
  <si>
    <t>MLC1313890468</t>
  </si>
  <si>
    <t>U24915167</t>
  </si>
  <si>
    <t>Inactiva</t>
  </si>
  <si>
    <t>7926690483526603</t>
  </si>
  <si>
    <t>MLC1455584469</t>
  </si>
  <si>
    <t>U116773905</t>
  </si>
  <si>
    <t>Soporte Patente Con Luz Fender Yamaha Mt03 Mt03a R3 R3a</t>
  </si>
  <si>
    <t>376130809705773</t>
  </si>
  <si>
    <t>MLC633954302</t>
  </si>
  <si>
    <t>U32529257</t>
  </si>
  <si>
    <t>Cúpula Parabrisas Honda Cb190 Cb190r Hasta Año 2024</t>
  </si>
  <si>
    <t>2318982315239629</t>
  </si>
  <si>
    <t>MLC1033139189</t>
  </si>
  <si>
    <t>U19782412</t>
  </si>
  <si>
    <t>Reposapiés Apoyapiés Delanteros Yamaha R3 R3a Mt03 Mt03a</t>
  </si>
  <si>
    <t>6829093114732302</t>
  </si>
  <si>
    <t>MLC1320668287</t>
  </si>
  <si>
    <t>U25367832</t>
  </si>
  <si>
    <t>MLC916694120</t>
  </si>
  <si>
    <t>Kit Destornillador Set Precisión 115 En 1 Puntas Torx Hex</t>
  </si>
  <si>
    <t>0</t>
  </si>
  <si>
    <t>181523060199</t>
  </si>
  <si>
    <t>181523060201</t>
  </si>
  <si>
    <t>181523060203</t>
  </si>
  <si>
    <t>Morado</t>
  </si>
  <si>
    <t>6869847538785391</t>
  </si>
  <si>
    <t>MLC939997200</t>
  </si>
  <si>
    <t>U34439878</t>
  </si>
  <si>
    <t>Tank Grip + Protector Estanque Tracción Yamaha R3 (no R3a)</t>
  </si>
  <si>
    <t>MLC944048905</t>
  </si>
  <si>
    <t>Manillas Palancas Ktm Duke 200 250 (h. 2021) 390 (h. 2018)</t>
  </si>
  <si>
    <t>186265716697</t>
  </si>
  <si>
    <t>200 250 / 390 H. 2018 Negro</t>
  </si>
  <si>
    <t>184203943383</t>
  </si>
  <si>
    <t>200 250 / 390 H. 2018 Naranjo</t>
  </si>
  <si>
    <t>184204488935</t>
  </si>
  <si>
    <t>200 250 / 390 H. 2018 Gris</t>
  </si>
  <si>
    <t>2674190585828227</t>
  </si>
  <si>
    <t>MLC1313823753</t>
  </si>
  <si>
    <t>U24620801</t>
  </si>
  <si>
    <t>3783069424227885</t>
  </si>
  <si>
    <t>MLC1437085589</t>
  </si>
  <si>
    <t>U27038615</t>
  </si>
  <si>
    <t>Intercomunicador Moto Ejeas Bluetooth 1200mts 6 Pilotos Negro V6-pro-intercom</t>
  </si>
  <si>
    <t>1148450428325709</t>
  </si>
  <si>
    <t>MLC1292021203</t>
  </si>
  <si>
    <t>U24813169</t>
  </si>
  <si>
    <t>Estribera + Reposapiés Delantero Izq. Yamaha Mt03 R3 R3a</t>
  </si>
  <si>
    <t>MLC914883228</t>
  </si>
  <si>
    <t>Tank Pad Protector + Tank Grip Honda Cb190 Cb190r 2020-2024</t>
  </si>
  <si>
    <t>174165118396</t>
  </si>
  <si>
    <t>Tricolor Azul</t>
  </si>
  <si>
    <t>174265295851</t>
  </si>
  <si>
    <t>173934148236</t>
  </si>
  <si>
    <t>173934148237</t>
  </si>
  <si>
    <t>149917098269498</t>
  </si>
  <si>
    <t>MLC634392853</t>
  </si>
  <si>
    <t>U37272865</t>
  </si>
  <si>
    <t>Tank Pad, Protector Estanque Duke</t>
  </si>
  <si>
    <t>8870322963512564</t>
  </si>
  <si>
    <t>MLC1044616165</t>
  </si>
  <si>
    <t>U19349151</t>
  </si>
  <si>
    <t>Manillas Palancas Honda Crf 150f 230f 250f Retráctiles Negro</t>
  </si>
  <si>
    <t>7302018171503332</t>
  </si>
  <si>
    <t>MLC1383929703</t>
  </si>
  <si>
    <t>U26212225</t>
  </si>
  <si>
    <t>Estribera Soporte Apoyapiés Delantera Izq Yamaha R3/a Mt03/a</t>
  </si>
  <si>
    <t>2859727151885242</t>
  </si>
  <si>
    <t>MLC1055960821</t>
  </si>
  <si>
    <t>U47649639</t>
  </si>
  <si>
    <t>MLC961862681</t>
  </si>
  <si>
    <t>Protector Manillas Palancas Manillar Yamaha Yzf R15 R3 R6 R1</t>
  </si>
  <si>
    <t>184488825253</t>
  </si>
  <si>
    <t>185500082411</t>
  </si>
  <si>
    <t>185500082413</t>
  </si>
  <si>
    <t>185500173265</t>
  </si>
  <si>
    <t>650051525902811</t>
  </si>
  <si>
    <t>MLC916562103</t>
  </si>
  <si>
    <t>U37546693</t>
  </si>
  <si>
    <t>Control Remoto Original Xiaomi Mi Tv Stick Xiaomi Mi Box S</t>
  </si>
  <si>
    <t>MLC939863858</t>
  </si>
  <si>
    <t>Tank Grip + Protector Estanque Yamaha Mt03 Hasta Año 2019</t>
  </si>
  <si>
    <t>173973079605</t>
  </si>
  <si>
    <t>184823822583</t>
  </si>
  <si>
    <t>184823822585</t>
  </si>
  <si>
    <t>MLC961836838</t>
  </si>
  <si>
    <t>Protector Manillas Palancas Manillar Yamaha Yzf R15 R 15</t>
  </si>
  <si>
    <t>174191623674</t>
  </si>
  <si>
    <t>174191623676</t>
  </si>
  <si>
    <t>174191623677</t>
  </si>
  <si>
    <t>174191623678</t>
  </si>
  <si>
    <t>MLC1311627514</t>
  </si>
  <si>
    <t>Protector Cubierta Cubre Cárter Motor Honda Cb500x Nx500</t>
  </si>
  <si>
    <t>176484913339</t>
  </si>
  <si>
    <t>176484913340</t>
  </si>
  <si>
    <t>8626550830213408</t>
  </si>
  <si>
    <t>MLC911089167</t>
  </si>
  <si>
    <t>U33476371</t>
  </si>
  <si>
    <t>Tacómetro Tablero Velocímetro Comp. Cb190 Cb190r Hasta 2019</t>
  </si>
  <si>
    <t>MLC939832925</t>
  </si>
  <si>
    <t>Sliders Topes De Caída Cb 190 Cb190 Cb190r Hasta Año 2024</t>
  </si>
  <si>
    <t>182217149586</t>
  </si>
  <si>
    <t>184885806095</t>
  </si>
  <si>
    <t>185786095471</t>
  </si>
  <si>
    <t>6977156791735174</t>
  </si>
  <si>
    <t>MLC2665253224</t>
  </si>
  <si>
    <t>U571284572</t>
  </si>
  <si>
    <t>Par Intermitentes Led Secuenciales Yamaha R15 R3 R6 Mt03 Etc</t>
  </si>
  <si>
    <t>8162533018986403</t>
  </si>
  <si>
    <t>MLC1436108079</t>
  </si>
  <si>
    <t>U45557897</t>
  </si>
  <si>
    <t>Estribera Soporte Apoyapiés Delantera Der Yamaha Mt03/a R3/a</t>
  </si>
  <si>
    <t>MLC1146669850</t>
  </si>
  <si>
    <t>Tank Grip + Protector Estanque Tracción Yamaha R3a Colores</t>
  </si>
  <si>
    <t>175724130933</t>
  </si>
  <si>
    <t>175724130934</t>
  </si>
  <si>
    <t>260760744539424</t>
  </si>
  <si>
    <t>MLC940455017</t>
  </si>
  <si>
    <t>U41901488</t>
  </si>
  <si>
    <t>Mica Protectora De Pantalla Tacómetro Tablero Cb190 Cb190r</t>
  </si>
  <si>
    <t>6789146173123955</t>
  </si>
  <si>
    <t>MLC2088909072</t>
  </si>
  <si>
    <t>U27213179</t>
  </si>
  <si>
    <t>2 Intercomunicadores V6-pro-intercom-x2 Casco De Moto Bluetooth Ejeas</t>
  </si>
  <si>
    <t>5939892321906370</t>
  </si>
  <si>
    <t>MLC957556574</t>
  </si>
  <si>
    <t>U3802303436</t>
  </si>
  <si>
    <t>Set Manillas Palancas + Protector Ktm Duke 200 250 390 Logo</t>
  </si>
  <si>
    <t>6438275462148948</t>
  </si>
  <si>
    <t>MLC1292021387</t>
  </si>
  <si>
    <t>U24104412</t>
  </si>
  <si>
    <t>Estribera + Reposapiés Delantero Der. Yamaha Mt03 R3 R3a</t>
  </si>
  <si>
    <t>MLC628856803</t>
  </si>
  <si>
    <t>Tank Grip / Protector Estanque Tracción Yamaha Mt03 Colores</t>
  </si>
  <si>
    <t>92088419385</t>
  </si>
  <si>
    <t>92088419383</t>
  </si>
  <si>
    <t>92088419381</t>
  </si>
  <si>
    <t>7381051303503916</t>
  </si>
  <si>
    <t>MLC911026282</t>
  </si>
  <si>
    <t>U3791272385</t>
  </si>
  <si>
    <t>Protector Manillas Manillar Honda Cb190 Cb190r Con Logo</t>
  </si>
  <si>
    <t>4801439915587830</t>
  </si>
  <si>
    <t>MLC2280533908</t>
  </si>
  <si>
    <t>U320424498</t>
  </si>
  <si>
    <t>Manilla Embrague Con Soporte Honda Crf 150r 250r 450r X 22mm</t>
  </si>
  <si>
    <t>8376358132120185</t>
  </si>
  <si>
    <t>MLC636041186</t>
  </si>
  <si>
    <t>U33125740</t>
  </si>
  <si>
    <t>Adhesivos Sticker Pegatinas Reflectantes Ruedas Honda Repsol</t>
  </si>
  <si>
    <t>MLC939839604</t>
  </si>
  <si>
    <t>Puños Honda Cb190 Cb190r Cb 190 Con Logo Colores Sin Tope</t>
  </si>
  <si>
    <t>173971706414</t>
  </si>
  <si>
    <t>173971706413</t>
  </si>
  <si>
    <t>173971706415</t>
  </si>
  <si>
    <t>173971706416</t>
  </si>
  <si>
    <t>MLC1055384749</t>
  </si>
  <si>
    <t>Cúpula Parabrisas Doble Burbuja Yamaha R3a (2019/....)</t>
  </si>
  <si>
    <t>175438592250</t>
  </si>
  <si>
    <t>185291666467</t>
  </si>
  <si>
    <t>1033048460469730</t>
  </si>
  <si>
    <t>MLC2676532288</t>
  </si>
  <si>
    <t>U701142071</t>
  </si>
  <si>
    <t>Guardamanos Cubre Puños Honda Crf 230 250 300 F R X M (no L)</t>
  </si>
  <si>
    <t>Rojo Izquierdo/derecho</t>
  </si>
  <si>
    <t>MLC911116243</t>
  </si>
  <si>
    <t>Tank Pad Protector Estanque Honda Cb190 Cb190r Desde 2020</t>
  </si>
  <si>
    <t>174062559976</t>
  </si>
  <si>
    <t>174062559974</t>
  </si>
  <si>
    <t>174062559975</t>
  </si>
  <si>
    <t>MLC1015443020</t>
  </si>
  <si>
    <t>Protector Radiador Cubre Yamaha R3 R3a R 3 A Base Gris</t>
  </si>
  <si>
    <t>174725750986</t>
  </si>
  <si>
    <t>185222466777</t>
  </si>
  <si>
    <t>MLC640054069</t>
  </si>
  <si>
    <t>Reposabrazos Pasajero Honda Cb190 Cb190r Hasta 2019 Colores</t>
  </si>
  <si>
    <t>94508338336</t>
  </si>
  <si>
    <t>174968615438</t>
  </si>
  <si>
    <t>94508338328</t>
  </si>
  <si>
    <t>94508338330</t>
  </si>
  <si>
    <t>8476592456449423</t>
  </si>
  <si>
    <t>MLC946833613</t>
  </si>
  <si>
    <t>U41996908</t>
  </si>
  <si>
    <t>Tank Grip Protector Tracción Honda Cb190 Cb190r Negro</t>
  </si>
  <si>
    <t>562753692597402</t>
  </si>
  <si>
    <t>MLC2865524730</t>
  </si>
  <si>
    <t>U3097621763</t>
  </si>
  <si>
    <t>Pedal Lado Cambio Ktm Duke 200 390 Rc Curvo Goma</t>
  </si>
  <si>
    <t>MLC607208391</t>
  </si>
  <si>
    <t>Espejos Universales Tipo Rizoma Brazo Largo Colores</t>
  </si>
  <si>
    <t>82611683734</t>
  </si>
  <si>
    <t>82611683732</t>
  </si>
  <si>
    <t>94346989065</t>
  </si>
  <si>
    <t>94346989067</t>
  </si>
  <si>
    <t>MLC957525678</t>
  </si>
  <si>
    <t>Manillas Palancas + Protector Honda Cb190r Hasta Año 2024</t>
  </si>
  <si>
    <t>174144859152</t>
  </si>
  <si>
    <t>174144859154</t>
  </si>
  <si>
    <t>174144859153</t>
  </si>
  <si>
    <t>4641261503876785</t>
  </si>
  <si>
    <t>MLC1192043735</t>
  </si>
  <si>
    <t>U22847137</t>
  </si>
  <si>
    <t>Pedalines Reposapiés Estriberas Honda Crf 150f 230f Crf230f</t>
  </si>
  <si>
    <t>2007016390097790</t>
  </si>
  <si>
    <t>MLC1286595423</t>
  </si>
  <si>
    <t>U24664380</t>
  </si>
  <si>
    <t>Soporte Patente Con Luz Elimina Cola Honda Crf 300l Crf300l</t>
  </si>
  <si>
    <t>MLC913629486</t>
  </si>
  <si>
    <t>Reposabrazos Pasajero Honda Cb190 Cb190r 2020-2024</t>
  </si>
  <si>
    <t>173956886251</t>
  </si>
  <si>
    <t>173720395000</t>
  </si>
  <si>
    <t>173720394999</t>
  </si>
  <si>
    <t>173956886252</t>
  </si>
  <si>
    <t>3502848559144675</t>
  </si>
  <si>
    <t>MLC967212574</t>
  </si>
  <si>
    <t>U39156787</t>
  </si>
  <si>
    <t>Tapas De Válvula Vástago Aire Rueda Ktm Duke Logo Colores</t>
  </si>
  <si>
    <t>MLC920089660</t>
  </si>
  <si>
    <t>Topes De Caída O Slider Ktm Duke 200-250-390 Colores</t>
  </si>
  <si>
    <t>173797247850</t>
  </si>
  <si>
    <t>173797247849</t>
  </si>
  <si>
    <t>7703049346105590</t>
  </si>
  <si>
    <t>MLC958193007</t>
  </si>
  <si>
    <t>U41928619</t>
  </si>
  <si>
    <t>Tank Pad Pegatina Adhesivo Protector Estanque Ktm Duke + Env</t>
  </si>
  <si>
    <t>MLC938314990</t>
  </si>
  <si>
    <t>Adhesivos Sticker Pegatinas Reflectantes Ruedas Honda Racing</t>
  </si>
  <si>
    <t>174165137990</t>
  </si>
  <si>
    <t>174165137987</t>
  </si>
  <si>
    <t>174165137986</t>
  </si>
  <si>
    <t>174165137988</t>
  </si>
  <si>
    <t>174165137989</t>
  </si>
  <si>
    <t>MLC1405434451</t>
  </si>
  <si>
    <t>Set 2 Intercomunicadores Para Casco Moto Ejeas V6pro V6 Pro</t>
  </si>
  <si>
    <t>MLC1504897687</t>
  </si>
  <si>
    <t>Cúpula Parabrisas Ktm Duke 200 390 Primera Gen. (no Ng)</t>
  </si>
  <si>
    <t>186521897391</t>
  </si>
  <si>
    <t>186521897393</t>
  </si>
  <si>
    <t>1968769831546833</t>
  </si>
  <si>
    <t>MLC1032824394</t>
  </si>
  <si>
    <t>U19374122</t>
  </si>
  <si>
    <t>Foco Integrado Led Yamaha Mt-03 Mt03 Mt 03 R3 R3a R 3 A Mt07</t>
  </si>
  <si>
    <t>MLC1405458263</t>
  </si>
  <si>
    <t>Intercomunicador Audífono Para Casco Moto Ejeas V6pro V6 Pro</t>
  </si>
  <si>
    <t>MLC1299024734</t>
  </si>
  <si>
    <t>Set Protector Estanque Tank Pad/grip Kawasaki Ninja400 Z400</t>
  </si>
  <si>
    <t>176421481704</t>
  </si>
  <si>
    <t>176421481705</t>
  </si>
  <si>
    <t>MLC1336726213</t>
  </si>
  <si>
    <t>Colín Monoplaza Deportivo Yamaha R15 R 15 V3</t>
  </si>
  <si>
    <t>176684973179</t>
  </si>
  <si>
    <t>176684973181</t>
  </si>
  <si>
    <t>176684973180</t>
  </si>
  <si>
    <t>4794804733475142</t>
  </si>
  <si>
    <t>MLC905354456</t>
  </si>
  <si>
    <t>U41455604</t>
  </si>
  <si>
    <t>1 Par Protectores De Manillar Manos Universal Tope - Espejo</t>
  </si>
  <si>
    <t>1485832096003079</t>
  </si>
  <si>
    <t>MLC1316748454</t>
  </si>
  <si>
    <t>U22659182</t>
  </si>
  <si>
    <t>Set Protector Estanque Tank Pad/grip Ktm Duke 200 250 390 Ng</t>
  </si>
  <si>
    <t>1169870624265893</t>
  </si>
  <si>
    <t>MLC939545745</t>
  </si>
  <si>
    <t>U34392586</t>
  </si>
  <si>
    <t>Protector Radiador Cubierta Honda Cbr 500 Cbr500 Cbr500r</t>
  </si>
  <si>
    <t>MLC940485132</t>
  </si>
  <si>
    <t>Tank Grip / Protector Estanque Tracción Yamaha R6 2008-2015</t>
  </si>
  <si>
    <t>173976545466</t>
  </si>
  <si>
    <t>173976545469</t>
  </si>
  <si>
    <t>173976545468</t>
  </si>
  <si>
    <t>5895485466835499</t>
  </si>
  <si>
    <t>MLC985744151</t>
  </si>
  <si>
    <t>U40320786</t>
  </si>
  <si>
    <t xml:space="preserve">Manillas Palancas Kawasaki Ninja 250 300 400 250r 300r 400r </t>
  </si>
  <si>
    <t>7789073388812384</t>
  </si>
  <si>
    <t>MLC1189914934</t>
  </si>
  <si>
    <t>U24147166</t>
  </si>
  <si>
    <t>Parrilla Soporte Equipaje Carga Aluminio Honda Cb500x Logo</t>
  </si>
  <si>
    <t>780598564268317</t>
  </si>
  <si>
    <t>MLC1265689344</t>
  </si>
  <si>
    <t>U21519549</t>
  </si>
  <si>
    <t>Bolso Almacenamiento Honda Crf 230 250 300 450 F R L M X Rx</t>
  </si>
  <si>
    <t>7293541081284530</t>
  </si>
  <si>
    <t>MLC1465394395</t>
  </si>
  <si>
    <t>U324710314</t>
  </si>
  <si>
    <t>Set Reposapiés Pedalines Delanteros Honda Cb500x Cb500f</t>
  </si>
  <si>
    <t>6168867102845120</t>
  </si>
  <si>
    <t>MLC1559014977</t>
  </si>
  <si>
    <t>U2894153897</t>
  </si>
  <si>
    <t>Pedal Cambio + Varilla + Perno Honda Cb190r Hasta Año 2024</t>
  </si>
  <si>
    <t>MLC1559611815</t>
  </si>
  <si>
    <t>Manillas Manillares Palancas Ktm Duke Rc 200 250 390 S/logo</t>
  </si>
  <si>
    <t>186435015019</t>
  </si>
  <si>
    <t>186435015021</t>
  </si>
  <si>
    <t>MLC1565303677</t>
  </si>
  <si>
    <t>Cúpula Parabrisas Deflector Viento Honda Cb500x Cb 500x</t>
  </si>
  <si>
    <t>186604367187</t>
  </si>
  <si>
    <t>186604367189</t>
  </si>
  <si>
    <t>MLC2803419176</t>
  </si>
  <si>
    <t>Maleta Top Case Aluminio Moto 65 L Negro/gris X-series.</t>
  </si>
  <si>
    <t>186390807335</t>
  </si>
  <si>
    <t>186390807337</t>
  </si>
  <si>
    <t>7733929028622557</t>
  </si>
  <si>
    <t>MLC940421135</t>
  </si>
  <si>
    <t>U35335666</t>
  </si>
  <si>
    <t>Protector Radiador Cubierta Kawasaki Ninja400 Z400 Sin Logo</t>
  </si>
  <si>
    <t>6767868976693252</t>
  </si>
  <si>
    <t>MLC1474798315</t>
  </si>
  <si>
    <t>U349475023</t>
  </si>
  <si>
    <t>Pedalines Reposapiés Estriberas Honda Xr250r Xr400r Xr 96-04</t>
  </si>
  <si>
    <t>3058042184466370</t>
  </si>
  <si>
    <t>MLC1594859633</t>
  </si>
  <si>
    <t>U3106188097</t>
  </si>
  <si>
    <t>Cúpula Parabrisas Bmw G310gs G 310 Gs G310 Gs</t>
  </si>
  <si>
    <t>MLC1607285289</t>
  </si>
  <si>
    <t>Sliders Topes De Caída Kawasaki Z400 Ninja 400 Ninja 500</t>
  </si>
  <si>
    <t>187808181473</t>
  </si>
  <si>
    <t>187808181475</t>
  </si>
  <si>
    <t>2251315018692056</t>
  </si>
  <si>
    <t>MLC2907768344</t>
  </si>
  <si>
    <t>U3211809459</t>
  </si>
  <si>
    <t>Manilla Freno Honda Cb500x F Nc750 2022+ Africa Twin 18-19</t>
  </si>
  <si>
    <t>4242606904010598</t>
  </si>
  <si>
    <t>MLC966178071</t>
  </si>
  <si>
    <t>U35363080</t>
  </si>
  <si>
    <t>Protector Radiador Cubierta Ktm Duke 200 390 (2013-2017)</t>
  </si>
  <si>
    <t>806986396839758</t>
  </si>
  <si>
    <t>MLC967075120</t>
  </si>
  <si>
    <t>U39344403</t>
  </si>
  <si>
    <t>Tapón Tapa De Llenado Aceite Drenaje Motor Ktm Duke Logo</t>
  </si>
  <si>
    <t>1562506468979439</t>
  </si>
  <si>
    <t>MLC1041766243</t>
  </si>
  <si>
    <t>U20399995</t>
  </si>
  <si>
    <t>Set Protector Tank Pad + Tank Grip + Depósito Kawasaki Z400</t>
  </si>
  <si>
    <t>5443065804467625</t>
  </si>
  <si>
    <t>MLC1055889610</t>
  </si>
  <si>
    <t>U21633440</t>
  </si>
  <si>
    <t>Set Protector Estanque Tank Pad/grip Yamaha Mt03 A (20/..)</t>
  </si>
  <si>
    <t>4410305854913940</t>
  </si>
  <si>
    <t>MLC1189896968</t>
  </si>
  <si>
    <t>U20474157</t>
  </si>
  <si>
    <t>Manillas Honda Cb190r Cbr250r Cbr300r Cb500r Cb500f Cb500x</t>
  </si>
  <si>
    <t>8184881404964442</t>
  </si>
  <si>
    <t>MLC1189983898</t>
  </si>
  <si>
    <t>U22813169</t>
  </si>
  <si>
    <t>Protector Manillas Palancas Manillar Ktm Duke V2 Logo</t>
  </si>
  <si>
    <t>6067236355122513</t>
  </si>
  <si>
    <t>MLC1206076593</t>
  </si>
  <si>
    <t>U23955059</t>
  </si>
  <si>
    <t>Protector Manillas Palancas Kawasaki Z400 Z650 Z800 Z900</t>
  </si>
  <si>
    <t>MLC1294523580</t>
  </si>
  <si>
    <t>Pedales Freno Y Cambio Ktm Duke 200 250 390 Desde Año 2017</t>
  </si>
  <si>
    <t>183215443303</t>
  </si>
  <si>
    <t>183215443305</t>
  </si>
  <si>
    <t>7813405177040947</t>
  </si>
  <si>
    <t>MLC1320681262</t>
  </si>
  <si>
    <t>U25368706</t>
  </si>
  <si>
    <t>5183101275482157</t>
  </si>
  <si>
    <t>MLC1484699615</t>
  </si>
  <si>
    <t>U370549161</t>
  </si>
  <si>
    <t>Alerón Winglet Ninja 250 300 250r 300r Hasta Año 2017</t>
  </si>
  <si>
    <t>8341023088051127</t>
  </si>
  <si>
    <t>MLC1560648205</t>
  </si>
  <si>
    <t>U2907585356</t>
  </si>
  <si>
    <t>Espejos Alerón Universal Base 1 Perno Yamaha Mt03 Mt07 Honda</t>
  </si>
  <si>
    <t>3013190910026563</t>
  </si>
  <si>
    <t>MLC1582486827</t>
  </si>
  <si>
    <t>U3050929918</t>
  </si>
  <si>
    <t>Pedal Lado Cambio Ktm Duke 200 250 390 Recto</t>
  </si>
  <si>
    <t>4169938775227454</t>
  </si>
  <si>
    <t>MLC1582676661</t>
  </si>
  <si>
    <t>U3050932068</t>
  </si>
  <si>
    <t>Pedal Lado Freno Ktm Duke 200 250 390 Desde Año 2017</t>
  </si>
  <si>
    <t>MLC1688727206</t>
  </si>
  <si>
    <t>Protector Radiador Cubre Cubierta Kawasaki Ninja 400 Logo</t>
  </si>
  <si>
    <t>178306837899</t>
  </si>
  <si>
    <t>178306837897</t>
  </si>
  <si>
    <t>178306837901</t>
  </si>
  <si>
    <t>MLC2437453928</t>
  </si>
  <si>
    <t>Foco Integrado + Soporte Patente Cola Honda Crf 300l Crf300l</t>
  </si>
  <si>
    <t>180485140182</t>
  </si>
  <si>
    <t>184957930647</t>
  </si>
  <si>
    <t>438254921086374</t>
  </si>
  <si>
    <t>MLC2798866580</t>
  </si>
  <si>
    <t>U2880178567</t>
  </si>
  <si>
    <t>Guardamanos Cubre Puños Protector Ktm Duke Enduro Motocross</t>
  </si>
  <si>
    <t>Naranja Izquierdo/derecho</t>
  </si>
  <si>
    <t>MLC627424189</t>
  </si>
  <si>
    <t>Puños Honda Cb190 Cb190r Con Logo Colores Con Tope</t>
  </si>
  <si>
    <t>90253365098</t>
  </si>
  <si>
    <t>91065416940</t>
  </si>
  <si>
    <t>MLC957605819</t>
  </si>
  <si>
    <t>Espejos Retrovisores Tipo Rizoma Ktm Duke Con Logo</t>
  </si>
  <si>
    <t>174144775736</t>
  </si>
  <si>
    <t>174144775735</t>
  </si>
  <si>
    <t>MLC973038687</t>
  </si>
  <si>
    <t>Tank Grip / Protector Estanque Tracción Yahama R3a R3 A Logo</t>
  </si>
  <si>
    <t>176203094877</t>
  </si>
  <si>
    <t>176203094876</t>
  </si>
  <si>
    <t>176203094875</t>
  </si>
  <si>
    <t>MLC1292094651</t>
  </si>
  <si>
    <t>Reposapiés Pedalines Traseros Ktm Duke Rc 200 250 390 V2</t>
  </si>
  <si>
    <t>176392959469</t>
  </si>
  <si>
    <t>176392959470</t>
  </si>
  <si>
    <t>2500022286403554</t>
  </si>
  <si>
    <t>MLC1546882461</t>
  </si>
  <si>
    <t>U2738474748</t>
  </si>
  <si>
    <t>Par Intermitentes Led Yamaha R15 R3 R6 Mt03 Etc</t>
  </si>
  <si>
    <t>1836116850603470</t>
  </si>
  <si>
    <t>MLC1560547625</t>
  </si>
  <si>
    <t>U2906798836</t>
  </si>
  <si>
    <t>Soportes Kit Anclaje Maletas Laterales Honda Cb500x Nx500</t>
  </si>
  <si>
    <t>8118835784860337</t>
  </si>
  <si>
    <t>MLC1588594175</t>
  </si>
  <si>
    <t>U3073726869</t>
  </si>
  <si>
    <t>Negro Izquierdo/derecho</t>
  </si>
  <si>
    <t>6969295392638154</t>
  </si>
  <si>
    <t>MLC1598690739</t>
  </si>
  <si>
    <t>U3124123799</t>
  </si>
  <si>
    <t>Manilla Palanca Embrague Yamaha R3 R3a Mt03 Mt03a Original</t>
  </si>
  <si>
    <t>7834986518404882</t>
  </si>
  <si>
    <t>MLC986970968</t>
  </si>
  <si>
    <t>U36835968</t>
  </si>
  <si>
    <t>Set Adhesivos Sticker Pegatinas Reflectantes Ruedas Cb190r</t>
  </si>
  <si>
    <t>2389211227088756</t>
  </si>
  <si>
    <t>MLC1205720722</t>
  </si>
  <si>
    <t>U24305156</t>
  </si>
  <si>
    <t>Protector Cubierta Cubre Cárter Motor Honda Crf250l Crf 250l</t>
  </si>
  <si>
    <t>3069938343475438</t>
  </si>
  <si>
    <t>MLC1265709953</t>
  </si>
  <si>
    <t>U21086629</t>
  </si>
  <si>
    <t>Parrilla Soporte Equipaje Carga Honda Crf250l Crf 250l</t>
  </si>
  <si>
    <t>8119756388061312</t>
  </si>
  <si>
    <t>MLC1291821844</t>
  </si>
  <si>
    <t>U22079593</t>
  </si>
  <si>
    <t>Pedal Palanca Pata Freno Honda Crf300l Crf 300l</t>
  </si>
  <si>
    <t>350194991934423</t>
  </si>
  <si>
    <t>MLC1292147466</t>
  </si>
  <si>
    <t>U21536579</t>
  </si>
  <si>
    <t>Reposapiés Pedalines Traseros Ktm Duke Rc 200 250 390 V1</t>
  </si>
  <si>
    <t>7060530638271698</t>
  </si>
  <si>
    <t>MLC1316749124</t>
  </si>
  <si>
    <t>U18568194</t>
  </si>
  <si>
    <t>Reposapiés Pedalines Delanteros Ktm Duke 200 250 390</t>
  </si>
  <si>
    <t>2529279769632419</t>
  </si>
  <si>
    <t>MLC1439031921</t>
  </si>
  <si>
    <t>U48759088</t>
  </si>
  <si>
    <t>Cubierta Protector Radiador Honda Cb500x Cb500 Cb 500 X V2</t>
  </si>
  <si>
    <t>7848283139115469</t>
  </si>
  <si>
    <t>MLC1465420143</t>
  </si>
  <si>
    <t>U324713788</t>
  </si>
  <si>
    <t>Set Reposapiés Pedalines Delanteros Honda Cbr500r Cbr300r</t>
  </si>
  <si>
    <t>3459899571083842</t>
  </si>
  <si>
    <t>MLC1484066813</t>
  </si>
  <si>
    <t>U369463519</t>
  </si>
  <si>
    <t>Tope Caída Slider Rueda Trasera Yamaha Mt03 Mt03a R3 R3a</t>
  </si>
  <si>
    <t>MLC1556331395</t>
  </si>
  <si>
    <t>Protector Cubierta Cubre Cárter Motor Honda Crf300l</t>
  </si>
  <si>
    <t>186303369949</t>
  </si>
  <si>
    <t>186303369951</t>
  </si>
  <si>
    <t>3764585273726989</t>
  </si>
  <si>
    <t>MLC1556392085</t>
  </si>
  <si>
    <t>U2885837750</t>
  </si>
  <si>
    <t>Sliders Topes De Caída Yamaha R15 V4 Simples</t>
  </si>
  <si>
    <t>MLC1556427651</t>
  </si>
  <si>
    <t>Cúpula Parabrisas Doble Burbuja Yamaha R15 V4 R 15</t>
  </si>
  <si>
    <t>186303030287</t>
  </si>
  <si>
    <t>186303030289</t>
  </si>
  <si>
    <t>5363988819585973</t>
  </si>
  <si>
    <t>MLC1588562711</t>
  </si>
  <si>
    <t>U3078753406</t>
  </si>
  <si>
    <t>Línea De Escape Directa Acero Honda Cb190 Cb190r Cb 190r</t>
  </si>
  <si>
    <t>1180644095415068</t>
  </si>
  <si>
    <t>MLC1594202971</t>
  </si>
  <si>
    <t>U3101611141</t>
  </si>
  <si>
    <t>Manilla Freno Honda Cb500x F (h. 2021) Cb190r Cbr300 Cbr500</t>
  </si>
  <si>
    <t>4482239883027343</t>
  </si>
  <si>
    <t>MLC1611006815</t>
  </si>
  <si>
    <t>U3177756568</t>
  </si>
  <si>
    <t>Xiaomi Wi-fi Range Extender Pro</t>
  </si>
  <si>
    <t>4076127053486286</t>
  </si>
  <si>
    <t>MLC1792781518</t>
  </si>
  <si>
    <t>U29968976</t>
  </si>
  <si>
    <t>Cajas Autoarmables 50 Unid. 27x16x7 Cm Cartón Microcorrugado</t>
  </si>
  <si>
    <t>MLC2221865510</t>
  </si>
  <si>
    <t>Cúpula Parabrisas Kawasaki  Z250 Z400 Z 400 Z 250 Desde 2019</t>
  </si>
  <si>
    <t>181443132787</t>
  </si>
  <si>
    <t>181443132785</t>
  </si>
  <si>
    <t>7580223519692305</t>
  </si>
  <si>
    <t>MLC2280518588</t>
  </si>
  <si>
    <t>U320402574</t>
  </si>
  <si>
    <t>Manillas Soportes Depósito Honda Crf 150r 250r 450r X 22mm</t>
  </si>
  <si>
    <t>6089469040503679</t>
  </si>
  <si>
    <t>MLC2437607294</t>
  </si>
  <si>
    <t>U372660936</t>
  </si>
  <si>
    <t>Manilla Palanca Embrague Honda Crf300l Crf 300l Retráctil</t>
  </si>
  <si>
    <t>MLC2812315394</t>
  </si>
  <si>
    <t>2da. Sel. Alerón - Winglet Yamaha R15 V3 Colores</t>
  </si>
  <si>
    <t>187272308881</t>
  </si>
  <si>
    <t>187272308883</t>
  </si>
  <si>
    <t>1370108693246610</t>
  </si>
  <si>
    <t>MLC2851769024</t>
  </si>
  <si>
    <t>U3043049439</t>
  </si>
  <si>
    <t>Línea De Escape Caracol Acero Yamaha R3 R3a Mt03 Mt03a</t>
  </si>
  <si>
    <t>5702266573118104</t>
  </si>
  <si>
    <t>MLC2866661692</t>
  </si>
  <si>
    <t>U3106961604</t>
  </si>
  <si>
    <t>Manilla Embrague Honda Cb190r Cb500x Cb500f Cbr300 Cbr500</t>
  </si>
  <si>
    <t>6722749332448973</t>
  </si>
  <si>
    <t>MLC939895262</t>
  </si>
  <si>
    <t>U35009697</t>
  </si>
  <si>
    <t>Tank Grip + Protector Tapa Depósito Yamaha Mt03 Mt 03</t>
  </si>
  <si>
    <t>MLC940567904</t>
  </si>
  <si>
    <t>Tank Grip / Protector Estanque Tracción Ninja 250 300</t>
  </si>
  <si>
    <t>173977988441</t>
  </si>
  <si>
    <t>173977988442</t>
  </si>
  <si>
    <t>173977988443</t>
  </si>
  <si>
    <t>Blanco</t>
  </si>
  <si>
    <t>7087951874632020</t>
  </si>
  <si>
    <t>MLC986400421</t>
  </si>
  <si>
    <t>U42329457</t>
  </si>
  <si>
    <t>Pedales Palancas Pata Freno Y Cambio Honda Crf 250r 450r Rx</t>
  </si>
  <si>
    <t>8760337134096870</t>
  </si>
  <si>
    <t>MLC987071321</t>
  </si>
  <si>
    <t>U40330714</t>
  </si>
  <si>
    <t>Manillas Palancas Honda Cbr 600 R Cbr600r 600r Logo 07-18</t>
  </si>
  <si>
    <t>3092733356837980</t>
  </si>
  <si>
    <t>MLC1033136642</t>
  </si>
  <si>
    <t>U19447808</t>
  </si>
  <si>
    <t>Parrilla Soporte Equipaje Carga Honda Crf300l Crf 300l</t>
  </si>
  <si>
    <t>8490370957863615</t>
  </si>
  <si>
    <t>MLC1041394823</t>
  </si>
  <si>
    <t>U20968439</t>
  </si>
  <si>
    <t>Pedales Palancas Pata Y Freno Cambio Honda Crf 450r (07-16)</t>
  </si>
  <si>
    <t>1325750713182521</t>
  </si>
  <si>
    <t>MLC1041407502</t>
  </si>
  <si>
    <t>U21265896</t>
  </si>
  <si>
    <t>Pedales Palancas Pata Freno Y Cambio Honda Crf 150f 230f</t>
  </si>
  <si>
    <t>5198142767509557</t>
  </si>
  <si>
    <t>MLC1041772275</t>
  </si>
  <si>
    <t>U21594053</t>
  </si>
  <si>
    <t>Pedales Palancas Pata Freno Y Cambio Honda Crf 250l (13-20)</t>
  </si>
  <si>
    <t>820116552318629</t>
  </si>
  <si>
    <t>MLC1041807629</t>
  </si>
  <si>
    <t>U19779773</t>
  </si>
  <si>
    <t>Pedales Palancas Pata Freno Y Cambio Honda Crf 250r (10-17)</t>
  </si>
  <si>
    <t>4744056911060367</t>
  </si>
  <si>
    <t>MLC1202478479</t>
  </si>
  <si>
    <t>U23968805</t>
  </si>
  <si>
    <t>Parrilla Soporte Equipaje Carga Honda Crf300l 300l Aluminio</t>
  </si>
  <si>
    <t>MLC1286601520</t>
  </si>
  <si>
    <t>Foco Luz Freno + Soporte Patente Elimina Cola Honda Crf250l</t>
  </si>
  <si>
    <t>176362772397</t>
  </si>
  <si>
    <t>176362772396</t>
  </si>
  <si>
    <t>176362772398</t>
  </si>
  <si>
    <t>Verde oscuro</t>
  </si>
  <si>
    <t>5359628608770880</t>
  </si>
  <si>
    <t>MLC1367764993</t>
  </si>
  <si>
    <t>U24155054</t>
  </si>
  <si>
    <t>Parrilla Soporte Equipaje Carga Honda Crf250l 250l Aluminio</t>
  </si>
  <si>
    <t>1993192451939629</t>
  </si>
  <si>
    <t>MLC1469837071</t>
  </si>
  <si>
    <t>U334733181</t>
  </si>
  <si>
    <t>Protector Radiador Cubierta Ktm Adventure Adv 390</t>
  </si>
  <si>
    <t>MLC1474654455</t>
  </si>
  <si>
    <t>Protector Manillas Palancas Manillar Yamaha Yzf R3 R3a Logo</t>
  </si>
  <si>
    <t>182309013775</t>
  </si>
  <si>
    <t>182309013773</t>
  </si>
  <si>
    <t>483496302863621</t>
  </si>
  <si>
    <t>MLC1476274131</t>
  </si>
  <si>
    <t>U353055101</t>
  </si>
  <si>
    <t>2da Sel. Parrilla Soporte Equipaje Aluminio Honda Cb500x</t>
  </si>
  <si>
    <t>277489396429723</t>
  </si>
  <si>
    <t>MLC1484094509</t>
  </si>
  <si>
    <t>U371007778</t>
  </si>
  <si>
    <t>Tapas Protectoras Cubierta Motor Yamaha R3 R3a Mt03 Mt03a</t>
  </si>
  <si>
    <t>3612872838384858</t>
  </si>
  <si>
    <t>MLC1495086933</t>
  </si>
  <si>
    <t>U389084725</t>
  </si>
  <si>
    <t>Protector Radiador Cubre Yamaha R3 R3a R 3 A Acero</t>
  </si>
  <si>
    <t>MLC1559544221</t>
  </si>
  <si>
    <t>Manillas Manillares Palancas Yamaha Mt03 Mt03a R3 R3a S/logo</t>
  </si>
  <si>
    <t>186434792737</t>
  </si>
  <si>
    <t>186434792739</t>
  </si>
  <si>
    <t>232450232149490</t>
  </si>
  <si>
    <t>MLC1565481629</t>
  </si>
  <si>
    <t>U2928742552</t>
  </si>
  <si>
    <t>2da. Sel. Sliders Topes De Caída Yamaha R15 V3</t>
  </si>
  <si>
    <t>3560188760275900</t>
  </si>
  <si>
    <t>MLC1588167173</t>
  </si>
  <si>
    <t>U3076638374</t>
  </si>
  <si>
    <t>Tank Grip + Protector Estanque Tracción Yahama R3a R3 A</t>
  </si>
  <si>
    <t>4716624031265400</t>
  </si>
  <si>
    <t>MLC1604050865</t>
  </si>
  <si>
    <t>U3150052674</t>
  </si>
  <si>
    <t>Kit De Transmisión 14/43 Regina Yamaha R3 R3a Mt03 Mt03a</t>
  </si>
  <si>
    <t>1225063823645001</t>
  </si>
  <si>
    <t>MLC1725595630</t>
  </si>
  <si>
    <t>U25418747</t>
  </si>
  <si>
    <t>Pedal Palanca Pata Freno Honda Crf 250l Crf250l 2013-2020</t>
  </si>
  <si>
    <t>8161903520266720</t>
  </si>
  <si>
    <t>MLC2509073480</t>
  </si>
  <si>
    <t>U389895300</t>
  </si>
  <si>
    <t>Soporte Patente Con Luz Led Fender Yamaha Mt07 R7 Fz07</t>
  </si>
  <si>
    <t>7191488717708405</t>
  </si>
  <si>
    <t>MLC2690460796</t>
  </si>
  <si>
    <t>U976051679</t>
  </si>
  <si>
    <t>Sliders Barras Topes De Caída Defensas Yamaha Mt03 Mt03a</t>
  </si>
  <si>
    <t>6643988477763048</t>
  </si>
  <si>
    <t>MLC2800839624</t>
  </si>
  <si>
    <t>U2889357480</t>
  </si>
  <si>
    <t>Par Intermitentes Led Motos Yamaha Fz R15 R3 Mt03 Mt07 Etc</t>
  </si>
  <si>
    <t>MLC2803405556</t>
  </si>
  <si>
    <t>Maleta Top Case Aluminio Moto 45 L Negro/gris X-series.</t>
  </si>
  <si>
    <t>186391989185</t>
  </si>
  <si>
    <t>186391599681</t>
  </si>
  <si>
    <t>MLC2803443760</t>
  </si>
  <si>
    <t>Maleta Top Case Aluminio Moto 55 L Negro/gris X-series.</t>
  </si>
  <si>
    <t>186392495193</t>
  </si>
  <si>
    <t>186392495195</t>
  </si>
  <si>
    <t>MLC2805472296</t>
  </si>
  <si>
    <t>Colín Monoplaza Asiento Deportivo Kawazaki Ninja 300r</t>
  </si>
  <si>
    <t>186419631207</t>
  </si>
  <si>
    <t>186419631205</t>
  </si>
  <si>
    <t>7649201790815225</t>
  </si>
  <si>
    <t>MLC2816506658</t>
  </si>
  <si>
    <t>U2913959001</t>
  </si>
  <si>
    <t>2da. Sel. Estribera Delantera Izquierda Yamaha Mt03 R3 R3a</t>
  </si>
  <si>
    <t>5135817987906274</t>
  </si>
  <si>
    <t>MLC2852045668</t>
  </si>
  <si>
    <t>U3044188451</t>
  </si>
  <si>
    <t>Sliders Protector Topes Caída Simples Yamaha R3a Desde 2019</t>
  </si>
  <si>
    <t>3940418304594399</t>
  </si>
  <si>
    <t>MLC2855626838</t>
  </si>
  <si>
    <t>U3064214616</t>
  </si>
  <si>
    <t>Manilla Embrague Honda Cb190r Cb500x Cb500f Cbr300 500 Buje</t>
  </si>
  <si>
    <t>4460691251096680</t>
  </si>
  <si>
    <t>MLC2865422958</t>
  </si>
  <si>
    <t>U3096294869</t>
  </si>
  <si>
    <t>Pedal Palanca Freno Kawasaki Ninja400 Ninja500 Ninja Z400</t>
  </si>
  <si>
    <t>7753321431372391</t>
  </si>
  <si>
    <t>MLC2867629360</t>
  </si>
  <si>
    <t>U3112034902</t>
  </si>
  <si>
    <t>Pedal Palanca Pata Cambio Honda Crf 250l Crf250l</t>
  </si>
  <si>
    <t>8067274438831745</t>
  </si>
  <si>
    <t>MLC2908977178</t>
  </si>
  <si>
    <t>U3042401023</t>
  </si>
  <si>
    <t>Par (2u) Intercomunicador Ejeas V6 Pro+plus Tipoc Model2024</t>
  </si>
  <si>
    <t>3423975411327585</t>
  </si>
  <si>
    <t>MLC938208013</t>
  </si>
  <si>
    <t>U38297584</t>
  </si>
  <si>
    <t>Alerón Ninja 400 - Winglet Ninja 400 Con Logo + Envío</t>
  </si>
  <si>
    <t>1613393189521550</t>
  </si>
  <si>
    <t>MLC943225265</t>
  </si>
  <si>
    <t>U34230447</t>
  </si>
  <si>
    <t>Tacómetro Tablero Velocímetro Comp. Cb190 Cb190r Desde 2020</t>
  </si>
  <si>
    <t>8052402410600787</t>
  </si>
  <si>
    <t>MLC961836984</t>
  </si>
  <si>
    <t>U42310302</t>
  </si>
  <si>
    <t>Protector Topes De Caída Caídas Slider Ktm Duke 200 250 390</t>
  </si>
  <si>
    <t>221905339702222</t>
  </si>
  <si>
    <t>MLC1017940947</t>
  </si>
  <si>
    <t>U18247601</t>
  </si>
  <si>
    <t>Pata Partida Palanca Arranque Kawasaki Kx Klx 450 F R 08-15</t>
  </si>
  <si>
    <t>691037241931554</t>
  </si>
  <si>
    <t>MLC1027158424</t>
  </si>
  <si>
    <t>U20053653</t>
  </si>
  <si>
    <t>Manilla Embrague Honda Crf 250r-450r-250rx-450rx Retráctil</t>
  </si>
  <si>
    <t>2069493803275709</t>
  </si>
  <si>
    <t>MLC1144438547</t>
  </si>
  <si>
    <t>U23445681</t>
  </si>
  <si>
    <t>Set Tapas Válvula + Tapón Aceite Ktm Duke Logo Colores</t>
  </si>
  <si>
    <t>5273992294561167</t>
  </si>
  <si>
    <t>MLC1206077180</t>
  </si>
  <si>
    <t>U23601711</t>
  </si>
  <si>
    <t>2ª Selección / Parrilla Soporte Equipaje Carga Honda Crf250l</t>
  </si>
  <si>
    <t>197388737567322</t>
  </si>
  <si>
    <t>MLC1386160627</t>
  </si>
  <si>
    <t>U23869339</t>
  </si>
  <si>
    <t>Kit Protección Estanque + Radiador Kawasaki Ninja 400</t>
  </si>
  <si>
    <t>5045271813289121</t>
  </si>
  <si>
    <t>MLC1406184398</t>
  </si>
  <si>
    <t>U24365456</t>
  </si>
  <si>
    <t>Barra Anti Caídas Slider Ktm Duke 200 2017 A 2019 (no Ng)</t>
  </si>
  <si>
    <t>7182195940670069</t>
  </si>
  <si>
    <t>MLC1484325673</t>
  </si>
  <si>
    <t>U371301366</t>
  </si>
  <si>
    <t>Semi Manillar Manubrio Ajustable Deportivo Yamaha R3a</t>
  </si>
  <si>
    <t>4127576973764409</t>
  </si>
  <si>
    <t>MLC1490009261</t>
  </si>
  <si>
    <t>U381408732</t>
  </si>
  <si>
    <t>2da Selección Manillas Palancas Yamaha R15 R 15 V4 Logo</t>
  </si>
  <si>
    <t>2047111397969910</t>
  </si>
  <si>
    <t>MLC1490017531</t>
  </si>
  <si>
    <t>U379884523</t>
  </si>
  <si>
    <t>Foco Integrado Led Yamaha Mt07 Mt 07 Desde Año 2018</t>
  </si>
  <si>
    <t>Derecho Ahumado</t>
  </si>
  <si>
    <t>3821446140268492</t>
  </si>
  <si>
    <t>MLC1545076815</t>
  </si>
  <si>
    <t>U2712617768</t>
  </si>
  <si>
    <t>2da. Sel. Cúpula Parabrisas Ktm Adventure Adv 390</t>
  </si>
  <si>
    <t>3334919589992386</t>
  </si>
  <si>
    <t>MLC1555366805</t>
  </si>
  <si>
    <t>U2876525547</t>
  </si>
  <si>
    <t>2da. Sel. Manillas Palancas Ktm Duke 200 250 390 Logo</t>
  </si>
  <si>
    <t>3463813166981174</t>
  </si>
  <si>
    <t>MLC1555587649</t>
  </si>
  <si>
    <t>U2881437132</t>
  </si>
  <si>
    <t>2da. Sel. Foco Faro Luz Led Delantero Ktm Exc Xc Sx Mx Xc</t>
  </si>
  <si>
    <t>Ambos Lados</t>
  </si>
  <si>
    <t>3663199353123602</t>
  </si>
  <si>
    <t>MLC1560549439</t>
  </si>
  <si>
    <t>U2906972210</t>
  </si>
  <si>
    <t>Parrilla Soporte Manos Equipaje Carga Yamaha Mt03a</t>
  </si>
  <si>
    <t>2276534659163866</t>
  </si>
  <si>
    <t>MLC1563541887</t>
  </si>
  <si>
    <t>U2915759323</t>
  </si>
  <si>
    <t>2da. Sel. Guardamanos Cubre Puños Honda Crf 230 250 300 R X</t>
  </si>
  <si>
    <t>5866274441806236</t>
  </si>
  <si>
    <t>MLC1584468495</t>
  </si>
  <si>
    <t>U3056240799</t>
  </si>
  <si>
    <t>Cúpula Parabrisas Universal Manubrio Fz25 Mt03 Duke Pulsar</t>
  </si>
  <si>
    <t>2050996965819321</t>
  </si>
  <si>
    <t>MLC1588128439</t>
  </si>
  <si>
    <t>U3071312641</t>
  </si>
  <si>
    <t>Protector Estanque Tank Pad Yamaha R3 R3a R7 Logo Yzf Goma</t>
  </si>
  <si>
    <t>4267000045847405</t>
  </si>
  <si>
    <t>MLC1589045325</t>
  </si>
  <si>
    <t>U3081263618</t>
  </si>
  <si>
    <t>Cúpula Parabrisas Yamaha Mt07 Mt 07 Mt-07 2018-2020</t>
  </si>
  <si>
    <t>8706117473181241</t>
  </si>
  <si>
    <t>MLC1589139671</t>
  </si>
  <si>
    <t>U3076237001</t>
  </si>
  <si>
    <t>2da. Sel. Parrilla Equipaje Husqvarna Svartpilen 250 401</t>
  </si>
  <si>
    <t>8706997930213384</t>
  </si>
  <si>
    <t>MLC1601201681</t>
  </si>
  <si>
    <t>U3133359087</t>
  </si>
  <si>
    <t>Pedal Lado Cambio Ktm Duke 200 390 Rc Curvo</t>
  </si>
  <si>
    <t>2147382158207628</t>
  </si>
  <si>
    <t>MLC1603971619</t>
  </si>
  <si>
    <t>U3144543833</t>
  </si>
  <si>
    <t>Dunlop Sportmax Gpr-300 Sin Cámara De 110/70zr17 W 54</t>
  </si>
  <si>
    <t>613295749708623</t>
  </si>
  <si>
    <t>MLC1663168388</t>
  </si>
  <si>
    <t>U25472835</t>
  </si>
  <si>
    <t>Parrilla Soporte Equipaje Carga Alum. Ktm Adventure 250 390</t>
  </si>
  <si>
    <t>4946627327962043</t>
  </si>
  <si>
    <t>MLC2280545828</t>
  </si>
  <si>
    <t>U319126291</t>
  </si>
  <si>
    <t>Manilla Freno Soporte Depósito Honda Crf 250r 450r X 22mm</t>
  </si>
  <si>
    <t>5098529251729240</t>
  </si>
  <si>
    <t>MLC2383536472</t>
  </si>
  <si>
    <t>U356553471</t>
  </si>
  <si>
    <t>Pedal Palanca Cambio Kawasaki Ninja250 Ninja300 Ninja 300 R</t>
  </si>
  <si>
    <t>3912825277694020</t>
  </si>
  <si>
    <t>MLC2563954906</t>
  </si>
  <si>
    <t>U401879645</t>
  </si>
  <si>
    <t>Parabrisas Cúpula Yamaha Mt03a Mt03 Mt-03 Desde 2020 Medio</t>
  </si>
  <si>
    <t>3011298622922557</t>
  </si>
  <si>
    <t>MLC2702450582</t>
  </si>
  <si>
    <t>U1295013783</t>
  </si>
  <si>
    <t>Slider Barras Defensas Topes Ktm Duke 250 390 2017 A 2023</t>
  </si>
  <si>
    <t>5726073109826024</t>
  </si>
  <si>
    <t>MLC2702665084</t>
  </si>
  <si>
    <t>U1299276100</t>
  </si>
  <si>
    <t>Sliders Barras Topes De Caída Defensas Yamaha Mt03a Mt-03 A</t>
  </si>
  <si>
    <t>165352369613462</t>
  </si>
  <si>
    <t>MLC2767047438</t>
  </si>
  <si>
    <t>U2707622483</t>
  </si>
  <si>
    <t>2da. Sel. Parrilla Equipaje Carga Ktm Adventure 250 390</t>
  </si>
  <si>
    <t>5361726382922576</t>
  </si>
  <si>
    <t>MLC2767083290</t>
  </si>
  <si>
    <t>U2712648566</t>
  </si>
  <si>
    <t>2da Sel. Cubre Puños Guardamanos Yamaha Mt03 Mt03a</t>
  </si>
  <si>
    <t>8060686863128149</t>
  </si>
  <si>
    <t>MLC2805537522</t>
  </si>
  <si>
    <t>U2894195347</t>
  </si>
  <si>
    <t>Foco Faro Luz Led Delantero Ktm Exc Xc Sx Mx Xc 2024-20xx</t>
  </si>
  <si>
    <t>MLC2807396682</t>
  </si>
  <si>
    <t>Maletas Laterales 35 L Aluminio Moto Negro/gris Sin Anclaje</t>
  </si>
  <si>
    <t>186447986111</t>
  </si>
  <si>
    <t>186448197743</t>
  </si>
  <si>
    <t>4701331753931228</t>
  </si>
  <si>
    <t>MLC2809746622</t>
  </si>
  <si>
    <t>U2902874697</t>
  </si>
  <si>
    <t>2da. Sel. Tank Grip / Protector Estanque Tracción Yahama R3a</t>
  </si>
  <si>
    <t>8512850554083344</t>
  </si>
  <si>
    <t>MLC2812237122</t>
  </si>
  <si>
    <t>U2905729953</t>
  </si>
  <si>
    <t>2da. Sel. Protector Cubierta Cubre Cárter Motor Honda Cb500x</t>
  </si>
  <si>
    <t>3934420444987003</t>
  </si>
  <si>
    <t>MLC2812289086</t>
  </si>
  <si>
    <t>U2910852834</t>
  </si>
  <si>
    <t>2da. Sel. Alerón Yamaha R3 - Winglet Yamaha R3 (hasta 2018)</t>
  </si>
  <si>
    <t>7175349951514379</t>
  </si>
  <si>
    <t>MLC2816917844</t>
  </si>
  <si>
    <t>U2914476973</t>
  </si>
  <si>
    <t>2da. Sel. Pedalines Reposapiés Honda Crf 250 450 R X M L</t>
  </si>
  <si>
    <t>6107846994204282</t>
  </si>
  <si>
    <t>MLC2828281378</t>
  </si>
  <si>
    <t>U2945063102</t>
  </si>
  <si>
    <t>2da. Sel. Pedalines Reposapiés Estriberas Honda Crf230f</t>
  </si>
  <si>
    <t>4890427678332204</t>
  </si>
  <si>
    <t>MLC2828281548</t>
  </si>
  <si>
    <t>U2940005879</t>
  </si>
  <si>
    <t>2da. Sel. Manillas Honda Cb190 Cb190r Con Logo Colores</t>
  </si>
  <si>
    <t>MLC2828344914</t>
  </si>
  <si>
    <t>4266121025344960</t>
  </si>
  <si>
    <t>MLC2836989730</t>
  </si>
  <si>
    <t>U2972472363</t>
  </si>
  <si>
    <t>2da. Sel.reposabrazos Pasajero Honda Cb190 Cb190r 2020-2024</t>
  </si>
  <si>
    <t>5782154295578046</t>
  </si>
  <si>
    <t>MLC2849007622</t>
  </si>
  <si>
    <t>U3028088791</t>
  </si>
  <si>
    <t>2da. Sel. Reposapiés Pedalines S/resorte Crf 250 450 R X L</t>
  </si>
  <si>
    <t>6874549066817474</t>
  </si>
  <si>
    <t>MLC2849221076</t>
  </si>
  <si>
    <t>U3030155429</t>
  </si>
  <si>
    <t>Set Reposapiés Pedalines Delanteros Honda Cb190r Alternativo</t>
  </si>
  <si>
    <t>7267706158354103</t>
  </si>
  <si>
    <t>MLC2851781682</t>
  </si>
  <si>
    <t>U3043038663</t>
  </si>
  <si>
    <t>Línea De Escape Caracol Tornasol Yamaha R3 R3a Mt03 Mt03a</t>
  </si>
  <si>
    <t>5821831807877081</t>
  </si>
  <si>
    <t>MLC2851820808</t>
  </si>
  <si>
    <t>U3043062771</t>
  </si>
  <si>
    <t>Línea De Escape Directa Tornasol Yamaha R3 R3a Mt03 Mt03a</t>
  </si>
  <si>
    <t>MLC2852045600</t>
  </si>
  <si>
    <t>Sliders Protector Topes Caída Simples Yamaha R3a R3 D. 2019</t>
  </si>
  <si>
    <t>187093790783</t>
  </si>
  <si>
    <t>187093790785</t>
  </si>
  <si>
    <t>2595207355352569</t>
  </si>
  <si>
    <t>MLC2867295558</t>
  </si>
  <si>
    <t>U3103849881</t>
  </si>
  <si>
    <t>Manillas Palancas Ktm Adventure Adv 250 390 Logo</t>
  </si>
  <si>
    <t>8388292756487644</t>
  </si>
  <si>
    <t>MLC2872407814</t>
  </si>
  <si>
    <t>U3128379720</t>
  </si>
  <si>
    <t>4347491138273261</t>
  </si>
  <si>
    <t>MLC2884865530</t>
  </si>
  <si>
    <t>U3159260118</t>
  </si>
  <si>
    <t>Estribera Soporte Delantera Izq Yamaha R3/a Mt03/a Original</t>
  </si>
  <si>
    <t>442560756407623</t>
  </si>
  <si>
    <t>MLC2903567548</t>
  </si>
  <si>
    <t>U3201084991</t>
  </si>
  <si>
    <t>Spools Carretes Soporte Caballete 6mm Yamaha R3 R6 R7 Mt03</t>
  </si>
  <si>
    <t>5468309870524282</t>
  </si>
  <si>
    <t>MLC3341613260</t>
  </si>
  <si>
    <t>U3571965760</t>
  </si>
  <si>
    <t>Puño Empuñadura Derecha Yamaha R3 R3a Mt03 Mt03a Original</t>
  </si>
  <si>
    <t>1857209242175170</t>
  </si>
  <si>
    <t>MLC3575424432</t>
  </si>
  <si>
    <t>U3780564829</t>
  </si>
  <si>
    <t>Soporte Foco Faro Araña Yamaha Yzf R3 (no R3a) Original</t>
  </si>
  <si>
    <t>7604516175699619</t>
  </si>
  <si>
    <t>MLC970722476</t>
  </si>
  <si>
    <t>U39297467</t>
  </si>
  <si>
    <t>Protector Topes De Caída Caídas Slider Ktm Rc 390 Logo</t>
  </si>
  <si>
    <t>7590847318434173</t>
  </si>
  <si>
    <t>MLC986793450</t>
  </si>
  <si>
    <t>U36451749</t>
  </si>
  <si>
    <t>Pedal Palanca Pata Cambio Honda Crf 250r 450r 250rx 450rx</t>
  </si>
  <si>
    <t>523246656873053</t>
  </si>
  <si>
    <t>MLC1509109375</t>
  </si>
  <si>
    <t>U425921281</t>
  </si>
  <si>
    <t>Manilla Freno Honda Crf250r Crf250rx Crf 250 R Rx 250r 250rx</t>
  </si>
  <si>
    <t>6157216863356099</t>
  </si>
  <si>
    <t>MLC1547836297</t>
  </si>
  <si>
    <t>U2755005583</t>
  </si>
  <si>
    <t>2da. Sel. Pedalines Estriberas Ktm Exc Sx Xcw Six Days 17/..</t>
  </si>
  <si>
    <t>3298357429994542</t>
  </si>
  <si>
    <t>MLC1559082059</t>
  </si>
  <si>
    <t>U2894734273</t>
  </si>
  <si>
    <t>2da. Sel. Manillas Honda Crf 250r 450r Rx Retráctiles</t>
  </si>
  <si>
    <t>1268251916663772</t>
  </si>
  <si>
    <t>MLC1569612975</t>
  </si>
  <si>
    <t>U2966549282</t>
  </si>
  <si>
    <t>2da. Sel. Sliders Barras Defensas Topes Yamaha Mt03 Mt03a</t>
  </si>
  <si>
    <t>4542418947912126</t>
  </si>
  <si>
    <t>MLC1574924013</t>
  </si>
  <si>
    <t>U3008892584</t>
  </si>
  <si>
    <t>Parrilla Soporte Equipaje Carga Yamaha Mt03a R3a</t>
  </si>
  <si>
    <t>6135256529511317</t>
  </si>
  <si>
    <t>MLC1581231281</t>
  </si>
  <si>
    <t>U3038545047</t>
  </si>
  <si>
    <t>2da.sel.spools Soporte Caballete Yamaha Yzf R25 R3 R6 R7 R1</t>
  </si>
  <si>
    <t>8265931173332500</t>
  </si>
  <si>
    <t>MLC1582966949</t>
  </si>
  <si>
    <t>U3052767156</t>
  </si>
  <si>
    <t>Cúpula Parabrisas Ajustable Universal Manubrio Fz25 Mt03 Etc</t>
  </si>
  <si>
    <t>8834239659308968</t>
  </si>
  <si>
    <t>MLC1584351647</t>
  </si>
  <si>
    <t>U3056228009</t>
  </si>
  <si>
    <t>Manilla Palanca Freno Honda Crf150f Crf230f Crf250f</t>
  </si>
  <si>
    <t>7990216093909621</t>
  </si>
  <si>
    <t>MLC1589163879</t>
  </si>
  <si>
    <t>U3076278845</t>
  </si>
  <si>
    <t>Manilla Palanca Freno Yamaha Yzf R3 R3a R 3 Logo</t>
  </si>
  <si>
    <t>8970282892922969</t>
  </si>
  <si>
    <t>MLC1589187211</t>
  </si>
  <si>
    <t>U3081364964</t>
  </si>
  <si>
    <t>2da. Sel. Cúpula Parabrisas Yamaha Mt07 Mt 07 2018-2020</t>
  </si>
  <si>
    <t>MLC1603896927</t>
  </si>
  <si>
    <t>Neumático Moto Delantero Dunlop Sportmax Gpr300 110/70zr17</t>
  </si>
  <si>
    <t>5125698832563270</t>
  </si>
  <si>
    <t>MLC1658555393</t>
  </si>
  <si>
    <t>U3338863666</t>
  </si>
  <si>
    <t>Oring Filtro De Aceite Yamaha Fz25</t>
  </si>
  <si>
    <t>1103416190532394</t>
  </si>
  <si>
    <t>MLC1661885423</t>
  </si>
  <si>
    <t>U3345722208</t>
  </si>
  <si>
    <t>Pistón Yamaha R15 V3 - R15 V4</t>
  </si>
  <si>
    <t>3249654732855105</t>
  </si>
  <si>
    <t>MLC1661913061</t>
  </si>
  <si>
    <t>U3339761457</t>
  </si>
  <si>
    <t>Empaquetadura De Culata Yamaha R15 V3</t>
  </si>
  <si>
    <t>3456328408917140</t>
  </si>
  <si>
    <t>MLC1661935527</t>
  </si>
  <si>
    <t>U3345691042</t>
  </si>
  <si>
    <t>Pistón Yamaha R3/a Mt03/a</t>
  </si>
  <si>
    <t>5107515767974610</t>
  </si>
  <si>
    <t>MLC1661940751</t>
  </si>
  <si>
    <t>U3339816717</t>
  </si>
  <si>
    <t>Junta Base De Cilindro Yamaha R15 V4</t>
  </si>
  <si>
    <t>8910099870012752</t>
  </si>
  <si>
    <t>MLC1661954515</t>
  </si>
  <si>
    <t>U3339834721</t>
  </si>
  <si>
    <t>Pastillas De Freno Delantero Yamaha R15 V3 - R15 V4</t>
  </si>
  <si>
    <t>3984901563751105</t>
  </si>
  <si>
    <t>MLC1661978263</t>
  </si>
  <si>
    <t>U3339771643</t>
  </si>
  <si>
    <t>Empaquetadura De Base De Cilindro Yamaha R15 V3</t>
  </si>
  <si>
    <t>7356044405552744</t>
  </si>
  <si>
    <t>MLC1662003399</t>
  </si>
  <si>
    <t>U3339749829</t>
  </si>
  <si>
    <t>Cilindro Yamaha R15 V4</t>
  </si>
  <si>
    <t>345347697218767</t>
  </si>
  <si>
    <t>MLC1662013717</t>
  </si>
  <si>
    <t>U3339716073</t>
  </si>
  <si>
    <t>Juego De Anillo Yamaha R3/a Mt03/a</t>
  </si>
  <si>
    <t>6972020053132471</t>
  </si>
  <si>
    <t>MLC1662014669</t>
  </si>
  <si>
    <t>U3339733521</t>
  </si>
  <si>
    <t>Cilindro Yamaha R15 V3</t>
  </si>
  <si>
    <t>6011708573016357</t>
  </si>
  <si>
    <t>MLC1662039991</t>
  </si>
  <si>
    <t>U3339722449</t>
  </si>
  <si>
    <t>Cilindro 1 Yamaha R3 - R3a -  Mt03 - Mt03a</t>
  </si>
  <si>
    <t>4007090068695024</t>
  </si>
  <si>
    <t>MLC1663310133</t>
  </si>
  <si>
    <t>U3342211015</t>
  </si>
  <si>
    <t>Intermitente Trasero Derecho Yamaha Mt03 R3</t>
  </si>
  <si>
    <t>2171506829723570</t>
  </si>
  <si>
    <t>MLC1663480753</t>
  </si>
  <si>
    <t>U3348398182</t>
  </si>
  <si>
    <t>Tornillo De Carter Aceite Yamaha R3/a  Mt03/a</t>
  </si>
  <si>
    <t>4933358393492451</t>
  </si>
  <si>
    <t>MLC1663563001</t>
  </si>
  <si>
    <t>U3342543253</t>
  </si>
  <si>
    <t>Catalina Fzn150 3.0 4.0</t>
  </si>
  <si>
    <t>3443571323076345</t>
  </si>
  <si>
    <t>MLC1672866875</t>
  </si>
  <si>
    <t>U3359446065</t>
  </si>
  <si>
    <t>Filtro De Aire Yamaha Fz Fi 3.0 Original Solo En Mg Bikes</t>
  </si>
  <si>
    <t>7945450927675240</t>
  </si>
  <si>
    <t>MLC1674814265</t>
  </si>
  <si>
    <t>U3372093660</t>
  </si>
  <si>
    <t>Disco De Embrague Jgo. X7</t>
  </si>
  <si>
    <t>3005872341719241</t>
  </si>
  <si>
    <t>MLC1678135237</t>
  </si>
  <si>
    <t>U3381176818</t>
  </si>
  <si>
    <t>Cable Piola De Embrague Yamaha Fzs 3.0 Original</t>
  </si>
  <si>
    <t>3370231171167157</t>
  </si>
  <si>
    <t>MLC1683487737</t>
  </si>
  <si>
    <t>U3384596051</t>
  </si>
  <si>
    <t>Pack 2 Bujias Ngk Lmar9g (japon)</t>
  </si>
  <si>
    <t>1217693794454003</t>
  </si>
  <si>
    <t>MLC1713286263</t>
  </si>
  <si>
    <t>U3471149712</t>
  </si>
  <si>
    <t>Manillas Palancas Honda Crf250r Crf 250r Rx Retráctil</t>
  </si>
  <si>
    <t>5650407058555544</t>
  </si>
  <si>
    <t>MLC1730850612</t>
  </si>
  <si>
    <t>U35837847</t>
  </si>
  <si>
    <t>Pedal Palanca Pata Freno Honda Crf 150f 230f Crf150f Crf230f</t>
  </si>
  <si>
    <t>5951320066630900</t>
  </si>
  <si>
    <t>MLC2362668982</t>
  </si>
  <si>
    <t>U349473885</t>
  </si>
  <si>
    <t>Pedalines Reposapiés Estriberas Honda Xr600r Xr650r Xr650l</t>
  </si>
  <si>
    <t>2506839296956818</t>
  </si>
  <si>
    <t>MLC2483744754</t>
  </si>
  <si>
    <t>U382581323</t>
  </si>
  <si>
    <t>Manilla Palanca Embrague Honda Crf150f Crf230f Crf250f</t>
  </si>
  <si>
    <t>7932009258913685</t>
  </si>
  <si>
    <t>MLC2518653886</t>
  </si>
  <si>
    <t>U391302373</t>
  </si>
  <si>
    <t>2da Sel. Tacómetro Velocímetro Cb190 R Cb190r Hasta 2019</t>
  </si>
  <si>
    <t>6339201823797839</t>
  </si>
  <si>
    <t>MLC2777306776</t>
  </si>
  <si>
    <t>U2760394290</t>
  </si>
  <si>
    <t>2da. Sel. Palancas Kawasaki Ninja 250 300 400 250r 300r 400r</t>
  </si>
  <si>
    <t>5542761705976380</t>
  </si>
  <si>
    <t>MLC2816483438</t>
  </si>
  <si>
    <t>U2919120172</t>
  </si>
  <si>
    <t>2da. Sel. Manillas Palancas Honda Cb500 X F Cb500x Cb500f</t>
  </si>
  <si>
    <t>7272281644389054</t>
  </si>
  <si>
    <t>MLC2831944176</t>
  </si>
  <si>
    <t>U2956414391</t>
  </si>
  <si>
    <t>2da. Sel. Parrilla Soporte Manos Equipaje Carga Yamaha Mt03a</t>
  </si>
  <si>
    <t>1515089629499254</t>
  </si>
  <si>
    <t>MLC2850404976</t>
  </si>
  <si>
    <t>U3042007758</t>
  </si>
  <si>
    <t>2da. Sel. Soporte Patente C/luz Elimina Cola Duke 200 250</t>
  </si>
  <si>
    <t>8411685488839803</t>
  </si>
  <si>
    <t>MLC2851704564</t>
  </si>
  <si>
    <t>U3048343284</t>
  </si>
  <si>
    <t>Línea De Escape Directa Acero Yamaha R3 R3a Mt03 Mt03a</t>
  </si>
  <si>
    <t>MLC2851800266</t>
  </si>
  <si>
    <t>2 Intercomunicadores Audífono Casco Moto Ejeas V6 Pro + Plus</t>
  </si>
  <si>
    <t>4588101720537137</t>
  </si>
  <si>
    <t>MLC2876948654</t>
  </si>
  <si>
    <t>U3133370911</t>
  </si>
  <si>
    <t>Pedal Lado Freno Ktm Duke 200 250 390 Rc Hasta Año 2016</t>
  </si>
  <si>
    <t>7418556684953892</t>
  </si>
  <si>
    <t>MLC2975979310</t>
  </si>
  <si>
    <t>U3298518837</t>
  </si>
  <si>
    <t>Aceite Para Motor Liqui Moly Sintético 10w-40 Para Moto/cuatriciclo X 1l</t>
  </si>
  <si>
    <t>6679539267170512</t>
  </si>
  <si>
    <t>MLC3002513254</t>
  </si>
  <si>
    <t>U3333100891</t>
  </si>
  <si>
    <t>Filtro De Aire R15 V3 V4</t>
  </si>
  <si>
    <t>8515034364148681</t>
  </si>
  <si>
    <t>MLC3002674328</t>
  </si>
  <si>
    <t>U3339080314</t>
  </si>
  <si>
    <t>Cable Piola De Embrague Yamaha Fzn150 Original</t>
  </si>
  <si>
    <t>1743538914949491</t>
  </si>
  <si>
    <t>MLC3005555646</t>
  </si>
  <si>
    <t>U3343834850</t>
  </si>
  <si>
    <t>Catalina Yamaha R3 Mt03</t>
  </si>
  <si>
    <t>7816570412464541</t>
  </si>
  <si>
    <t>MLC3005613070</t>
  </si>
  <si>
    <t>U3343519720</t>
  </si>
  <si>
    <t>Catalina Yamaha R15 V3 - R15 V4</t>
  </si>
  <si>
    <t>8967559185358752</t>
  </si>
  <si>
    <t>MLC3005711136</t>
  </si>
  <si>
    <t>U3343781050</t>
  </si>
  <si>
    <t>Cadena Original Yamaha R15 V3 - R15 V4</t>
  </si>
  <si>
    <t>7000555202844948</t>
  </si>
  <si>
    <t>MLC3005742392</t>
  </si>
  <si>
    <t>U3337534943</t>
  </si>
  <si>
    <t>Piñon De Ataque Yamaha Fz16 Fzn150 Fz-s Fz-x R15v3-v4</t>
  </si>
  <si>
    <t>5147068967664067</t>
  </si>
  <si>
    <t>MLC3008153000</t>
  </si>
  <si>
    <t>U3339746881</t>
  </si>
  <si>
    <t>Juego De Anillos Yamaha R15 V3 - R15 V4</t>
  </si>
  <si>
    <t>6934918010266830</t>
  </si>
  <si>
    <t>MLC3008180776</t>
  </si>
  <si>
    <t>U3339924051</t>
  </si>
  <si>
    <t>Portapatente Yamaha Fzn150</t>
  </si>
  <si>
    <t>2845011529795105</t>
  </si>
  <si>
    <t>MLC3008190340</t>
  </si>
  <si>
    <t>U3345825822</t>
  </si>
  <si>
    <t>Pastillas De Freno Trasero Yamaha R15 V3 - Fz25</t>
  </si>
  <si>
    <t>524815171522996</t>
  </si>
  <si>
    <t>MLC3008212936</t>
  </si>
  <si>
    <t>U3339904535</t>
  </si>
  <si>
    <t>Velocimetro Yamaha R3 Mt03</t>
  </si>
  <si>
    <t>5207462519124511</t>
  </si>
  <si>
    <t>MLC3008252908</t>
  </si>
  <si>
    <t>U3339986519</t>
  </si>
  <si>
    <t>Luz De Patente Yamaha R3a Mt03a</t>
  </si>
  <si>
    <t>2831055811606995</t>
  </si>
  <si>
    <t>MLC3008315572</t>
  </si>
  <si>
    <t>U3340568393</t>
  </si>
  <si>
    <t>Empuñadura Izquierda Yamaha R15 V2 - R15 V3 - R15 V4</t>
  </si>
  <si>
    <t>6810472814752872</t>
  </si>
  <si>
    <t>MLC3008339904</t>
  </si>
  <si>
    <t>U3340479327</t>
  </si>
  <si>
    <t>Cable Piola Acelerador Yamaha R3a Original</t>
  </si>
  <si>
    <t>1360087834126619</t>
  </si>
  <si>
    <t>MLC3012738840</t>
  </si>
  <si>
    <t>U3348036254</t>
  </si>
  <si>
    <t>Parabrisas Yamaha R3</t>
  </si>
  <si>
    <t>3867407882506779</t>
  </si>
  <si>
    <t>MLC3012898108</t>
  </si>
  <si>
    <t>U3342136523</t>
  </si>
  <si>
    <t>Intermitente Delantero Derecho Yamaha Mt03</t>
  </si>
  <si>
    <t>5738495144012088</t>
  </si>
  <si>
    <t>MLC3012926206</t>
  </si>
  <si>
    <t>U3342202363</t>
  </si>
  <si>
    <t>Intermitente Trasero Izquierdo Yamaha Mt03 R3</t>
  </si>
  <si>
    <t>4545588415660363</t>
  </si>
  <si>
    <t>MLC3012990358</t>
  </si>
  <si>
    <t>U3342170623</t>
  </si>
  <si>
    <t>Intermitente Delantero Izquierdo Yamaha R3a</t>
  </si>
  <si>
    <t>7787687852225960</t>
  </si>
  <si>
    <t>MLC3013025038</t>
  </si>
  <si>
    <t>U3342053281</t>
  </si>
  <si>
    <t>Parabrisa Original Transparente Yamaha R15 V4</t>
  </si>
  <si>
    <t>8123742687128979</t>
  </si>
  <si>
    <t>MLC3013028854</t>
  </si>
  <si>
    <t>U3342156053</t>
  </si>
  <si>
    <t>Intermitente Delantero Derecho Yamaha R3a</t>
  </si>
  <si>
    <t>6560994785418371</t>
  </si>
  <si>
    <t>MLC3013157820</t>
  </si>
  <si>
    <t>U3348121722</t>
  </si>
  <si>
    <t>Intermitente Delantero Izquierdo Yamaha Mt03</t>
  </si>
  <si>
    <t>5685533850392200</t>
  </si>
  <si>
    <t>MLC3013667872</t>
  </si>
  <si>
    <t>U3342515127</t>
  </si>
  <si>
    <t>Cable Piola Embrague Yamaha R15 V2 2013-2018 Original</t>
  </si>
  <si>
    <t>5330149149070328</t>
  </si>
  <si>
    <t>MLC3071896492</t>
  </si>
  <si>
    <t>U3370676575</t>
  </si>
  <si>
    <t>Soporte De Foco Yamaha R15 V4 Original</t>
  </si>
  <si>
    <t>MLC3369658582</t>
  </si>
  <si>
    <t>U3641276428</t>
  </si>
  <si>
    <t>8268265999670949</t>
  </si>
  <si>
    <t>MLC3501605260</t>
  </si>
  <si>
    <t>U3717360666</t>
  </si>
  <si>
    <t>Protector Cubierta Entrada Aire Yamaha Mt03a Mt 03 A Figura</t>
  </si>
  <si>
    <t>2443650407374957</t>
  </si>
  <si>
    <t>MLC3563497118</t>
  </si>
  <si>
    <t>U3771797099</t>
  </si>
  <si>
    <t>936997020888827</t>
  </si>
  <si>
    <t>MLC3585581088</t>
  </si>
  <si>
    <t>U3802606472</t>
  </si>
  <si>
    <t>Guardamanos Universal Cubre Puños Enduro Motocross Ktm Honda</t>
  </si>
  <si>
    <t>Naranjo Izquierdo/derecho</t>
  </si>
  <si>
    <t>3781959555502993</t>
  </si>
  <si>
    <t>MLC2849363894</t>
  </si>
  <si>
    <t>U3030159007</t>
  </si>
  <si>
    <t>Reposapiés Delantero Izquierdo Honda Cb190r Alternativo</t>
  </si>
  <si>
    <t>16990</t>
  </si>
  <si>
    <t>850314211206434</t>
  </si>
  <si>
    <t>MLC3583843046</t>
  </si>
  <si>
    <t>U3799543454</t>
  </si>
  <si>
    <t>Soporte Cubre Foco Máscara Yamaha R3a (no R3) Original</t>
  </si>
  <si>
    <t>73990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</si>
</sst>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4">
    <font>
      <sz val="10"/>
      <color rgb="FF000000"/>
      <name val="Arial"/>
      <scheme val="minor"/>
    </font>
    <font>
      <sz val="14"/>
      <color rgb="FF666666"/>
      <name val="Arial"/>
    </font>
    <font>
      <sz val="21"/>
      <color rgb="FF333333"/>
      <name val="Arial"/>
    </font>
    <font>
      <sz val="10"/>
      <name val="Arial"/>
    </font>
    <font>
      <sz val="12"/>
      <color rgb="FF434343"/>
      <name val="Arial"/>
    </font>
    <font>
      <sz val="10"/>
      <color theme="1"/>
      <name val="Arial"/>
    </font>
    <font>
      <sz val="14"/>
      <color rgb="FF333333"/>
      <name val="Arial"/>
    </font>
    <font>
      <b/>
      <sz val="14"/>
      <color rgb="FF333333"/>
      <name val="Arial"/>
    </font>
    <font>
      <sz val="10"/>
      <color rgb="FF666666"/>
      <name val="Arial"/>
    </font>
    <font>
      <sz val="14"/>
      <color rgb="FF434343"/>
      <name val="Arial"/>
    </font>
    <font>
      <sz val="10"/>
      <color rgb="FF999999"/>
      <name val="Arial"/>
    </font>
    <font>
      <b/>
      <sz val="11"/>
      <color theme="1"/>
      <name val="Arial"/>
    </font>
    <font>
      <u/>
      <sz val="10"/>
      <color rgb="FF1155CC"/>
      <name val="Arial"/>
    </font>
    <font>
      <sz val="10"/>
      <color rgb="FF000000"/>
      <name val="Arial"/>
    </font>
    <font>
      <b/>
      <sz val="14"/>
      <color rgb="FF000000"/>
      <name val="Arial"/>
    </font>
    <font>
      <sz val="10"/>
      <color rgb="FF000000"/>
      <name val="Arial"/>
    </font>
    <font>
      <sz val="10"/>
      <color rgb="FF999999"/>
      <name val="Arial"/>
    </font>
    <font>
      <sz val="9"/>
      <color rgb="FF000000"/>
      <name val="Proxima Nova"/>
    </font>
    <font>
      <b/>
      <u/>
      <sz val="10"/>
      <color rgb="FF0E3D85"/>
      <name val="Proxima Nova"/>
    </font>
    <font>
      <sz val="10"/>
      <name val="Arial"/>
    </font>
    <font>
      <b/>
      <sz val="10"/>
      <name val="Arial"/>
    </font>
    <font>
      <b/>
      <i/>
      <sz val="10"/>
      <color rgb="FF781A13"/>
      <name val="Arial"/>
    </font>
    <font>
      <b/>
      <sz val="13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color rgb="FF999999"/>
      <name val="Arial"/>
    </font>
    <font>
      <sz val="10"/>
      <name val="Arial"/>
    </font>
    <font>
      <sz val="10"/>
      <color rgb="FF999999"/>
      <name val="Arial"/>
    </font>
    <font>
      <sz val="10"/>
      <name val="Arial"/>
    </font>
  </fonts>
  <fills count="21">
    <fill>
      <patternFill patternType="none"/>
    </fill>
    <fill>
      <patternFill patternType="gray125"/>
    </fill>
    <fill>
      <patternFill patternType="solid">
        <fgColor rgb="FFFFF158"/>
        <bgColor rgb="FFFFF158"/>
      </patternFill>
    </fill>
    <fill>
      <patternFill patternType="solid">
        <fgColor rgb="FFD9D9D9"/>
        <bgColor rgb="FFD9D9D9"/>
      </patternFill>
    </fill>
    <fill>
      <patternFill patternType="solid">
        <fgColor rgb="FFF5F5F5"/>
        <bgColor rgb="FFF5F5F5"/>
      </patternFill>
    </fill>
    <fill>
      <patternFill patternType="solid">
        <fgColor rgb="FFF9F9F9"/>
        <bgColor rgb="FFF9F9F9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  <fill>
      <patternFill patternType="solid">
        <fgColor rgb="FFF9F9F9"/>
      </patternFill>
    </fill>
    <fill>
      <patternFill patternType="solid">
        <fgColor rgb="FFEAEAEA"/>
      </patternFill>
    </fill>
    <fill>
      <patternFill patternType="solid">
        <fgColor rgb="FFF3F3F3"/>
      </patternFill>
    </fill>
    <fill>
      <patternFill patternType="solid">
        <fgColor rgb="FFFFF158"/>
      </patternFill>
    </fill>
    <fill>
      <patternFill patternType="solid">
        <fgColor rgb="FFFFFFFF"/>
      </patternFill>
    </fill>
    <fill>
      <patternFill patternType="solid">
        <fgColor rgb="FFF5D29F"/>
      </patternFill>
    </fill>
    <fill>
      <patternFill patternType="solid">
        <fgColor rgb="FFF6B26B"/>
      </patternFill>
    </fill>
    <fill>
      <patternFill patternType="solid">
        <fgColor rgb="FFFCE5CD"/>
      </patternFill>
    </fill>
    <fill>
      <patternFill patternType="solid">
        <fgColor rgb="FFFFD966"/>
      </patternFill>
    </fill>
    <fill>
      <patternFill patternType="solid">
        <fgColor rgb="FFFFF2CC"/>
      </patternFill>
    </fill>
    <fill>
      <patternFill patternType="solid">
        <fgColor rgb="FF93C47D"/>
      </patternFill>
    </fill>
    <fill>
      <patternFill patternType="solid">
        <fgColor rgb="FFD9EAD3"/>
      </patternFill>
    </fill>
  </fills>
  <borders count="69">
    <border>
      <left/>
      <right/>
      <top/>
      <bottom/>
      <diagonal/>
    </border>
    <border>
      <left style="medium">
        <color rgb="FFFFF158"/>
      </left>
      <right style="medium">
        <color rgb="FFFFF158"/>
      </right>
      <top style="medium">
        <color rgb="FFFFF158"/>
      </top>
      <bottom style="medium">
        <color rgb="FFFFF158"/>
      </bottom>
      <diagonal/>
    </border>
    <border>
      <left style="medium">
        <color rgb="FFFFF158"/>
      </left>
      <right/>
      <top style="medium">
        <color rgb="FFFFF158"/>
      </top>
      <bottom style="medium">
        <color rgb="FFFFF158"/>
      </bottom>
      <diagonal/>
    </border>
    <border>
      <left/>
      <right/>
      <top style="medium">
        <color rgb="FFFFF158"/>
      </top>
      <bottom style="medium">
        <color rgb="FFFFF158"/>
      </bottom>
      <diagonal/>
    </border>
    <border>
      <left/>
      <right style="medium">
        <color rgb="FFFFF158"/>
      </right>
      <top style="medium">
        <color rgb="FFFFF158"/>
      </top>
      <bottom style="medium">
        <color rgb="FFFFF158"/>
      </bottom>
      <diagonal/>
    </border>
    <border>
      <left style="medium">
        <color rgb="FFFFF158"/>
      </left>
      <right/>
      <top style="medium">
        <color rgb="FFFFF158"/>
      </top>
      <bottom/>
      <diagonal/>
    </border>
    <border>
      <left/>
      <right/>
      <top style="medium">
        <color rgb="FFFFF158"/>
      </top>
      <bottom/>
      <diagonal/>
    </border>
    <border>
      <left/>
      <right style="medium">
        <color rgb="FFFFF158"/>
      </right>
      <top style="medium">
        <color rgb="FFFFF158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F5F5F5"/>
      </left>
      <right style="thin">
        <color rgb="FFF5F5F5"/>
      </right>
      <top style="thin">
        <color rgb="FFF5F5F5"/>
      </top>
      <bottom style="thin">
        <color rgb="FFF5F5F5"/>
      </bottom>
      <diagonal/>
    </border>
    <border>
      <left/>
      <right style="thin">
        <color rgb="FFD9D9D9"/>
      </right>
      <top style="thin">
        <color rgb="FFF5F5F5"/>
      </top>
      <bottom/>
      <diagonal/>
    </border>
    <border>
      <left/>
      <right style="medium">
        <color rgb="FFF9F9F9"/>
      </right>
      <top style="thin">
        <color rgb="FFF9F9F9"/>
      </top>
      <bottom/>
      <diagonal/>
    </border>
    <border>
      <left/>
      <right/>
      <top style="thin">
        <color rgb="FFF9F9F9"/>
      </top>
      <bottom style="medium">
        <color rgb="FFF9F9F9"/>
      </bottom>
      <diagonal/>
    </border>
    <border>
      <left/>
      <right style="medium">
        <color rgb="FFF9F9F9"/>
      </right>
      <top style="thin">
        <color rgb="FFF9F9F9"/>
      </top>
      <bottom style="medium">
        <color rgb="FFF9F9F9"/>
      </bottom>
      <diagonal/>
    </border>
    <border>
      <left style="medium">
        <color rgb="FFF5F5F5"/>
      </left>
      <right style="medium">
        <color rgb="FFF5F5F5"/>
      </right>
      <top/>
      <bottom style="medium">
        <color rgb="FFF5F5F5"/>
      </bottom>
      <diagonal/>
    </border>
    <border>
      <left/>
      <right style="thin">
        <color rgb="FFD9D9D9"/>
      </right>
      <top/>
      <bottom/>
      <diagonal/>
    </border>
    <border>
      <left/>
      <right style="medium">
        <color rgb="FFF9F9F9"/>
      </right>
      <top/>
      <bottom/>
      <diagonal/>
    </border>
    <border>
      <left style="medium">
        <color rgb="FFF9F9F9"/>
      </left>
      <right/>
      <top style="medium">
        <color rgb="FFF9F9F9"/>
      </top>
      <bottom style="medium">
        <color rgb="FFF9F9F9"/>
      </bottom>
      <diagonal/>
    </border>
    <border>
      <left/>
      <right/>
      <top style="medium">
        <color rgb="FFF9F9F9"/>
      </top>
      <bottom style="thin">
        <color rgb="FFF9F9F9"/>
      </bottom>
      <diagonal/>
    </border>
    <border>
      <left/>
      <right style="medium">
        <color rgb="FFF9F9F9"/>
      </right>
      <top style="medium">
        <color rgb="FFF9F9F9"/>
      </top>
      <bottom style="thin">
        <color rgb="FFF9F9F9"/>
      </bottom>
      <diagonal/>
    </border>
    <border>
      <left style="medium">
        <color rgb="FFF9F9F9"/>
      </left>
      <right style="medium">
        <color rgb="FFF9F9F9"/>
      </right>
      <top style="medium">
        <color rgb="FFF9F9F9"/>
      </top>
      <bottom style="medium">
        <color rgb="FFF9F9F9"/>
      </bottom>
      <diagonal/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  <diagonal/>
    </border>
    <border>
      <left style="medium">
        <color rgb="FFF9F9F9"/>
      </left>
      <right style="thin">
        <color rgb="FFF9F9F9"/>
      </right>
      <top/>
      <bottom style="thin">
        <color rgb="FFF9F9F9"/>
      </bottom>
      <diagonal/>
    </border>
    <border>
      <left/>
      <right style="thin">
        <color rgb="FFF9F9F9"/>
      </right>
      <top/>
      <bottom style="thin">
        <color rgb="FFF9F9F9"/>
      </bottom>
      <diagonal/>
    </border>
    <border>
      <left/>
      <right style="thin">
        <color rgb="FFF9F9F9"/>
      </right>
      <top/>
      <bottom style="medium">
        <color rgb="FFF9F9F9"/>
      </bottom>
      <diagonal/>
    </border>
    <border>
      <left style="medium">
        <color rgb="FFF9F9F9"/>
      </left>
      <right style="medium">
        <color rgb="FFF9F9F9"/>
      </right>
      <top style="medium">
        <color rgb="FFF9F9F9"/>
      </top>
      <bottom/>
      <diagonal/>
    </border>
    <border>
      <left/>
      <right style="medium">
        <color rgb="FFF9F9F9"/>
      </right>
      <top/>
      <bottom style="thin">
        <color rgb="FFF9F9F9"/>
      </bottom>
      <diagonal/>
    </border>
    <border>
      <left/>
      <right/>
      <top/>
      <bottom style="thin">
        <color rgb="FFF9F9F9"/>
      </bottom>
      <diagonal/>
    </border>
    <border>
      <left style="medium">
        <color rgb="FFF8F8F8"/>
      </left>
      <right style="medium">
        <color rgb="FFF8F8F8"/>
      </right>
      <top style="medium">
        <color rgb="FFF8F8F8"/>
      </top>
      <bottom style="medium">
        <color rgb="FFF8F8F8"/>
      </bottom>
      <diagonal/>
    </border>
    <border>
      <left/>
      <right/>
      <top/>
      <bottom style="medium">
        <color rgb="FFF9F9F9"/>
      </bottom>
      <diagonal/>
    </border>
    <border>
      <left/>
      <right style="medium">
        <color rgb="FFF9F9F9"/>
      </right>
      <top style="medium">
        <color rgb="FFF9F9F9"/>
      </top>
      <bottom style="medium">
        <color rgb="FFF9F9F9"/>
      </bottom>
      <diagonal/>
    </border>
    <border>
      <left style="medium">
        <color rgb="FFF9F9F9"/>
      </left>
      <right/>
      <top/>
      <bottom/>
      <diagonal/>
    </border>
    <border>
      <left/>
      <right style="thin">
        <color rgb="FFF9F9F9"/>
      </right>
      <top/>
      <bottom/>
      <diagonal/>
    </border>
    <border>
      <left style="thin">
        <color rgb="FFF9F9F9"/>
      </left>
      <right style="thin">
        <color rgb="FFF9F9F9"/>
      </right>
      <top style="thin">
        <color rgb="FFF9F9F9"/>
      </top>
      <bottom style="thin">
        <color rgb="FFF9F9F9"/>
      </bottom>
      <diagonal/>
    </border>
    <border>
      <left/>
      <right style="thin">
        <color rgb="FFF9F9F9"/>
      </right>
      <top style="thin">
        <color rgb="FFF9F9F9"/>
      </top>
      <bottom style="thin">
        <color rgb="FFF9F9F9"/>
      </bottom>
      <diagonal/>
    </border>
    <border>
      <left/>
      <right style="medium">
        <color rgb="FFF9F9F9"/>
      </right>
      <top/>
      <bottom style="medium">
        <color rgb="FFF9F9F9"/>
      </bottom>
      <diagonal/>
    </border>
    <border>
      <left style="medium">
        <color rgb="FFF9F9F9"/>
      </left>
      <right/>
      <top/>
      <bottom style="medium">
        <color rgb="FFF9F9F9"/>
      </bottom>
      <diagonal/>
    </border>
    <border>
      <left/>
      <right style="medium">
        <color rgb="FFF8F8F8"/>
      </right>
      <top/>
      <bottom/>
      <diagonal/>
    </border>
    <border>
      <left style="medium">
        <color rgb="FFF9F9F9"/>
      </left>
      <right/>
      <top style="medium">
        <color rgb="FFF9F9F9"/>
      </top>
      <bottom style="medium">
        <color rgb="FFF9F9F9"/>
      </bottom>
      <diagonal/>
    </border>
    <border>
      <left/>
      <right/>
      <top/>
      <bottom style="medium">
        <color rgb="FFF8F8F8"/>
      </bottom>
      <diagonal/>
    </border>
    <border>
      <left/>
      <right style="medium">
        <color rgb="FFF8F8F8"/>
      </right>
      <top/>
      <bottom style="medium">
        <color rgb="FFF8F8F8"/>
      </bottom>
      <diagonal/>
    </border>
    <border>
      <left/>
      <right style="medium">
        <color rgb="FFF9F9F9"/>
      </right>
      <top style="medium">
        <color rgb="FFF9F9F9"/>
      </top>
      <bottom/>
      <diagonal/>
    </border>
    <border>
      <left style="medium">
        <color rgb="FFF9F9F9"/>
      </left>
      <right/>
      <top style="medium">
        <color rgb="FFF9F9F9"/>
      </top>
      <bottom/>
      <diagonal/>
    </border>
    <border>
      <left style="medium">
        <color rgb="FFF9F9F9"/>
      </left>
      <right style="medium">
        <color rgb="FFF9F9F9"/>
      </right>
      <top/>
      <bottom/>
      <diagonal/>
    </border>
    <border>
      <left style="thin">
        <color rgb="FFF9F9F9"/>
      </left>
      <right/>
      <top style="thin">
        <color rgb="FFF9F9F9"/>
      </top>
      <bottom/>
      <diagonal/>
    </border>
    <border>
      <left/>
      <right/>
      <top style="thin">
        <color rgb="FFF9F9F9"/>
      </top>
      <bottom/>
      <diagonal/>
    </border>
    <border>
      <left/>
      <right style="thin">
        <color rgb="FFF9F9F9"/>
      </right>
      <top style="thin">
        <color rgb="FFF9F9F9"/>
      </top>
      <bottom/>
      <diagonal/>
    </border>
    <border>
      <left style="thin">
        <color rgb="FFF9F9F9"/>
      </left>
      <right/>
      <top/>
      <bottom style="thin">
        <color rgb="FFF9F9F9"/>
      </bottom>
      <diagonal/>
    </border>
    <border>
      <left style="medium">
        <color rgb="FFF9F9F9"/>
      </left>
      <right/>
      <top style="medium">
        <color rgb="FFF9F9F9"/>
      </top>
      <bottom style="thin">
        <color rgb="FFF9F9F9"/>
      </bottom>
      <diagonal/>
    </border>
    <border>
      <left style="medium">
        <color rgb="FFF9F9F9"/>
      </left>
      <right style="medium">
        <color rgb="FFF9F9F9"/>
      </right>
      <top/>
      <bottom style="medium">
        <color rgb="FFF9F9F9"/>
      </bottom>
      <diagonal/>
    </border>
    <border>
      <left style="medium">
        <color rgb="FFF9F9F9"/>
      </left>
      <right/>
      <top style="thin">
        <color rgb="FFD9D9D9"/>
      </top>
      <bottom style="medium">
        <color rgb="FFF9F9F9"/>
      </bottom>
      <diagonal/>
    </border>
    <border>
      <left/>
      <right/>
      <top style="thin">
        <color rgb="FFD9D9D9"/>
      </top>
      <bottom style="medium">
        <color rgb="FFF9F9F9"/>
      </bottom>
      <diagonal/>
    </border>
    <border>
      <left/>
      <right style="medium">
        <color rgb="FFF9F9F9"/>
      </right>
      <top style="thin">
        <color rgb="FFD9D9D9"/>
      </top>
      <bottom style="medium">
        <color rgb="FFF9F9F9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F9F9F9"/>
      </left>
      <right/>
      <top/>
      <bottom/>
      <diagonal/>
    </border>
    <border>
      <left style="hair">
        <color rgb="FFD6D6D6"/>
      </left>
      <right/>
      <top style="hair">
        <color rgb="FFD6D6D6"/>
      </top>
      <bottom style="hair">
        <color rgb="FFD6D6D6"/>
      </bottom>
      <diagonal/>
    </border>
    <border>
      <left/>
      <right/>
      <top style="hair">
        <color rgb="FFD6D6D6"/>
      </top>
      <bottom style="hair">
        <color rgb="FFD6D6D6"/>
      </bottom>
      <diagonal/>
    </border>
    <border>
      <left/>
      <right style="hair">
        <color rgb="FFD6D6D6"/>
      </right>
      <top style="hair">
        <color rgb="FFD6D6D6"/>
      </top>
      <bottom style="hair">
        <color rgb="FFD6D6D6"/>
      </bottom>
      <diagonal/>
    </border>
    <border>
      <left style="thin">
        <color rgb="FFF9F9F9"/>
      </left>
      <right style="thin">
        <color rgb="FFF9F9F9"/>
      </right>
      <top/>
      <bottom style="thin">
        <color rgb="FFF9F9F9"/>
      </bottom>
      <diagonal/>
    </border>
    <border>
      <left/>
      <right/>
      <top style="medium">
        <color rgb="FFF9F9F9"/>
      </top>
      <bottom style="medium">
        <color rgb="FFF9F9F9"/>
      </bottom>
      <diagonal/>
    </border>
    <border>
      <left/>
      <right/>
      <top style="medium">
        <color rgb="FFF9F9F9"/>
      </top>
      <bottom/>
      <diagonal/>
    </border>
    <border>
      <left/>
      <right style="thin">
        <color rgb="FFD9D9D9"/>
      </right>
      <top/>
      <bottom style="medium">
        <color rgb="FFF5F5F5"/>
      </bottom>
      <diagonal/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8">
    <xf numFmtId="49" fontId="0" fillId="0" borderId="0" xfId="0" applyNumberFormat="1" applyFont="1" applyAlignment="1"/>
    <xf numFmtId="0" fontId="1" fillId="2" borderId="1" xfId="0" applyFont="1" applyFill="1" applyBorder="1" applyAlignment="1">
      <alignment horizontal="center" vertical="center"/>
    </xf>
    <xf numFmtId="0" fontId="5" fillId="4" borderId="11" xfId="0" applyFont="1" applyFill="1" applyBorder="1"/>
    <xf numFmtId="0" fontId="5" fillId="4" borderId="16" xfId="0" applyFont="1" applyFill="1" applyBorder="1"/>
    <xf numFmtId="0" fontId="6" fillId="4" borderId="16" xfId="0" applyFont="1" applyFill="1" applyBorder="1"/>
    <xf numFmtId="0" fontId="7" fillId="5" borderId="19" xfId="0" applyFont="1" applyFill="1" applyBorder="1" applyAlignment="1"/>
    <xf numFmtId="0" fontId="5" fillId="5" borderId="20" xfId="0" applyFont="1" applyFill="1" applyBorder="1" applyAlignment="1"/>
    <xf numFmtId="0" fontId="5" fillId="5" borderId="21" xfId="0" applyFont="1" applyFill="1" applyBorder="1" applyAlignment="1"/>
    <xf numFmtId="0" fontId="5" fillId="5" borderId="22" xfId="0" applyFont="1" applyFill="1" applyBorder="1"/>
    <xf numFmtId="0" fontId="5" fillId="4" borderId="23" xfId="0" applyFont="1" applyFill="1" applyBorder="1"/>
    <xf numFmtId="49" fontId="5" fillId="4" borderId="23" xfId="0" applyNumberFormat="1" applyFont="1" applyFill="1" applyBorder="1" applyAlignment="1">
      <alignment horizontal="right"/>
    </xf>
    <xf numFmtId="0" fontId="5" fillId="5" borderId="24" xfId="0" applyFont="1" applyFill="1" applyBorder="1" applyAlignment="1"/>
    <xf numFmtId="0" fontId="5" fillId="5" borderId="25" xfId="0" applyFont="1" applyFill="1" applyBorder="1" applyAlignment="1"/>
    <xf numFmtId="0" fontId="5" fillId="5" borderId="26" xfId="0" applyFont="1" applyFill="1" applyBorder="1" applyAlignment="1"/>
    <xf numFmtId="0" fontId="5" fillId="5" borderId="27" xfId="0" applyFont="1" applyFill="1" applyBorder="1"/>
    <xf numFmtId="49" fontId="8" fillId="4" borderId="23" xfId="0" applyNumberFormat="1" applyFont="1" applyFill="1" applyBorder="1" applyAlignment="1">
      <alignment horizontal="right" vertical="center"/>
    </xf>
    <xf numFmtId="0" fontId="5" fillId="4" borderId="23" xfId="0" applyFont="1" applyFill="1" applyBorder="1" applyAlignment="1">
      <alignment vertical="center"/>
    </xf>
    <xf numFmtId="0" fontId="5" fillId="5" borderId="28" xfId="0" applyFont="1" applyFill="1" applyBorder="1" applyAlignment="1"/>
    <xf numFmtId="0" fontId="8" fillId="6" borderId="30" xfId="0" applyFont="1" applyFill="1" applyBorder="1" applyAlignment="1">
      <alignment vertical="center" wrapText="1"/>
    </xf>
    <xf numFmtId="0" fontId="5" fillId="5" borderId="25" xfId="0" applyFont="1" applyFill="1" applyBorder="1" applyAlignment="1">
      <alignment vertical="top"/>
    </xf>
    <xf numFmtId="0" fontId="5" fillId="6" borderId="30" xfId="0" applyFont="1" applyFill="1" applyBorder="1"/>
    <xf numFmtId="0" fontId="5" fillId="5" borderId="32" xfId="0" applyFont="1" applyFill="1" applyBorder="1"/>
    <xf numFmtId="49" fontId="5" fillId="4" borderId="23" xfId="0" applyNumberFormat="1" applyFont="1" applyFill="1" applyBorder="1" applyAlignment="1">
      <alignment horizontal="right" vertical="center"/>
    </xf>
    <xf numFmtId="0" fontId="5" fillId="5" borderId="35" xfId="0" applyFont="1" applyFill="1" applyBorder="1"/>
    <xf numFmtId="0" fontId="5" fillId="5" borderId="36" xfId="0" applyFont="1" applyFill="1" applyBorder="1"/>
    <xf numFmtId="0" fontId="5" fillId="5" borderId="37" xfId="0" applyFont="1" applyFill="1" applyBorder="1"/>
    <xf numFmtId="0" fontId="5" fillId="5" borderId="38" xfId="0" applyFont="1" applyFill="1" applyBorder="1"/>
    <xf numFmtId="0" fontId="5" fillId="5" borderId="40" xfId="0" applyFont="1" applyFill="1" applyBorder="1"/>
    <xf numFmtId="0" fontId="5" fillId="5" borderId="43" xfId="0" applyFont="1" applyFill="1" applyBorder="1"/>
    <xf numFmtId="0" fontId="5" fillId="5" borderId="44" xfId="0" applyFont="1" applyFill="1" applyBorder="1"/>
    <xf numFmtId="0" fontId="5" fillId="5" borderId="45" xfId="0" applyFont="1" applyFill="1" applyBorder="1"/>
    <xf numFmtId="0" fontId="8" fillId="6" borderId="35" xfId="0" applyFont="1" applyFill="1" applyBorder="1" applyAlignment="1">
      <alignment vertical="center" wrapText="1"/>
    </xf>
    <xf numFmtId="49" fontId="5" fillId="4" borderId="23" xfId="0" applyNumberFormat="1" applyFont="1" applyFill="1" applyBorder="1" applyAlignment="1">
      <alignment vertical="center"/>
    </xf>
    <xf numFmtId="0" fontId="5" fillId="5" borderId="21" xfId="0" applyFont="1" applyFill="1" applyBorder="1"/>
    <xf numFmtId="0" fontId="5" fillId="5" borderId="50" xfId="0" applyFont="1" applyFill="1" applyBorder="1"/>
    <xf numFmtId="0" fontId="5" fillId="5" borderId="51" xfId="0" applyFont="1" applyFill="1" applyBorder="1"/>
    <xf numFmtId="0" fontId="7" fillId="5" borderId="22" xfId="0" applyFont="1" applyFill="1" applyBorder="1"/>
    <xf numFmtId="0" fontId="9" fillId="5" borderId="22" xfId="0" applyFont="1" applyFill="1" applyBorder="1"/>
    <xf numFmtId="0" fontId="9" fillId="5" borderId="27" xfId="0" applyFont="1" applyFill="1" applyBorder="1"/>
    <xf numFmtId="0" fontId="8" fillId="5" borderId="22" xfId="0" applyFont="1" applyFill="1" applyBorder="1" applyAlignment="1">
      <alignment vertical="center"/>
    </xf>
    <xf numFmtId="0" fontId="8" fillId="5" borderId="27" xfId="0" applyFont="1" applyFill="1" applyBorder="1" applyAlignment="1">
      <alignment vertical="center"/>
    </xf>
    <xf numFmtId="0" fontId="5" fillId="5" borderId="62" xfId="0" applyFont="1" applyFill="1" applyBorder="1"/>
    <xf numFmtId="0" fontId="14" fillId="9" borderId="0" xfId="0" applyFont="1" applyFill="1" applyProtection="1">
      <protection locked="0"/>
    </xf>
    <xf numFmtId="0" fontId="17" fillId="11" borderId="67" xfId="0" applyFont="1" applyFill="1" applyBorder="1" applyAlignment="1" applyProtection="1">
      <alignment horizontal="center" vertical="center" wrapText="1"/>
      <protection locked="0"/>
    </xf>
    <xf numFmtId="0" fontId="19" fillId="0" borderId="0" xfId="0" applyFont="1" applyBorder="1" applyProtection="1">
      <protection locked="0"/>
    </xf>
    <xf numFmtId="0" fontId="20" fillId="12" borderId="0" xfId="0" applyFont="1" applyFill="1" applyAlignment="1" applyProtection="1">
      <alignment horizontal="center" vertical="center" wrapText="1"/>
      <protection locked="0"/>
    </xf>
    <xf numFmtId="0" fontId="21" fillId="11" borderId="68" xfId="0" applyFont="1" applyFill="1" applyBorder="1" applyAlignment="1">
      <alignment horizontal="center" vertical="center"/>
    </xf>
    <xf numFmtId="0" fontId="23" fillId="14" borderId="0" xfId="0" applyFont="1" applyFill="1" applyAlignment="1" applyProtection="1">
      <alignment horizontal="center" vertical="center" wrapText="1"/>
      <protection locked="0"/>
    </xf>
    <xf numFmtId="0" fontId="24" fillId="15" borderId="0" xfId="0" applyFont="1" applyFill="1" applyAlignment="1" applyProtection="1">
      <alignment horizontal="center" vertical="center" wrapText="1"/>
      <protection locked="0"/>
    </xf>
    <xf numFmtId="0" fontId="26" fillId="17" borderId="0" xfId="0" applyFont="1" applyFill="1" applyAlignment="1" applyProtection="1">
      <alignment horizontal="center" vertical="center" wrapText="1"/>
      <protection locked="0"/>
    </xf>
    <xf numFmtId="0" fontId="27" fillId="18" borderId="0" xfId="0" applyFont="1" applyFill="1" applyAlignment="1" applyProtection="1">
      <alignment horizontal="center" vertical="center" wrapText="1"/>
      <protection locked="0"/>
    </xf>
    <xf numFmtId="0" fontId="28" fillId="19" borderId="0" xfId="0" applyFont="1" applyFill="1" applyAlignment="1" applyProtection="1">
      <alignment horizontal="center" vertical="center" wrapText="1"/>
      <protection locked="0"/>
    </xf>
    <xf numFmtId="0" fontId="30" fillId="10" borderId="68" xfId="0" applyFont="1" applyFill="1" applyBorder="1" applyAlignment="1">
      <alignment horizontal="center" vertical="center"/>
    </xf>
    <xf numFmtId="0" fontId="31" fillId="0" borderId="68" xfId="0" applyFont="1" applyBorder="1" applyAlignment="1" applyProtection="1">
      <alignment horizontal="center" vertical="center"/>
      <protection locked="0"/>
    </xf>
    <xf numFmtId="0" fontId="32" fillId="10" borderId="68" xfId="0" applyFont="1" applyFill="1" applyBorder="1" applyAlignment="1">
      <alignment horizontal="justify" vertical="center" wrapText="1"/>
    </xf>
    <xf numFmtId="0" fontId="33" fillId="0" borderId="68" xfId="0" applyFont="1" applyBorder="1" applyAlignment="1" applyProtection="1">
      <alignment horizontal="left" vertical="center"/>
      <protection locked="0"/>
    </xf>
    <xf numFmtId="0" fontId="11" fillId="5" borderId="40" xfId="0" applyFont="1" applyFill="1" applyBorder="1" applyAlignment="1">
      <alignment horizontal="left" vertical="center"/>
    </xf>
    <xf numFmtId="0" fontId="3" fillId="0" borderId="63" xfId="0" applyFont="1" applyBorder="1"/>
    <xf numFmtId="0" fontId="3" fillId="0" borderId="32" xfId="0" applyFont="1" applyBorder="1"/>
    <xf numFmtId="0" fontId="15" fillId="9" borderId="0" xfId="0" applyFont="1" applyFill="1" applyAlignment="1" applyProtection="1">
      <alignment vertical="center" wrapText="1"/>
      <protection locked="0"/>
    </xf>
    <xf numFmtId="0" fontId="3" fillId="0" borderId="64" xfId="0" applyFont="1" applyBorder="1"/>
    <xf numFmtId="0" fontId="3" fillId="0" borderId="43" xfId="0" applyFont="1" applyBorder="1"/>
    <xf numFmtId="0" fontId="3" fillId="0" borderId="38" xfId="0" applyFont="1" applyBorder="1"/>
    <xf numFmtId="0" fontId="3" fillId="0" borderId="31" xfId="0" applyFont="1" applyBorder="1"/>
    <xf numFmtId="0" fontId="3" fillId="0" borderId="37" xfId="0" applyFont="1" applyBorder="1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/>
    <xf numFmtId="0" fontId="3" fillId="0" borderId="4" xfId="0" applyFont="1" applyBorder="1"/>
    <xf numFmtId="0" fontId="4" fillId="2" borderId="0" xfId="0" applyFont="1" applyFill="1" applyAlignment="1">
      <alignment horizontal="left"/>
    </xf>
    <xf numFmtId="49" fontId="0" fillId="0" borderId="0" xfId="0" applyNumberFormat="1" applyFont="1" applyAlignment="1"/>
    <xf numFmtId="0" fontId="1" fillId="2" borderId="5" xfId="0" applyFont="1" applyFill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1" fillId="3" borderId="8" xfId="0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10" xfId="0" applyFont="1" applyBorder="1"/>
    <xf numFmtId="0" fontId="5" fillId="4" borderId="12" xfId="0" applyFont="1" applyFill="1" applyBorder="1"/>
    <xf numFmtId="0" fontId="3" fillId="0" borderId="17" xfId="0" applyFont="1" applyBorder="1"/>
    <xf numFmtId="0" fontId="3" fillId="0" borderId="65" xfId="0" applyFont="1" applyBorder="1"/>
    <xf numFmtId="0" fontId="5" fillId="5" borderId="13" xfId="0" applyFont="1" applyFill="1" applyBorder="1"/>
    <xf numFmtId="0" fontId="3" fillId="0" borderId="18" xfId="0" applyFont="1" applyBorder="1"/>
    <xf numFmtId="0" fontId="5" fillId="5" borderId="14" xfId="0" applyFont="1" applyFill="1" applyBorder="1"/>
    <xf numFmtId="0" fontId="3" fillId="0" borderId="14" xfId="0" applyFont="1" applyBorder="1"/>
    <xf numFmtId="0" fontId="3" fillId="0" borderId="15" xfId="0" applyFont="1" applyBorder="1"/>
    <xf numFmtId="0" fontId="8" fillId="5" borderId="29" xfId="0" applyFont="1" applyFill="1" applyBorder="1"/>
    <xf numFmtId="0" fontId="3" fillId="0" borderId="29" xfId="0" applyFont="1" applyBorder="1"/>
    <xf numFmtId="0" fontId="3" fillId="0" borderId="28" xfId="0" applyFont="1" applyBorder="1"/>
    <xf numFmtId="0" fontId="12" fillId="9" borderId="0" xfId="0" applyFont="1" applyFill="1" applyProtection="1">
      <protection locked="0"/>
    </xf>
    <xf numFmtId="0" fontId="3" fillId="0" borderId="26" xfId="0" applyFont="1" applyBorder="1"/>
    <xf numFmtId="0" fontId="13" fillId="9" borderId="0" xfId="0" applyFont="1" applyFill="1" applyAlignment="1" applyProtection="1">
      <alignment horizontal="left" vertical="center"/>
      <protection locked="0"/>
    </xf>
    <xf numFmtId="0" fontId="5" fillId="5" borderId="0" xfId="0" applyFont="1" applyFill="1"/>
    <xf numFmtId="0" fontId="7" fillId="5" borderId="33" xfId="0" applyFont="1" applyFill="1" applyBorder="1" applyAlignment="1"/>
    <xf numFmtId="0" fontId="3" fillId="0" borderId="34" xfId="0" applyFont="1" applyBorder="1"/>
    <xf numFmtId="0" fontId="8" fillId="6" borderId="0" xfId="0" applyFont="1" applyFill="1" applyAlignment="1">
      <alignment vertical="center" wrapText="1"/>
    </xf>
    <xf numFmtId="0" fontId="3" fillId="0" borderId="39" xfId="0" applyFont="1" applyBorder="1"/>
    <xf numFmtId="0" fontId="3" fillId="0" borderId="41" xfId="0" applyFont="1" applyBorder="1"/>
    <xf numFmtId="0" fontId="3" fillId="0" borderId="42" xfId="0" applyFont="1" applyBorder="1"/>
    <xf numFmtId="0" fontId="8" fillId="6" borderId="46" xfId="0" applyFont="1" applyFill="1" applyBorder="1" applyAlignment="1">
      <alignment vertical="center" wrapText="1"/>
    </xf>
    <xf numFmtId="0" fontId="3" fillId="0" borderId="47" xfId="0" applyFont="1" applyBorder="1"/>
    <xf numFmtId="0" fontId="3" fillId="0" borderId="48" xfId="0" applyFont="1" applyBorder="1"/>
    <xf numFmtId="0" fontId="3" fillId="0" borderId="49" xfId="0" applyFont="1" applyBorder="1"/>
    <xf numFmtId="0" fontId="3" fillId="0" borderId="25" xfId="0" applyFont="1" applyBorder="1"/>
    <xf numFmtId="0" fontId="8" fillId="5" borderId="46" xfId="0" applyFont="1" applyFill="1" applyBorder="1" applyAlignment="1">
      <alignment vertical="center" wrapText="1"/>
    </xf>
    <xf numFmtId="0" fontId="5" fillId="5" borderId="52" xfId="0" applyFont="1" applyFill="1" applyBorder="1"/>
    <xf numFmtId="0" fontId="3" fillId="0" borderId="53" xfId="0" applyFont="1" applyBorder="1"/>
    <xf numFmtId="0" fontId="3" fillId="0" borderId="54" xfId="0" applyFont="1" applyBorder="1"/>
    <xf numFmtId="0" fontId="5" fillId="7" borderId="55" xfId="0" applyFont="1" applyFill="1" applyBorder="1"/>
    <xf numFmtId="0" fontId="3" fillId="0" borderId="56" xfId="0" applyFont="1" applyBorder="1"/>
    <xf numFmtId="0" fontId="3" fillId="0" borderId="57" xfId="0" applyFont="1" applyBorder="1"/>
    <xf numFmtId="0" fontId="5" fillId="5" borderId="58" xfId="0" applyFont="1" applyFill="1" applyBorder="1"/>
    <xf numFmtId="0" fontId="16" fillId="10" borderId="66" xfId="0" applyFont="1" applyFill="1" applyBorder="1" applyAlignment="1">
      <alignment horizontal="center" vertical="center"/>
    </xf>
    <xf numFmtId="0" fontId="3" fillId="0" borderId="60" xfId="0" applyFont="1" applyBorder="1"/>
    <xf numFmtId="0" fontId="3" fillId="0" borderId="61" xfId="0" applyFont="1" applyBorder="1"/>
    <xf numFmtId="0" fontId="10" fillId="8" borderId="59" xfId="0" applyFont="1" applyFill="1" applyBorder="1" applyAlignment="1">
      <alignment horizontal="center" vertical="center"/>
    </xf>
    <xf numFmtId="0" fontId="22" fillId="13" borderId="0" xfId="0" applyFont="1" applyFill="1" applyAlignment="1" applyProtection="1">
      <alignment horizontal="center" vertical="center" wrapText="1"/>
      <protection locked="0"/>
    </xf>
    <xf numFmtId="0" fontId="23" fillId="14" borderId="0" xfId="0" applyFont="1" applyFill="1" applyAlignment="1" applyProtection="1">
      <alignment horizontal="center" vertical="center" wrapText="1"/>
      <protection locked="0"/>
    </xf>
    <xf numFmtId="0" fontId="25" fillId="16" borderId="0" xfId="0" applyFont="1" applyFill="1" applyAlignment="1" applyProtection="1">
      <alignment horizontal="center" vertical="center" wrapText="1"/>
      <protection locked="0"/>
    </xf>
    <xf numFmtId="0" fontId="29" fillId="20" borderId="0" xfId="0" applyFont="1" applyFill="1" applyAlignment="1" applyProtection="1">
      <alignment horizontal="center" vertical="center" wrapText="1"/>
      <protection locked="0"/>
    </xf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85725</xdr:colOff>
      <xdr:row>17</xdr:row>
      <xdr:rowOff>85725</xdr:rowOff>
    </xdr:from>
    <xdr:ext cx="1143000" cy="333375"/>
    <xdr:pic>
      <xdr:nvPicPr>
        <xdr:cNvPr id="2" name="image2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20</xdr:row>
      <xdr:rowOff>76200</xdr:rowOff>
    </xdr:from>
    <xdr:ext cx="1152525" cy="342900"/>
    <xdr:pic>
      <xdr:nvPicPr>
        <xdr:cNvPr id="3" name="image3.png" title="Imagen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209550</xdr:colOff>
      <xdr:row>8</xdr:row>
      <xdr:rowOff>104775</xdr:rowOff>
    </xdr:from>
    <xdr:ext cx="495300" cy="495300"/>
    <xdr:pic>
      <xdr:nvPicPr>
        <xdr:cNvPr id="4" name="image4.png" title="Imagen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85725</xdr:colOff>
      <xdr:row>14</xdr:row>
      <xdr:rowOff>104775</xdr:rowOff>
    </xdr:from>
    <xdr:ext cx="1152525" cy="333375"/>
    <xdr:pic>
      <xdr:nvPicPr>
        <xdr:cNvPr id="5" name="image5.png" title="Imagen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457200</xdr:colOff>
      <xdr:row>35</xdr:row>
      <xdr:rowOff>66675</xdr:rowOff>
    </xdr:from>
    <xdr:ext cx="1019175" cy="390525"/>
    <xdr:pic>
      <xdr:nvPicPr>
        <xdr:cNvPr id="6" name="image6.png" title="Imagen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390525" cy="276225"/>
    <xdr:pic>
      <xdr:nvPicPr>
        <xdr:cNvPr id="7" name="image1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ercadolibre.cl/publicaciones/edicion-en-excel/uploa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rcadolibre.cl/ayuda/319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155CC"/>
    <outlinePr summaryBelow="0" summaryRight="0"/>
  </sheetPr>
  <dimension ref="A1:O1000"/>
  <sheetViews>
    <sheetView tabSelected="1" topLeftCell="A4" workbookViewId="0">
      <selection activeCell="D9" sqref="D9"/>
    </sheetView>
  </sheetViews>
  <sheetFormatPr baseColWidth="10" defaultColWidth="12.6640625" defaultRowHeight="15" customHeight="1"/>
  <cols>
    <col min="1" max="1" width="12.109375" customWidth="1"/>
    <col min="2" max="2" width="6.21875" customWidth="1"/>
    <col min="3" max="3" width="1.21875" customWidth="1"/>
    <col min="4" max="4" width="32" customWidth="1"/>
    <col min="5" max="7" width="6.109375" customWidth="1"/>
    <col min="8" max="10" width="7.6640625" customWidth="1"/>
    <col min="11" max="11" width="1.88671875" customWidth="1"/>
    <col min="12" max="14" width="14.33203125" customWidth="1"/>
    <col min="15" max="15" width="12.109375" customWidth="1"/>
    <col min="16" max="26" width="14.33203125" customWidth="1"/>
  </cols>
  <sheetData>
    <row r="1" spans="1:15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1.75" customHeight="1">
      <c r="A2" s="1"/>
      <c r="B2" s="65" t="s">
        <v>0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7"/>
      <c r="O2" s="1"/>
    </row>
    <row r="3" spans="1:15" ht="18.75" customHeight="1">
      <c r="A3" s="1"/>
      <c r="B3" s="68" t="s">
        <v>1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1"/>
    </row>
    <row r="4" spans="1:15" ht="30" customHeight="1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2"/>
    </row>
    <row r="5" spans="1:15" ht="3" customHeight="1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5"/>
    </row>
    <row r="6" spans="1:15" ht="24" customHeight="1">
      <c r="A6" s="2"/>
      <c r="B6" s="2"/>
      <c r="C6" s="2"/>
      <c r="D6" s="2"/>
      <c r="E6" s="76"/>
      <c r="F6" s="79"/>
      <c r="G6" s="81"/>
      <c r="H6" s="82"/>
      <c r="I6" s="82"/>
      <c r="J6" s="82"/>
      <c r="K6" s="82"/>
      <c r="L6" s="82"/>
      <c r="M6" s="82"/>
      <c r="N6" s="82"/>
      <c r="O6" s="83"/>
    </row>
    <row r="7" spans="1:15" ht="18.75" customHeight="1">
      <c r="A7" s="3"/>
      <c r="B7" s="4" t="s">
        <v>2</v>
      </c>
      <c r="C7" s="3"/>
      <c r="D7" s="3"/>
      <c r="E7" s="77"/>
      <c r="F7" s="80"/>
      <c r="G7" s="5" t="s">
        <v>3</v>
      </c>
      <c r="H7" s="6"/>
      <c r="I7" s="7"/>
      <c r="J7" s="7"/>
      <c r="K7" s="7"/>
      <c r="L7" s="7"/>
      <c r="M7" s="7"/>
      <c r="N7" s="7"/>
      <c r="O7" s="8"/>
    </row>
    <row r="8" spans="1:15" ht="18.75" customHeight="1" thickBot="1">
      <c r="A8" s="9"/>
      <c r="B8" s="10"/>
      <c r="C8" s="9"/>
      <c r="D8" s="9"/>
      <c r="E8" s="77"/>
      <c r="F8" s="80"/>
      <c r="G8" s="11"/>
      <c r="H8" s="12"/>
      <c r="I8" s="13"/>
      <c r="J8" s="13"/>
      <c r="K8" s="13"/>
      <c r="L8" s="13"/>
      <c r="M8" s="13"/>
      <c r="N8" s="13"/>
      <c r="O8" s="14"/>
    </row>
    <row r="9" spans="1:15" ht="18.75" customHeight="1" thickBot="1">
      <c r="A9" s="9"/>
      <c r="B9" s="15"/>
      <c r="C9" s="16"/>
      <c r="D9" s="16"/>
      <c r="E9" s="77"/>
      <c r="F9" s="80"/>
      <c r="G9" s="11"/>
      <c r="H9" s="17"/>
      <c r="I9" s="84" t="s">
        <v>4</v>
      </c>
      <c r="J9" s="85"/>
      <c r="K9" s="85"/>
      <c r="L9" s="85"/>
      <c r="M9" s="85"/>
      <c r="N9" s="86"/>
      <c r="O9" s="18"/>
    </row>
    <row r="10" spans="1:15" ht="18.75" customHeight="1" thickBot="1">
      <c r="A10" s="9"/>
      <c r="B10" s="15"/>
      <c r="C10" s="16"/>
      <c r="D10" s="16"/>
      <c r="E10" s="77"/>
      <c r="F10" s="80"/>
      <c r="G10" s="11"/>
      <c r="H10" s="19"/>
      <c r="I10" s="87" t="s">
        <v>13</v>
      </c>
      <c r="J10" s="63"/>
      <c r="K10" s="63"/>
      <c r="L10" s="63"/>
      <c r="M10" s="63"/>
      <c r="N10" s="88"/>
      <c r="O10" s="18"/>
    </row>
    <row r="11" spans="1:15" ht="18.75" customHeight="1">
      <c r="A11" s="9"/>
      <c r="B11" s="15"/>
      <c r="C11" s="16"/>
      <c r="D11" s="16"/>
      <c r="E11" s="77"/>
      <c r="F11" s="80"/>
      <c r="G11" s="11"/>
      <c r="H11" s="17"/>
      <c r="I11" s="89" t="s">
        <v>14</v>
      </c>
      <c r="J11" s="85"/>
      <c r="K11" s="85"/>
      <c r="L11" s="85"/>
      <c r="M11" s="85"/>
      <c r="N11" s="86"/>
      <c r="O11" s="20"/>
    </row>
    <row r="12" spans="1:15" ht="19.5" customHeight="1">
      <c r="A12" s="9"/>
      <c r="B12" s="15"/>
      <c r="C12" s="16"/>
      <c r="D12" s="16"/>
      <c r="E12" s="77"/>
      <c r="F12" s="80"/>
      <c r="G12" s="90"/>
      <c r="H12" s="69"/>
      <c r="I12" s="69"/>
      <c r="J12" s="69"/>
      <c r="K12" s="69"/>
      <c r="L12" s="69"/>
      <c r="M12" s="69"/>
      <c r="N12" s="80"/>
      <c r="O12" s="21"/>
    </row>
    <row r="13" spans="1:15" ht="39" customHeight="1">
      <c r="A13" s="9"/>
      <c r="B13" s="15"/>
      <c r="C13" s="16"/>
      <c r="D13" s="16"/>
      <c r="E13" s="77"/>
      <c r="F13" s="80"/>
      <c r="G13" s="91" t="s">
        <v>5</v>
      </c>
      <c r="H13" s="69"/>
      <c r="I13" s="69"/>
      <c r="J13" s="69"/>
      <c r="K13" s="69"/>
      <c r="L13" s="69"/>
      <c r="M13" s="69"/>
      <c r="N13" s="92"/>
      <c r="O13" s="14"/>
    </row>
    <row r="14" spans="1:15" ht="18.75" customHeight="1">
      <c r="A14" s="9"/>
      <c r="B14" s="22"/>
      <c r="C14" s="16"/>
      <c r="D14" s="16"/>
      <c r="E14" s="77"/>
      <c r="F14" s="80"/>
      <c r="G14" s="23"/>
      <c r="H14" s="23"/>
      <c r="I14" s="23"/>
      <c r="J14" s="23"/>
      <c r="K14" s="23"/>
      <c r="L14" s="23"/>
      <c r="M14" s="23"/>
      <c r="N14" s="23"/>
      <c r="O14" s="24"/>
    </row>
    <row r="15" spans="1:15" ht="18.75" customHeight="1">
      <c r="A15" s="9"/>
      <c r="B15" s="22"/>
      <c r="C15" s="16"/>
      <c r="D15" s="16"/>
      <c r="E15" s="77"/>
      <c r="F15" s="80"/>
      <c r="G15" s="25"/>
      <c r="H15" s="26"/>
      <c r="I15" s="23"/>
      <c r="J15" s="23"/>
      <c r="K15" s="23"/>
      <c r="L15" s="93" t="s">
        <v>6</v>
      </c>
      <c r="M15" s="69"/>
      <c r="N15" s="94"/>
      <c r="O15" s="23"/>
    </row>
    <row r="16" spans="1:15" ht="18.75" customHeight="1">
      <c r="A16" s="9"/>
      <c r="B16" s="22"/>
      <c r="C16" s="16"/>
      <c r="D16" s="16"/>
      <c r="E16" s="77"/>
      <c r="F16" s="80"/>
      <c r="G16" s="21"/>
      <c r="H16" s="27"/>
      <c r="I16" s="23"/>
      <c r="J16" s="23"/>
      <c r="K16" s="23"/>
      <c r="L16" s="95"/>
      <c r="M16" s="95"/>
      <c r="N16" s="96"/>
      <c r="O16" s="24"/>
    </row>
    <row r="17" spans="1:15" ht="18.75" customHeight="1">
      <c r="A17" s="9"/>
      <c r="B17" s="22"/>
      <c r="C17" s="16"/>
      <c r="D17" s="16"/>
      <c r="E17" s="77"/>
      <c r="F17" s="80"/>
      <c r="G17" s="28"/>
      <c r="H17" s="29"/>
      <c r="I17" s="23"/>
      <c r="J17" s="23"/>
      <c r="K17" s="23"/>
      <c r="L17" s="30"/>
      <c r="M17" s="30"/>
      <c r="N17" s="30"/>
      <c r="O17" s="23"/>
    </row>
    <row r="18" spans="1:15" ht="18.75" customHeight="1">
      <c r="A18" s="9"/>
      <c r="B18" s="22"/>
      <c r="C18" s="16"/>
      <c r="D18" s="16"/>
      <c r="E18" s="77"/>
      <c r="F18" s="80"/>
      <c r="G18" s="28"/>
      <c r="H18" s="29"/>
      <c r="I18" s="23"/>
      <c r="J18" s="23"/>
      <c r="K18" s="23"/>
      <c r="L18" s="97" t="s">
        <v>7</v>
      </c>
      <c r="M18" s="98"/>
      <c r="N18" s="99"/>
      <c r="O18" s="23"/>
    </row>
    <row r="19" spans="1:15" ht="18.75" customHeight="1">
      <c r="A19" s="9"/>
      <c r="B19" s="22"/>
      <c r="C19" s="16"/>
      <c r="D19" s="16"/>
      <c r="E19" s="77"/>
      <c r="F19" s="80"/>
      <c r="G19" s="28"/>
      <c r="H19" s="29"/>
      <c r="I19" s="23"/>
      <c r="J19" s="23"/>
      <c r="K19" s="23"/>
      <c r="L19" s="100"/>
      <c r="M19" s="85"/>
      <c r="N19" s="101"/>
      <c r="O19" s="23"/>
    </row>
    <row r="20" spans="1:15" ht="18.75" customHeight="1">
      <c r="A20" s="9"/>
      <c r="B20" s="22"/>
      <c r="C20" s="16"/>
      <c r="D20" s="16"/>
      <c r="E20" s="77"/>
      <c r="F20" s="80"/>
      <c r="G20" s="28"/>
      <c r="H20" s="29"/>
      <c r="I20" s="23"/>
      <c r="J20" s="23"/>
      <c r="K20" s="23"/>
      <c r="L20" s="31"/>
      <c r="M20" s="31"/>
      <c r="N20" s="31"/>
      <c r="O20" s="23"/>
    </row>
    <row r="21" spans="1:15" ht="18.75" customHeight="1">
      <c r="A21" s="9"/>
      <c r="B21" s="32"/>
      <c r="C21" s="16"/>
      <c r="D21" s="16"/>
      <c r="E21" s="77"/>
      <c r="F21" s="80"/>
      <c r="G21" s="28"/>
      <c r="H21" s="29"/>
      <c r="I21" s="23"/>
      <c r="J21" s="23"/>
      <c r="K21" s="23"/>
      <c r="L21" s="102" t="s">
        <v>8</v>
      </c>
      <c r="M21" s="98"/>
      <c r="N21" s="99"/>
      <c r="O21" s="23"/>
    </row>
    <row r="22" spans="1:15" ht="18.75" customHeight="1">
      <c r="A22" s="9"/>
      <c r="B22" s="32"/>
      <c r="C22" s="16"/>
      <c r="D22" s="16"/>
      <c r="E22" s="77"/>
      <c r="F22" s="80"/>
      <c r="G22" s="33"/>
      <c r="H22" s="34"/>
      <c r="I22" s="23"/>
      <c r="J22" s="23"/>
      <c r="K22" s="23"/>
      <c r="L22" s="100"/>
      <c r="M22" s="85"/>
      <c r="N22" s="101"/>
      <c r="O22" s="35"/>
    </row>
    <row r="23" spans="1:15" ht="30" customHeight="1">
      <c r="A23" s="9"/>
      <c r="B23" s="32"/>
      <c r="C23" s="16"/>
      <c r="D23" s="16"/>
      <c r="E23" s="77"/>
      <c r="F23" s="80"/>
      <c r="G23" s="90"/>
      <c r="H23" s="69"/>
      <c r="I23" s="69"/>
      <c r="J23" s="69"/>
      <c r="K23" s="69"/>
      <c r="L23" s="69"/>
      <c r="M23" s="69"/>
      <c r="N23" s="80"/>
      <c r="O23" s="8"/>
    </row>
    <row r="24" spans="1:15" ht="19.5" customHeight="1">
      <c r="A24" s="9"/>
      <c r="B24" s="32"/>
      <c r="C24" s="16"/>
      <c r="D24" s="16"/>
      <c r="E24" s="77"/>
      <c r="F24" s="80"/>
      <c r="G24" s="103"/>
      <c r="H24" s="104"/>
      <c r="I24" s="104"/>
      <c r="J24" s="104"/>
      <c r="K24" s="104"/>
      <c r="L24" s="104"/>
      <c r="M24" s="104"/>
      <c r="N24" s="105"/>
      <c r="O24" s="8"/>
    </row>
    <row r="25" spans="1:15" ht="18.75" customHeight="1">
      <c r="A25" s="9"/>
      <c r="B25" s="32"/>
      <c r="C25" s="16"/>
      <c r="D25" s="16"/>
      <c r="E25" s="77"/>
      <c r="F25" s="80"/>
      <c r="G25" s="36" t="s">
        <v>9</v>
      </c>
      <c r="H25" s="37"/>
      <c r="I25" s="37"/>
      <c r="J25" s="37"/>
      <c r="K25" s="8"/>
      <c r="L25" s="8"/>
      <c r="M25" s="8"/>
      <c r="N25" s="8"/>
      <c r="O25" s="8"/>
    </row>
    <row r="26" spans="1:15" ht="27.75" customHeight="1">
      <c r="A26" s="9"/>
      <c r="B26" s="32"/>
      <c r="C26" s="16"/>
      <c r="D26" s="16"/>
      <c r="E26" s="77"/>
      <c r="F26" s="80"/>
      <c r="G26" s="36"/>
      <c r="H26" s="38"/>
      <c r="I26" s="38"/>
      <c r="J26" s="38"/>
      <c r="K26" s="8"/>
      <c r="L26" s="8"/>
      <c r="M26" s="8"/>
      <c r="N26" s="8"/>
      <c r="O26" s="8"/>
    </row>
    <row r="27" spans="1:15" ht="18.75" customHeight="1">
      <c r="A27" s="9"/>
      <c r="B27" s="32"/>
      <c r="C27" s="16"/>
      <c r="D27" s="16"/>
      <c r="E27" s="77"/>
      <c r="F27" s="80"/>
      <c r="G27" s="27"/>
      <c r="H27" s="106"/>
      <c r="I27" s="107"/>
      <c r="J27" s="108"/>
      <c r="K27" s="21"/>
      <c r="L27" s="39" t="s">
        <v>10</v>
      </c>
      <c r="M27" s="8"/>
      <c r="N27" s="8"/>
      <c r="O27" s="8"/>
    </row>
    <row r="28" spans="1:15" ht="18.75" customHeight="1">
      <c r="A28" s="9"/>
      <c r="B28" s="16"/>
      <c r="C28" s="16"/>
      <c r="D28" s="16"/>
      <c r="E28" s="77"/>
      <c r="F28" s="80"/>
      <c r="G28" s="27"/>
      <c r="H28" s="109"/>
      <c r="I28" s="69"/>
      <c r="J28" s="92"/>
      <c r="K28" s="21"/>
      <c r="L28" s="8"/>
      <c r="M28" s="8"/>
      <c r="N28" s="8"/>
      <c r="O28" s="21"/>
    </row>
    <row r="29" spans="1:15" ht="18.75" customHeight="1">
      <c r="A29" s="9"/>
      <c r="B29" s="16"/>
      <c r="C29" s="16"/>
      <c r="D29" s="16"/>
      <c r="E29" s="77"/>
      <c r="F29" s="80"/>
      <c r="G29" s="29"/>
      <c r="H29" s="110" t="s">
        <v>17</v>
      </c>
      <c r="I29" s="111"/>
      <c r="J29" s="112"/>
      <c r="K29" s="28"/>
      <c r="L29" s="40" t="s">
        <v>11</v>
      </c>
      <c r="M29" s="14"/>
      <c r="N29" s="14"/>
      <c r="O29" s="8"/>
    </row>
    <row r="30" spans="1:15" ht="18.75" customHeight="1">
      <c r="A30" s="9"/>
      <c r="B30" s="16"/>
      <c r="C30" s="16"/>
      <c r="D30" s="16"/>
      <c r="E30" s="77"/>
      <c r="F30" s="80"/>
      <c r="G30" s="23"/>
      <c r="H30" s="41"/>
      <c r="I30" s="41"/>
      <c r="J30" s="41"/>
      <c r="K30" s="23"/>
      <c r="L30" s="23"/>
      <c r="M30" s="23"/>
      <c r="N30" s="23"/>
      <c r="O30" s="8"/>
    </row>
    <row r="31" spans="1:15" ht="18.75" hidden="1" customHeight="1">
      <c r="A31" s="9"/>
      <c r="B31" s="16"/>
      <c r="C31" s="16"/>
      <c r="D31" s="16"/>
      <c r="E31" s="77"/>
      <c r="F31" s="80"/>
      <c r="G31" s="26"/>
      <c r="H31" s="113" t="s">
        <v>12</v>
      </c>
      <c r="I31" s="111"/>
      <c r="J31" s="112"/>
      <c r="K31" s="28"/>
      <c r="L31" s="40" t="s">
        <v>11</v>
      </c>
      <c r="M31" s="14"/>
      <c r="N31" s="25"/>
      <c r="O31" s="8"/>
    </row>
    <row r="32" spans="1:15" ht="18.75" hidden="1" customHeight="1">
      <c r="A32" s="9"/>
      <c r="B32" s="16"/>
      <c r="C32" s="16"/>
      <c r="D32" s="16"/>
      <c r="E32" s="77"/>
      <c r="F32" s="80"/>
      <c r="G32" s="37"/>
      <c r="H32" s="8"/>
      <c r="I32" s="8"/>
      <c r="J32" s="8"/>
      <c r="K32" s="8"/>
      <c r="L32" s="8"/>
      <c r="M32" s="8"/>
      <c r="N32" s="8"/>
      <c r="O32" s="8"/>
    </row>
    <row r="33" spans="1:15" ht="18.75" hidden="1" customHeight="1">
      <c r="A33" s="9"/>
      <c r="B33" s="16"/>
      <c r="C33" s="16"/>
      <c r="D33" s="16"/>
      <c r="E33" s="77"/>
      <c r="F33" s="80"/>
      <c r="G33" s="8"/>
      <c r="H33" s="8"/>
      <c r="I33" s="56"/>
      <c r="J33" s="57"/>
      <c r="K33" s="57"/>
      <c r="L33" s="57"/>
      <c r="M33" s="57"/>
      <c r="N33" s="58"/>
      <c r="O33" s="8"/>
    </row>
    <row r="34" spans="1:15" ht="18.75" customHeight="1">
      <c r="A34" s="9"/>
      <c r="B34" s="16"/>
      <c r="C34" s="16"/>
      <c r="D34" s="16"/>
      <c r="E34" s="77"/>
      <c r="F34" s="80"/>
      <c r="G34" s="8"/>
      <c r="H34" s="8"/>
      <c r="I34" s="8"/>
      <c r="J34" s="8"/>
      <c r="K34" s="8"/>
      <c r="L34" s="8"/>
      <c r="M34" s="8"/>
      <c r="N34" s="8"/>
      <c r="O34" s="8"/>
    </row>
    <row r="35" spans="1:15" ht="18.75" customHeight="1">
      <c r="A35" s="9"/>
      <c r="B35" s="16"/>
      <c r="C35" s="16"/>
      <c r="D35" s="16"/>
      <c r="E35" s="77"/>
      <c r="F35" s="80"/>
      <c r="G35" s="42" t="s">
        <v>15</v>
      </c>
      <c r="H35" s="8"/>
      <c r="I35" s="8"/>
      <c r="J35" s="8"/>
      <c r="K35" s="8"/>
      <c r="L35" s="8"/>
      <c r="M35" s="8"/>
      <c r="N35" s="8"/>
      <c r="O35" s="8"/>
    </row>
    <row r="36" spans="1:15" ht="18.75" customHeight="1">
      <c r="A36" s="9"/>
      <c r="B36" s="16"/>
      <c r="C36" s="16"/>
      <c r="D36" s="16"/>
      <c r="E36" s="77"/>
      <c r="F36" s="80"/>
      <c r="G36" s="8"/>
      <c r="H36" s="8"/>
      <c r="I36" s="59" t="s">
        <v>16</v>
      </c>
      <c r="J36" s="60"/>
      <c r="K36" s="60"/>
      <c r="L36" s="60"/>
      <c r="M36" s="60"/>
      <c r="N36" s="60"/>
      <c r="O36" s="61"/>
    </row>
    <row r="37" spans="1:15" ht="18.75" customHeight="1">
      <c r="A37" s="9"/>
      <c r="B37" s="16"/>
      <c r="C37" s="16"/>
      <c r="D37" s="16"/>
      <c r="E37" s="77"/>
      <c r="F37" s="80"/>
      <c r="G37" s="8"/>
      <c r="H37" s="8"/>
      <c r="I37" s="62"/>
      <c r="J37" s="63"/>
      <c r="K37" s="63"/>
      <c r="L37" s="63"/>
      <c r="M37" s="63"/>
      <c r="N37" s="63"/>
      <c r="O37" s="64"/>
    </row>
    <row r="38" spans="1:15" ht="18.75" customHeight="1">
      <c r="A38" s="9"/>
      <c r="B38" s="16"/>
      <c r="C38" s="16"/>
      <c r="D38" s="16"/>
      <c r="E38" s="77"/>
      <c r="F38" s="80"/>
      <c r="G38" s="8"/>
      <c r="H38" s="8"/>
      <c r="I38" s="8"/>
      <c r="J38" s="8"/>
      <c r="K38" s="8"/>
      <c r="L38" s="8"/>
      <c r="M38" s="8"/>
      <c r="N38" s="8"/>
      <c r="O38" s="8"/>
    </row>
    <row r="39" spans="1:15" ht="18.75" customHeight="1">
      <c r="A39" s="9"/>
      <c r="B39" s="16"/>
      <c r="C39" s="16"/>
      <c r="D39" s="16"/>
      <c r="E39" s="77"/>
      <c r="F39" s="80"/>
      <c r="G39" s="8"/>
      <c r="H39" s="8"/>
      <c r="I39" s="8"/>
      <c r="J39" s="8"/>
      <c r="K39" s="8"/>
      <c r="L39" s="8"/>
      <c r="M39" s="8"/>
      <c r="N39" s="8"/>
      <c r="O39" s="8"/>
    </row>
    <row r="40" spans="1:15" ht="18.75" customHeight="1">
      <c r="A40" s="9"/>
      <c r="B40" s="16"/>
      <c r="C40" s="16"/>
      <c r="D40" s="16"/>
      <c r="E40" s="78"/>
      <c r="F40" s="64"/>
      <c r="G40" s="8"/>
      <c r="H40" s="8"/>
      <c r="I40" s="8"/>
      <c r="J40" s="8"/>
      <c r="K40" s="8"/>
      <c r="L40" s="8"/>
      <c r="M40" s="8"/>
      <c r="N40" s="8"/>
      <c r="O40" s="8"/>
    </row>
    <row r="41" spans="1:15" ht="15.75" customHeight="1"/>
    <row r="42" spans="1:15" ht="15.75" customHeight="1"/>
    <row r="43" spans="1:15" ht="15.75" customHeight="1"/>
    <row r="44" spans="1:15" ht="15.75" customHeight="1"/>
    <row r="45" spans="1:15" ht="15.75" customHeight="1"/>
    <row r="46" spans="1:15" ht="15.75" customHeight="1"/>
    <row r="47" spans="1:15" ht="15.75" customHeight="1"/>
    <row r="48" spans="1:1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H29:J29"/>
    <mergeCell ref="H31:J31"/>
    <mergeCell ref="L21:N22"/>
    <mergeCell ref="G23:N23"/>
    <mergeCell ref="G24:N24"/>
    <mergeCell ref="H27:J27"/>
    <mergeCell ref="H28:J28"/>
    <mergeCell ref="I33:N33"/>
    <mergeCell ref="I36:O37"/>
    <mergeCell ref="B2:N2"/>
    <mergeCell ref="B3:N3"/>
    <mergeCell ref="A4:O4"/>
    <mergeCell ref="A5:O5"/>
    <mergeCell ref="E6:E40"/>
    <mergeCell ref="F6:F40"/>
    <mergeCell ref="G6:O6"/>
    <mergeCell ref="I9:N9"/>
    <mergeCell ref="I10:N10"/>
    <mergeCell ref="I11:N11"/>
    <mergeCell ref="G12:N12"/>
    <mergeCell ref="G13:N13"/>
    <mergeCell ref="L15:N16"/>
    <mergeCell ref="L18:N19"/>
  </mergeCells>
  <conditionalFormatting sqref="A4:O4">
    <cfRule type="notContainsBlanks" dxfId="1" priority="1">
      <formula>LEN(TRIM(A4))&gt;0</formula>
    </cfRule>
  </conditionalFormatting>
  <conditionalFormatting sqref="F6:F40">
    <cfRule type="notContainsBlanks" dxfId="0" priority="2">
      <formula>LEN(TRIM(F6))&gt;0</formula>
    </cfRule>
  </conditionalFormatting>
  <hyperlinks>
    <hyperlink ref="I10" r:id="rId1"/>
  </hyperlinks>
  <pageMargins left="0.7" right="0.7" top="0.75" bottom="0.75" header="0.3" footer="0.3"/>
  <pageSetup paperSize="260" orientation="portrait" horizontalDpi="203" verticalDpi="203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8671875" defaultRowHeight="13.2"/>
  <sheetData>
    <row r="1" spans="1:1">
      <c r="A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74"/>
  <sheetViews>
    <sheetView topLeftCell="B2" workbookViewId="0">
      <selection activeCell="A2" sqref="A2:F2"/>
    </sheetView>
  </sheetViews>
  <sheetFormatPr baseColWidth="10" defaultColWidth="8.88671875" defaultRowHeight="13.2"/>
  <cols>
    <col min="1" max="1" width="18.77734375" hidden="1" customWidth="1"/>
    <col min="2" max="3" width="17.5546875" customWidth="1"/>
    <col min="4" max="4" width="17.5546875" hidden="1" customWidth="1"/>
    <col min="5" max="5" width="58.5546875" customWidth="1"/>
    <col min="6" max="6" width="17.5546875" customWidth="1"/>
    <col min="7" max="8" width="23.44140625" customWidth="1"/>
    <col min="9" max="10" width="17.5546875" customWidth="1"/>
    <col min="11" max="11" width="21.44140625" customWidth="1"/>
    <col min="12" max="12" width="39.109375" customWidth="1"/>
    <col min="13" max="15" width="17.5546875" customWidth="1"/>
  </cols>
  <sheetData>
    <row r="1" spans="1:15" ht="0" hidden="1" customHeight="1">
      <c r="A1" s="44" t="s">
        <v>22</v>
      </c>
      <c r="B1" s="44" t="s">
        <v>25</v>
      </c>
      <c r="C1" s="44" t="s">
        <v>27</v>
      </c>
      <c r="D1" s="44" t="s">
        <v>29</v>
      </c>
      <c r="E1" s="44" t="s">
        <v>31</v>
      </c>
      <c r="F1" s="44" t="s">
        <v>33</v>
      </c>
      <c r="G1" s="44" t="s">
        <v>35</v>
      </c>
      <c r="H1" s="44" t="s">
        <v>38</v>
      </c>
      <c r="I1" s="44" t="s">
        <v>41</v>
      </c>
      <c r="J1" s="44" t="s">
        <v>43</v>
      </c>
      <c r="K1" s="44" t="s">
        <v>45</v>
      </c>
      <c r="L1" s="44" t="s">
        <v>48</v>
      </c>
      <c r="M1" s="44" t="s">
        <v>51</v>
      </c>
      <c r="N1" s="44" t="s">
        <v>53</v>
      </c>
      <c r="O1" s="44" t="s">
        <v>55</v>
      </c>
    </row>
    <row r="2" spans="1:15" ht="42.45" customHeight="1">
      <c r="A2" s="114" t="s">
        <v>2</v>
      </c>
      <c r="B2" s="69"/>
      <c r="C2" s="69"/>
      <c r="D2" s="69"/>
      <c r="E2" s="69"/>
      <c r="F2" s="69"/>
      <c r="G2" s="115" t="s">
        <v>40</v>
      </c>
      <c r="H2" s="69"/>
      <c r="I2" s="116" t="s">
        <v>47</v>
      </c>
      <c r="J2" s="69"/>
      <c r="K2" s="69"/>
      <c r="L2" s="50" t="s">
        <v>50</v>
      </c>
      <c r="M2" s="117" t="s">
        <v>57</v>
      </c>
      <c r="N2" s="69"/>
      <c r="O2" s="69"/>
    </row>
    <row r="3" spans="1:15" ht="37.950000000000003" customHeight="1">
      <c r="A3" s="45" t="s">
        <v>23</v>
      </c>
      <c r="B3" s="45" t="s">
        <v>26</v>
      </c>
      <c r="C3" s="45" t="s">
        <v>28</v>
      </c>
      <c r="D3" s="45" t="s">
        <v>30</v>
      </c>
      <c r="E3" s="45" t="s">
        <v>32</v>
      </c>
      <c r="F3" s="45" t="s">
        <v>34</v>
      </c>
      <c r="G3" s="47" t="s">
        <v>36</v>
      </c>
      <c r="H3" s="47" t="s">
        <v>39</v>
      </c>
      <c r="I3" s="48" t="s">
        <v>42</v>
      </c>
      <c r="J3" s="48" t="s">
        <v>44</v>
      </c>
      <c r="K3" s="48" t="s">
        <v>46</v>
      </c>
      <c r="L3" s="49" t="s">
        <v>49</v>
      </c>
      <c r="M3" s="51" t="s">
        <v>52</v>
      </c>
      <c r="N3" s="51" t="s">
        <v>54</v>
      </c>
      <c r="O3" s="51" t="s">
        <v>56</v>
      </c>
    </row>
    <row r="4" spans="1:15" ht="15" customHeight="1">
      <c r="A4" s="46" t="s">
        <v>24</v>
      </c>
      <c r="B4" s="46" t="s">
        <v>24</v>
      </c>
      <c r="C4" s="46" t="s">
        <v>24</v>
      </c>
      <c r="D4" s="46" t="s">
        <v>24</v>
      </c>
      <c r="E4" s="46" t="s">
        <v>24</v>
      </c>
      <c r="F4" s="46" t="s">
        <v>24</v>
      </c>
      <c r="G4" s="46" t="s">
        <v>37</v>
      </c>
      <c r="H4" s="46" t="s">
        <v>24</v>
      </c>
      <c r="I4" s="46" t="s">
        <v>37</v>
      </c>
      <c r="J4" s="46" t="s">
        <v>37</v>
      </c>
      <c r="K4" s="46" t="s">
        <v>37</v>
      </c>
      <c r="L4" s="46" t="s">
        <v>24</v>
      </c>
      <c r="M4" s="46" t="s">
        <v>24</v>
      </c>
      <c r="N4" s="46" t="s">
        <v>24</v>
      </c>
      <c r="O4" s="46" t="s">
        <v>24</v>
      </c>
    </row>
    <row r="5" spans="1:15" ht="109.95" customHeight="1">
      <c r="A5" s="43"/>
      <c r="B5" s="43"/>
      <c r="C5" s="43"/>
      <c r="D5" s="43"/>
      <c r="E5" s="43"/>
      <c r="F5" s="43"/>
      <c r="G5" s="43"/>
      <c r="H5" s="43" t="s">
        <v>19</v>
      </c>
      <c r="I5" s="43"/>
      <c r="J5" s="43" t="s">
        <v>20</v>
      </c>
      <c r="K5" s="43" t="s">
        <v>21</v>
      </c>
      <c r="L5" s="43"/>
      <c r="M5" s="43"/>
      <c r="N5" s="43"/>
      <c r="O5" s="43"/>
    </row>
    <row r="6" spans="1:15" ht="49.95" customHeight="1">
      <c r="A6" s="52" t="s">
        <v>58</v>
      </c>
      <c r="B6" s="52" t="s">
        <v>59</v>
      </c>
      <c r="C6" s="52" t="s">
        <v>60</v>
      </c>
      <c r="D6" s="52"/>
      <c r="E6" s="52" t="s">
        <v>61</v>
      </c>
      <c r="F6" s="52" t="s">
        <v>61</v>
      </c>
      <c r="G6" s="53">
        <v>2</v>
      </c>
      <c r="H6" s="52" t="s">
        <v>62</v>
      </c>
      <c r="I6" s="53">
        <v>49990</v>
      </c>
      <c r="J6" s="53" t="s">
        <v>63</v>
      </c>
      <c r="K6" s="53" t="s">
        <v>64</v>
      </c>
      <c r="L6" s="53" t="s">
        <v>65</v>
      </c>
      <c r="M6" s="53" t="s">
        <v>66</v>
      </c>
      <c r="N6" s="52" t="str">
        <f ca="1">IF(INDIRECT("M6")="Clásica","14%",IF(INDIRECT("M6")="Premium","18%","-"))</f>
        <v>14%</v>
      </c>
      <c r="O6" s="53" t="s">
        <v>67</v>
      </c>
    </row>
    <row r="7" spans="1:15" ht="49.95" customHeight="1">
      <c r="A7" s="52" t="s">
        <v>24</v>
      </c>
      <c r="B7" s="52" t="s">
        <v>68</v>
      </c>
      <c r="C7" s="52"/>
      <c r="D7" s="52"/>
      <c r="E7" s="52" t="s">
        <v>69</v>
      </c>
      <c r="F7" s="52" t="s">
        <v>62</v>
      </c>
      <c r="G7" s="52" t="s">
        <v>70</v>
      </c>
      <c r="H7" s="52" t="s">
        <v>62</v>
      </c>
      <c r="I7" s="53">
        <v>13990</v>
      </c>
      <c r="J7" s="53" t="s">
        <v>63</v>
      </c>
      <c r="K7" s="53" t="s">
        <v>64</v>
      </c>
      <c r="L7" s="53" t="s">
        <v>71</v>
      </c>
      <c r="M7" s="53" t="s">
        <v>66</v>
      </c>
      <c r="N7" s="52" t="str">
        <f ca="1">IF(INDIRECT("M7")="Clásica","15%",IF(INDIRECT("M7")="Premium","19%","-"))</f>
        <v>15%</v>
      </c>
      <c r="O7" s="53" t="s">
        <v>67</v>
      </c>
    </row>
    <row r="8" spans="1:15" ht="49.95" customHeight="1">
      <c r="A8" s="52" t="s">
        <v>24</v>
      </c>
      <c r="B8" s="52" t="s">
        <v>68</v>
      </c>
      <c r="C8" s="52" t="s">
        <v>72</v>
      </c>
      <c r="D8" s="52" t="s">
        <v>72</v>
      </c>
      <c r="E8" s="54" t="str">
        <f>"     "&amp;E7</f>
        <v xml:space="preserve">     Par Intermitentes Led Carenado Gota Yamaha R15 R3 R6 Etc</v>
      </c>
      <c r="F8" s="52" t="s">
        <v>73</v>
      </c>
      <c r="G8" s="53">
        <v>4</v>
      </c>
      <c r="H8" s="52" t="s">
        <v>62</v>
      </c>
      <c r="I8" s="52">
        <f>I7</f>
        <v>13990</v>
      </c>
      <c r="J8" s="52" t="str">
        <f>J7&amp;"     "</f>
        <v xml:space="preserve">$     </v>
      </c>
      <c r="K8" s="52" t="str">
        <f>K7&amp;"     "</f>
        <v xml:space="preserve">Nuevo     </v>
      </c>
      <c r="L8" s="52" t="str">
        <f>L7&amp;"     "</f>
        <v xml:space="preserve">Mercado Envíos a cargo del comprador     </v>
      </c>
      <c r="M8" s="52" t="str">
        <f>M7&amp;"     "</f>
        <v xml:space="preserve">Clásica     </v>
      </c>
      <c r="N8" s="52" t="str">
        <f ca="1">N7</f>
        <v>15%</v>
      </c>
      <c r="O8" s="52" t="str">
        <f>O7&amp;"     "</f>
        <v xml:space="preserve">Activa     </v>
      </c>
    </row>
    <row r="9" spans="1:15" ht="49.95" customHeight="1">
      <c r="A9" s="52" t="s">
        <v>24</v>
      </c>
      <c r="B9" s="52" t="s">
        <v>68</v>
      </c>
      <c r="C9" s="52" t="s">
        <v>74</v>
      </c>
      <c r="D9" s="52" t="s">
        <v>74</v>
      </c>
      <c r="E9" s="54" t="str">
        <f>"     "&amp;E7</f>
        <v xml:space="preserve">     Par Intermitentes Led Carenado Gota Yamaha R15 R3 R6 Etc</v>
      </c>
      <c r="F9" s="52" t="s">
        <v>75</v>
      </c>
      <c r="G9" s="53">
        <v>4</v>
      </c>
      <c r="H9" s="52" t="s">
        <v>62</v>
      </c>
      <c r="I9" s="52">
        <f>I7</f>
        <v>13990</v>
      </c>
      <c r="J9" s="52" t="str">
        <f>J7&amp;"     "</f>
        <v xml:space="preserve">$     </v>
      </c>
      <c r="K9" s="52" t="str">
        <f>K7&amp;"     "</f>
        <v xml:space="preserve">Nuevo     </v>
      </c>
      <c r="L9" s="52" t="str">
        <f>L7&amp;"     "</f>
        <v xml:space="preserve">Mercado Envíos a cargo del comprador     </v>
      </c>
      <c r="M9" s="52" t="str">
        <f>M7&amp;"     "</f>
        <v xml:space="preserve">Clásica     </v>
      </c>
      <c r="N9" s="52" t="str">
        <f ca="1">N7</f>
        <v>15%</v>
      </c>
      <c r="O9" s="52" t="str">
        <f>O7&amp;"     "</f>
        <v xml:space="preserve">Activa     </v>
      </c>
    </row>
    <row r="10" spans="1:15" ht="49.95" customHeight="1">
      <c r="A10" s="52" t="s">
        <v>76</v>
      </c>
      <c r="B10" s="52" t="s">
        <v>77</v>
      </c>
      <c r="C10" s="52" t="s">
        <v>78</v>
      </c>
      <c r="D10" s="52"/>
      <c r="E10" s="52" t="s">
        <v>79</v>
      </c>
      <c r="F10" s="52" t="s">
        <v>79</v>
      </c>
      <c r="G10" s="53">
        <v>1</v>
      </c>
      <c r="H10" s="52" t="s">
        <v>62</v>
      </c>
      <c r="I10" s="53">
        <v>49990</v>
      </c>
      <c r="J10" s="53" t="s">
        <v>63</v>
      </c>
      <c r="K10" s="53" t="s">
        <v>64</v>
      </c>
      <c r="L10" s="53" t="s">
        <v>65</v>
      </c>
      <c r="M10" s="53" t="s">
        <v>66</v>
      </c>
      <c r="N10" s="52" t="str">
        <f ca="1">IF(INDIRECT("M10")="Clásica","14%",IF(INDIRECT("M10")="Premium","18%","-"))</f>
        <v>14%</v>
      </c>
      <c r="O10" s="53" t="s">
        <v>67</v>
      </c>
    </row>
    <row r="11" spans="1:15" ht="49.95" customHeight="1">
      <c r="A11" s="52" t="s">
        <v>24</v>
      </c>
      <c r="B11" s="52" t="s">
        <v>80</v>
      </c>
      <c r="C11" s="52"/>
      <c r="D11" s="52"/>
      <c r="E11" s="52" t="s">
        <v>81</v>
      </c>
      <c r="F11" s="52" t="s">
        <v>62</v>
      </c>
      <c r="G11" s="52" t="s">
        <v>82</v>
      </c>
      <c r="H11" s="52" t="s">
        <v>62</v>
      </c>
      <c r="I11" s="53">
        <v>29990</v>
      </c>
      <c r="J11" s="53" t="s">
        <v>63</v>
      </c>
      <c r="K11" s="53" t="s">
        <v>64</v>
      </c>
      <c r="L11" s="53" t="s">
        <v>65</v>
      </c>
      <c r="M11" s="53" t="s">
        <v>66</v>
      </c>
      <c r="N11" s="52" t="str">
        <f ca="1">IF(INDIRECT("M11")="Clásica","14%",IF(INDIRECT("M11")="Premium","18%","-"))</f>
        <v>14%</v>
      </c>
      <c r="O11" s="53" t="s">
        <v>67</v>
      </c>
    </row>
    <row r="12" spans="1:15" ht="49.95" customHeight="1">
      <c r="A12" s="52" t="s">
        <v>24</v>
      </c>
      <c r="B12" s="52" t="s">
        <v>80</v>
      </c>
      <c r="C12" s="52" t="s">
        <v>83</v>
      </c>
      <c r="D12" s="52" t="s">
        <v>83</v>
      </c>
      <c r="E12" s="54" t="str">
        <f>"     "&amp;E11</f>
        <v xml:space="preserve">     Protector Radiador Cubierta Yamaha Mt-03 03 Colores + Env.</v>
      </c>
      <c r="F12" s="52" t="s">
        <v>84</v>
      </c>
      <c r="G12" s="53">
        <v>1</v>
      </c>
      <c r="H12" s="52" t="s">
        <v>62</v>
      </c>
      <c r="I12" s="52">
        <f>I11</f>
        <v>29990</v>
      </c>
      <c r="J12" s="52" t="str">
        <f>J11&amp;"     "</f>
        <v xml:space="preserve">$     </v>
      </c>
      <c r="K12" s="52" t="str">
        <f>K11&amp;"     "</f>
        <v xml:space="preserve">Nuevo     </v>
      </c>
      <c r="L12" s="52" t="str">
        <f>L11&amp;"     "</f>
        <v xml:space="preserve">Mercado Envíos gratis     </v>
      </c>
      <c r="M12" s="52" t="str">
        <f>M11&amp;"     "</f>
        <v xml:space="preserve">Clásica     </v>
      </c>
      <c r="N12" s="52" t="str">
        <f ca="1">N11</f>
        <v>14%</v>
      </c>
      <c r="O12" s="52" t="str">
        <f>O11&amp;"     "</f>
        <v xml:space="preserve">Activa     </v>
      </c>
    </row>
    <row r="13" spans="1:15" ht="49.95" customHeight="1">
      <c r="A13" s="52" t="s">
        <v>24</v>
      </c>
      <c r="B13" s="52" t="s">
        <v>80</v>
      </c>
      <c r="C13" s="52" t="s">
        <v>85</v>
      </c>
      <c r="D13" s="52" t="s">
        <v>85</v>
      </c>
      <c r="E13" s="54" t="str">
        <f>"     "&amp;E11</f>
        <v xml:space="preserve">     Protector Radiador Cubierta Yamaha Mt-03 03 Colores + Env.</v>
      </c>
      <c r="F13" s="52" t="s">
        <v>86</v>
      </c>
      <c r="G13" s="53">
        <v>0</v>
      </c>
      <c r="H13" s="52" t="s">
        <v>62</v>
      </c>
      <c r="I13" s="52">
        <f>I11</f>
        <v>29990</v>
      </c>
      <c r="J13" s="52" t="str">
        <f>J11&amp;"     "</f>
        <v xml:space="preserve">$     </v>
      </c>
      <c r="K13" s="52" t="str">
        <f>K11&amp;"     "</f>
        <v xml:space="preserve">Nuevo     </v>
      </c>
      <c r="L13" s="52" t="str">
        <f>L11&amp;"     "</f>
        <v xml:space="preserve">Mercado Envíos gratis     </v>
      </c>
      <c r="M13" s="52" t="str">
        <f>M11&amp;"     "</f>
        <v xml:space="preserve">Clásica     </v>
      </c>
      <c r="N13" s="52" t="str">
        <f ca="1">N11</f>
        <v>14%</v>
      </c>
      <c r="O13" s="52" t="str">
        <f>O11&amp;"     "</f>
        <v xml:space="preserve">Activa     </v>
      </c>
    </row>
    <row r="14" spans="1:15" ht="49.95" customHeight="1">
      <c r="A14" s="52" t="s">
        <v>24</v>
      </c>
      <c r="B14" s="52" t="s">
        <v>80</v>
      </c>
      <c r="C14" s="52" t="s">
        <v>87</v>
      </c>
      <c r="D14" s="52" t="s">
        <v>87</v>
      </c>
      <c r="E14" s="54" t="str">
        <f>"     "&amp;E11</f>
        <v xml:space="preserve">     Protector Radiador Cubierta Yamaha Mt-03 03 Colores + Env.</v>
      </c>
      <c r="F14" s="52" t="s">
        <v>88</v>
      </c>
      <c r="G14" s="53">
        <v>2</v>
      </c>
      <c r="H14" s="52" t="s">
        <v>62</v>
      </c>
      <c r="I14" s="52">
        <f>I11</f>
        <v>29990</v>
      </c>
      <c r="J14" s="52" t="str">
        <f>J11&amp;"     "</f>
        <v xml:space="preserve">$     </v>
      </c>
      <c r="K14" s="52" t="str">
        <f>K11&amp;"     "</f>
        <v xml:space="preserve">Nuevo     </v>
      </c>
      <c r="L14" s="52" t="str">
        <f>L11&amp;"     "</f>
        <v xml:space="preserve">Mercado Envíos gratis     </v>
      </c>
      <c r="M14" s="52" t="str">
        <f>M11&amp;"     "</f>
        <v xml:space="preserve">Clásica     </v>
      </c>
      <c r="N14" s="52" t="str">
        <f ca="1">N11</f>
        <v>14%</v>
      </c>
      <c r="O14" s="52" t="str">
        <f>O11&amp;"     "</f>
        <v xml:space="preserve">Activa     </v>
      </c>
    </row>
    <row r="15" spans="1:15" ht="49.95" customHeight="1">
      <c r="A15" s="52" t="s">
        <v>24</v>
      </c>
      <c r="B15" s="52" t="s">
        <v>80</v>
      </c>
      <c r="C15" s="52" t="s">
        <v>89</v>
      </c>
      <c r="D15" s="52" t="s">
        <v>89</v>
      </c>
      <c r="E15" s="54" t="str">
        <f>"     "&amp;E11</f>
        <v xml:space="preserve">     Protector Radiador Cubierta Yamaha Mt-03 03 Colores + Env.</v>
      </c>
      <c r="F15" s="52" t="s">
        <v>90</v>
      </c>
      <c r="G15" s="53">
        <v>0</v>
      </c>
      <c r="H15" s="52" t="s">
        <v>62</v>
      </c>
      <c r="I15" s="52">
        <f>I11</f>
        <v>29990</v>
      </c>
      <c r="J15" s="52" t="str">
        <f>J11&amp;"     "</f>
        <v xml:space="preserve">$     </v>
      </c>
      <c r="K15" s="52" t="str">
        <f>K11&amp;"     "</f>
        <v xml:space="preserve">Nuevo     </v>
      </c>
      <c r="L15" s="52" t="str">
        <f>L11&amp;"     "</f>
        <v xml:space="preserve">Mercado Envíos gratis     </v>
      </c>
      <c r="M15" s="52" t="str">
        <f>M11&amp;"     "</f>
        <v xml:space="preserve">Clásica     </v>
      </c>
      <c r="N15" s="52" t="str">
        <f ca="1">N11</f>
        <v>14%</v>
      </c>
      <c r="O15" s="52" t="str">
        <f>O11&amp;"     "</f>
        <v xml:space="preserve">Activa     </v>
      </c>
    </row>
    <row r="16" spans="1:15" ht="49.95" customHeight="1">
      <c r="A16" s="52" t="s">
        <v>24</v>
      </c>
      <c r="B16" s="52" t="s">
        <v>91</v>
      </c>
      <c r="C16" s="52"/>
      <c r="D16" s="52"/>
      <c r="E16" s="52" t="s">
        <v>92</v>
      </c>
      <c r="F16" s="52" t="s">
        <v>62</v>
      </c>
      <c r="G16" s="52" t="s">
        <v>93</v>
      </c>
      <c r="H16" s="52" t="s">
        <v>62</v>
      </c>
      <c r="I16" s="53">
        <v>37990</v>
      </c>
      <c r="J16" s="53" t="s">
        <v>63</v>
      </c>
      <c r="K16" s="53" t="s">
        <v>64</v>
      </c>
      <c r="L16" s="53" t="s">
        <v>65</v>
      </c>
      <c r="M16" s="53" t="s">
        <v>66</v>
      </c>
      <c r="N16" s="52" t="str">
        <f ca="1">IF(INDIRECT("M16")="Clásica","14%",IF(INDIRECT("M16")="Premium","18%","-"))</f>
        <v>14%</v>
      </c>
      <c r="O16" s="53" t="s">
        <v>67</v>
      </c>
    </row>
    <row r="17" spans="1:15" ht="49.95" customHeight="1">
      <c r="A17" s="52" t="s">
        <v>24</v>
      </c>
      <c r="B17" s="52" t="s">
        <v>91</v>
      </c>
      <c r="C17" s="52" t="s">
        <v>94</v>
      </c>
      <c r="D17" s="52" t="s">
        <v>94</v>
      </c>
      <c r="E17" s="54" t="str">
        <f>"     "&amp;E16</f>
        <v xml:space="preserve">     Manillas Honda Cb190 Cb190r Con Logo Colores Hasta Año 2024</v>
      </c>
      <c r="F17" s="52" t="s">
        <v>88</v>
      </c>
      <c r="G17" s="53">
        <v>2</v>
      </c>
      <c r="H17" s="52" t="s">
        <v>62</v>
      </c>
      <c r="I17" s="52">
        <f>I16</f>
        <v>37990</v>
      </c>
      <c r="J17" s="52" t="str">
        <f>J16&amp;"     "</f>
        <v xml:space="preserve">$     </v>
      </c>
      <c r="K17" s="52" t="str">
        <f>K16&amp;"     "</f>
        <v xml:space="preserve">Nuevo     </v>
      </c>
      <c r="L17" s="52" t="str">
        <f>L16&amp;"     "</f>
        <v xml:space="preserve">Mercado Envíos gratis     </v>
      </c>
      <c r="M17" s="52" t="str">
        <f>M16&amp;"     "</f>
        <v xml:space="preserve">Clásica     </v>
      </c>
      <c r="N17" s="52" t="str">
        <f ca="1">N16</f>
        <v>14%</v>
      </c>
      <c r="O17" s="52" t="str">
        <f>O16&amp;"     "</f>
        <v xml:space="preserve">Activa     </v>
      </c>
    </row>
    <row r="18" spans="1:15" ht="49.95" customHeight="1">
      <c r="A18" s="52" t="s">
        <v>24</v>
      </c>
      <c r="B18" s="52" t="s">
        <v>91</v>
      </c>
      <c r="C18" s="52" t="s">
        <v>95</v>
      </c>
      <c r="D18" s="52" t="s">
        <v>95</v>
      </c>
      <c r="E18" s="54" t="str">
        <f>"     "&amp;E16</f>
        <v xml:space="preserve">     Manillas Honda Cb190 Cb190r Con Logo Colores Hasta Año 2024</v>
      </c>
      <c r="F18" s="52" t="s">
        <v>86</v>
      </c>
      <c r="G18" s="53">
        <v>0</v>
      </c>
      <c r="H18" s="52" t="s">
        <v>62</v>
      </c>
      <c r="I18" s="52">
        <f>I16</f>
        <v>37990</v>
      </c>
      <c r="J18" s="52" t="str">
        <f>J16&amp;"     "</f>
        <v xml:space="preserve">$     </v>
      </c>
      <c r="K18" s="52" t="str">
        <f>K16&amp;"     "</f>
        <v xml:space="preserve">Nuevo     </v>
      </c>
      <c r="L18" s="52" t="str">
        <f>L16&amp;"     "</f>
        <v xml:space="preserve">Mercado Envíos gratis     </v>
      </c>
      <c r="M18" s="52" t="str">
        <f>M16&amp;"     "</f>
        <v xml:space="preserve">Clásica     </v>
      </c>
      <c r="N18" s="52" t="str">
        <f ca="1">N16</f>
        <v>14%</v>
      </c>
      <c r="O18" s="52" t="str">
        <f>O16&amp;"     "</f>
        <v xml:space="preserve">Activa     </v>
      </c>
    </row>
    <row r="19" spans="1:15" ht="49.95" customHeight="1">
      <c r="A19" s="52" t="s">
        <v>24</v>
      </c>
      <c r="B19" s="52" t="s">
        <v>91</v>
      </c>
      <c r="C19" s="52" t="s">
        <v>96</v>
      </c>
      <c r="D19" s="52" t="s">
        <v>96</v>
      </c>
      <c r="E19" s="54" t="str">
        <f>"     "&amp;E16</f>
        <v xml:space="preserve">     Manillas Honda Cb190 Cb190r Con Logo Colores Hasta Año 2024</v>
      </c>
      <c r="F19" s="52" t="s">
        <v>97</v>
      </c>
      <c r="G19" s="53">
        <v>0</v>
      </c>
      <c r="H19" s="52" t="s">
        <v>62</v>
      </c>
      <c r="I19" s="52">
        <f>I16</f>
        <v>37990</v>
      </c>
      <c r="J19" s="52" t="str">
        <f>J16&amp;"     "</f>
        <v xml:space="preserve">$     </v>
      </c>
      <c r="K19" s="52" t="str">
        <f>K16&amp;"     "</f>
        <v xml:space="preserve">Nuevo     </v>
      </c>
      <c r="L19" s="52" t="str">
        <f>L16&amp;"     "</f>
        <v xml:space="preserve">Mercado Envíos gratis     </v>
      </c>
      <c r="M19" s="52" t="str">
        <f>M16&amp;"     "</f>
        <v xml:space="preserve">Clásica     </v>
      </c>
      <c r="N19" s="52" t="str">
        <f ca="1">N16</f>
        <v>14%</v>
      </c>
      <c r="O19" s="52" t="str">
        <f>O16&amp;"     "</f>
        <v xml:space="preserve">Activa     </v>
      </c>
    </row>
    <row r="20" spans="1:15" ht="49.95" customHeight="1">
      <c r="A20" s="52" t="s">
        <v>24</v>
      </c>
      <c r="B20" s="52" t="s">
        <v>91</v>
      </c>
      <c r="C20" s="52" t="s">
        <v>98</v>
      </c>
      <c r="D20" s="52" t="s">
        <v>98</v>
      </c>
      <c r="E20" s="54" t="str">
        <f>"     "&amp;E16</f>
        <v xml:space="preserve">     Manillas Honda Cb190 Cb190r Con Logo Colores Hasta Año 2024</v>
      </c>
      <c r="F20" s="52" t="s">
        <v>84</v>
      </c>
      <c r="G20" s="53">
        <v>1</v>
      </c>
      <c r="H20" s="52" t="s">
        <v>62</v>
      </c>
      <c r="I20" s="52">
        <f>I16</f>
        <v>37990</v>
      </c>
      <c r="J20" s="52" t="str">
        <f>J16&amp;"     "</f>
        <v xml:space="preserve">$     </v>
      </c>
      <c r="K20" s="52" t="str">
        <f>K16&amp;"     "</f>
        <v xml:space="preserve">Nuevo     </v>
      </c>
      <c r="L20" s="52" t="str">
        <f>L16&amp;"     "</f>
        <v xml:space="preserve">Mercado Envíos gratis     </v>
      </c>
      <c r="M20" s="52" t="str">
        <f>M16&amp;"     "</f>
        <v xml:space="preserve">Clásica     </v>
      </c>
      <c r="N20" s="52" t="str">
        <f ca="1">N16</f>
        <v>14%</v>
      </c>
      <c r="O20" s="52" t="str">
        <f>O16&amp;"     "</f>
        <v xml:space="preserve">Activa     </v>
      </c>
    </row>
    <row r="21" spans="1:15" ht="49.95" customHeight="1">
      <c r="A21" s="52" t="s">
        <v>24</v>
      </c>
      <c r="B21" s="52" t="s">
        <v>91</v>
      </c>
      <c r="C21" s="52" t="s">
        <v>99</v>
      </c>
      <c r="D21" s="52" t="s">
        <v>99</v>
      </c>
      <c r="E21" s="54" t="str">
        <f>"     "&amp;E16</f>
        <v xml:space="preserve">     Manillas Honda Cb190 Cb190r Con Logo Colores Hasta Año 2024</v>
      </c>
      <c r="F21" s="52" t="s">
        <v>100</v>
      </c>
      <c r="G21" s="53">
        <v>2</v>
      </c>
      <c r="H21" s="52" t="s">
        <v>62</v>
      </c>
      <c r="I21" s="52">
        <f>I16</f>
        <v>37990</v>
      </c>
      <c r="J21" s="52" t="str">
        <f>J16&amp;"     "</f>
        <v xml:space="preserve">$     </v>
      </c>
      <c r="K21" s="52" t="str">
        <f>K16&amp;"     "</f>
        <v xml:space="preserve">Nuevo     </v>
      </c>
      <c r="L21" s="52" t="str">
        <f>L16&amp;"     "</f>
        <v xml:space="preserve">Mercado Envíos gratis     </v>
      </c>
      <c r="M21" s="52" t="str">
        <f>M16&amp;"     "</f>
        <v xml:space="preserve">Clásica     </v>
      </c>
      <c r="N21" s="52" t="str">
        <f ca="1">N16</f>
        <v>14%</v>
      </c>
      <c r="O21" s="52" t="str">
        <f>O16&amp;"     "</f>
        <v xml:space="preserve">Activa     </v>
      </c>
    </row>
    <row r="22" spans="1:15" ht="49.95" customHeight="1">
      <c r="A22" s="52" t="s">
        <v>24</v>
      </c>
      <c r="B22" s="52" t="s">
        <v>91</v>
      </c>
      <c r="C22" s="52" t="s">
        <v>101</v>
      </c>
      <c r="D22" s="52" t="s">
        <v>101</v>
      </c>
      <c r="E22" s="54" t="str">
        <f>"     "&amp;E16</f>
        <v xml:space="preserve">     Manillas Honda Cb190 Cb190r Con Logo Colores Hasta Año 2024</v>
      </c>
      <c r="F22" s="52" t="s">
        <v>90</v>
      </c>
      <c r="G22" s="53">
        <v>0</v>
      </c>
      <c r="H22" s="52" t="s">
        <v>62</v>
      </c>
      <c r="I22" s="52">
        <f>I16</f>
        <v>37990</v>
      </c>
      <c r="J22" s="52" t="str">
        <f>J16&amp;"     "</f>
        <v xml:space="preserve">$     </v>
      </c>
      <c r="K22" s="52" t="str">
        <f>K16&amp;"     "</f>
        <v xml:space="preserve">Nuevo     </v>
      </c>
      <c r="L22" s="52" t="str">
        <f>L16&amp;"     "</f>
        <v xml:space="preserve">Mercado Envíos gratis     </v>
      </c>
      <c r="M22" s="52" t="str">
        <f>M16&amp;"     "</f>
        <v xml:space="preserve">Clásica     </v>
      </c>
      <c r="N22" s="52" t="str">
        <f ca="1">N16</f>
        <v>14%</v>
      </c>
      <c r="O22" s="52" t="str">
        <f>O16&amp;"     "</f>
        <v xml:space="preserve">Activa     </v>
      </c>
    </row>
    <row r="23" spans="1:15" ht="49.95" customHeight="1">
      <c r="A23" s="52" t="s">
        <v>24</v>
      </c>
      <c r="B23" s="52" t="s">
        <v>102</v>
      </c>
      <c r="C23" s="52"/>
      <c r="D23" s="52"/>
      <c r="E23" s="52" t="s">
        <v>103</v>
      </c>
      <c r="F23" s="52" t="s">
        <v>62</v>
      </c>
      <c r="G23" s="52" t="s">
        <v>104</v>
      </c>
      <c r="H23" s="52" t="s">
        <v>62</v>
      </c>
      <c r="I23" s="53">
        <v>59990</v>
      </c>
      <c r="J23" s="53" t="s">
        <v>63</v>
      </c>
      <c r="K23" s="53" t="s">
        <v>64</v>
      </c>
      <c r="L23" s="53" t="s">
        <v>65</v>
      </c>
      <c r="M23" s="53" t="s">
        <v>66</v>
      </c>
      <c r="N23" s="52" t="str">
        <f ca="1">IF(INDIRECT("M23")="Clásica","14%",IF(INDIRECT("M23")="Premium","18%","-"))</f>
        <v>14%</v>
      </c>
      <c r="O23" s="53" t="s">
        <v>67</v>
      </c>
    </row>
    <row r="24" spans="1:15" ht="49.95" customHeight="1">
      <c r="A24" s="52" t="s">
        <v>24</v>
      </c>
      <c r="B24" s="52" t="s">
        <v>102</v>
      </c>
      <c r="C24" s="52" t="s">
        <v>105</v>
      </c>
      <c r="D24" s="52" t="s">
        <v>105</v>
      </c>
      <c r="E24" s="54" t="str">
        <f>"     "&amp;E23</f>
        <v xml:space="preserve">     Manillas Palancas Yamaha Yzf R3 R3a R 3 Logo Colores</v>
      </c>
      <c r="F24" s="52" t="s">
        <v>84</v>
      </c>
      <c r="G24" s="53">
        <v>1</v>
      </c>
      <c r="H24" s="52" t="s">
        <v>62</v>
      </c>
      <c r="I24" s="52">
        <f>I23</f>
        <v>59990</v>
      </c>
      <c r="J24" s="52" t="str">
        <f>J23&amp;"     "</f>
        <v xml:space="preserve">$     </v>
      </c>
      <c r="K24" s="52" t="str">
        <f>K23&amp;"     "</f>
        <v xml:space="preserve">Nuevo     </v>
      </c>
      <c r="L24" s="52" t="str">
        <f>L23&amp;"     "</f>
        <v xml:space="preserve">Mercado Envíos gratis     </v>
      </c>
      <c r="M24" s="52" t="str">
        <f>M23&amp;"     "</f>
        <v xml:space="preserve">Clásica     </v>
      </c>
      <c r="N24" s="52" t="str">
        <f ca="1">N23</f>
        <v>14%</v>
      </c>
      <c r="O24" s="52" t="str">
        <f>O23&amp;"     "</f>
        <v xml:space="preserve">Activa     </v>
      </c>
    </row>
    <row r="25" spans="1:15" ht="49.95" customHeight="1">
      <c r="A25" s="52" t="s">
        <v>24</v>
      </c>
      <c r="B25" s="52" t="s">
        <v>102</v>
      </c>
      <c r="C25" s="52" t="s">
        <v>106</v>
      </c>
      <c r="D25" s="52" t="s">
        <v>106</v>
      </c>
      <c r="E25" s="54" t="str">
        <f>"     "&amp;E23</f>
        <v xml:space="preserve">     Manillas Palancas Yamaha Yzf R3 R3a R 3 Logo Colores</v>
      </c>
      <c r="F25" s="52" t="s">
        <v>97</v>
      </c>
      <c r="G25" s="53">
        <v>0</v>
      </c>
      <c r="H25" s="52" t="s">
        <v>62</v>
      </c>
      <c r="I25" s="52">
        <f>I23</f>
        <v>59990</v>
      </c>
      <c r="J25" s="52" t="str">
        <f>J23&amp;"     "</f>
        <v xml:space="preserve">$     </v>
      </c>
      <c r="K25" s="52" t="str">
        <f>K23&amp;"     "</f>
        <v xml:space="preserve">Nuevo     </v>
      </c>
      <c r="L25" s="52" t="str">
        <f>L23&amp;"     "</f>
        <v xml:space="preserve">Mercado Envíos gratis     </v>
      </c>
      <c r="M25" s="52" t="str">
        <f>M23&amp;"     "</f>
        <v xml:space="preserve">Clásica     </v>
      </c>
      <c r="N25" s="52" t="str">
        <f ca="1">N23</f>
        <v>14%</v>
      </c>
      <c r="O25" s="52" t="str">
        <f>O23&amp;"     "</f>
        <v xml:space="preserve">Activa     </v>
      </c>
    </row>
    <row r="26" spans="1:15" ht="49.95" customHeight="1">
      <c r="A26" s="52" t="s">
        <v>24</v>
      </c>
      <c r="B26" s="52" t="s">
        <v>102</v>
      </c>
      <c r="C26" s="52" t="s">
        <v>107</v>
      </c>
      <c r="D26" s="52" t="s">
        <v>107</v>
      </c>
      <c r="E26" s="54" t="str">
        <f>"     "&amp;E23</f>
        <v xml:space="preserve">     Manillas Palancas Yamaha Yzf R3 R3a R 3 Logo Colores</v>
      </c>
      <c r="F26" s="52" t="s">
        <v>86</v>
      </c>
      <c r="G26" s="53">
        <v>1</v>
      </c>
      <c r="H26" s="52" t="s">
        <v>62</v>
      </c>
      <c r="I26" s="52">
        <f>I23</f>
        <v>59990</v>
      </c>
      <c r="J26" s="52" t="str">
        <f>J23&amp;"     "</f>
        <v xml:space="preserve">$     </v>
      </c>
      <c r="K26" s="52" t="str">
        <f>K23&amp;"     "</f>
        <v xml:space="preserve">Nuevo     </v>
      </c>
      <c r="L26" s="52" t="str">
        <f>L23&amp;"     "</f>
        <v xml:space="preserve">Mercado Envíos gratis     </v>
      </c>
      <c r="M26" s="52" t="str">
        <f>M23&amp;"     "</f>
        <v xml:space="preserve">Clásica     </v>
      </c>
      <c r="N26" s="52" t="str">
        <f ca="1">N23</f>
        <v>14%</v>
      </c>
      <c r="O26" s="52" t="str">
        <f>O23&amp;"     "</f>
        <v xml:space="preserve">Activa     </v>
      </c>
    </row>
    <row r="27" spans="1:15" ht="49.95" customHeight="1">
      <c r="A27" s="52" t="s">
        <v>24</v>
      </c>
      <c r="B27" s="52" t="s">
        <v>102</v>
      </c>
      <c r="C27" s="52" t="s">
        <v>108</v>
      </c>
      <c r="D27" s="52" t="s">
        <v>108</v>
      </c>
      <c r="E27" s="54" t="str">
        <f>"     "&amp;E23</f>
        <v xml:space="preserve">     Manillas Palancas Yamaha Yzf R3 R3a R 3 Logo Colores</v>
      </c>
      <c r="F27" s="52" t="s">
        <v>90</v>
      </c>
      <c r="G27" s="53">
        <v>2</v>
      </c>
      <c r="H27" s="52" t="s">
        <v>62</v>
      </c>
      <c r="I27" s="52">
        <f>I23</f>
        <v>59990</v>
      </c>
      <c r="J27" s="52" t="str">
        <f>J23&amp;"     "</f>
        <v xml:space="preserve">$     </v>
      </c>
      <c r="K27" s="52" t="str">
        <f>K23&amp;"     "</f>
        <v xml:space="preserve">Nuevo     </v>
      </c>
      <c r="L27" s="52" t="str">
        <f>L23&amp;"     "</f>
        <v xml:space="preserve">Mercado Envíos gratis     </v>
      </c>
      <c r="M27" s="52" t="str">
        <f>M23&amp;"     "</f>
        <v xml:space="preserve">Clásica     </v>
      </c>
      <c r="N27" s="52" t="str">
        <f ca="1">N23</f>
        <v>14%</v>
      </c>
      <c r="O27" s="52" t="str">
        <f>O23&amp;"     "</f>
        <v xml:space="preserve">Activa     </v>
      </c>
    </row>
    <row r="28" spans="1:15" ht="49.95" customHeight="1">
      <c r="A28" s="52" t="s">
        <v>24</v>
      </c>
      <c r="B28" s="52" t="s">
        <v>102</v>
      </c>
      <c r="C28" s="52" t="s">
        <v>109</v>
      </c>
      <c r="D28" s="52" t="s">
        <v>109</v>
      </c>
      <c r="E28" s="54" t="str">
        <f>"     "&amp;E23</f>
        <v xml:space="preserve">     Manillas Palancas Yamaha Yzf R3 R3a R 3 Logo Colores</v>
      </c>
      <c r="F28" s="52" t="s">
        <v>88</v>
      </c>
      <c r="G28" s="53">
        <v>2</v>
      </c>
      <c r="H28" s="52" t="s">
        <v>62</v>
      </c>
      <c r="I28" s="52">
        <f>I23</f>
        <v>59990</v>
      </c>
      <c r="J28" s="52" t="str">
        <f>J23&amp;"     "</f>
        <v xml:space="preserve">$     </v>
      </c>
      <c r="K28" s="52" t="str">
        <f>K23&amp;"     "</f>
        <v xml:space="preserve">Nuevo     </v>
      </c>
      <c r="L28" s="52" t="str">
        <f>L23&amp;"     "</f>
        <v xml:space="preserve">Mercado Envíos gratis     </v>
      </c>
      <c r="M28" s="52" t="str">
        <f>M23&amp;"     "</f>
        <v xml:space="preserve">Clásica     </v>
      </c>
      <c r="N28" s="52" t="str">
        <f ca="1">N23</f>
        <v>14%</v>
      </c>
      <c r="O28" s="52" t="str">
        <f>O23&amp;"     "</f>
        <v xml:space="preserve">Activa     </v>
      </c>
    </row>
    <row r="29" spans="1:15" ht="49.95" customHeight="1">
      <c r="A29" s="52" t="s">
        <v>24</v>
      </c>
      <c r="B29" s="52" t="s">
        <v>110</v>
      </c>
      <c r="C29" s="52"/>
      <c r="D29" s="52"/>
      <c r="E29" s="52" t="s">
        <v>111</v>
      </c>
      <c r="F29" s="52" t="s">
        <v>62</v>
      </c>
      <c r="G29" s="52" t="s">
        <v>112</v>
      </c>
      <c r="H29" s="52" t="s">
        <v>62</v>
      </c>
      <c r="I29" s="53">
        <v>37990</v>
      </c>
      <c r="J29" s="53" t="s">
        <v>63</v>
      </c>
      <c r="K29" s="53" t="s">
        <v>64</v>
      </c>
      <c r="L29" s="53" t="s">
        <v>65</v>
      </c>
      <c r="M29" s="53" t="s">
        <v>66</v>
      </c>
      <c r="N29" s="52" t="str">
        <f ca="1">IF(INDIRECT("M29")="Clásica","14%",IF(INDIRECT("M29")="Premium","18%","-"))</f>
        <v>14%</v>
      </c>
      <c r="O29" s="53" t="s">
        <v>67</v>
      </c>
    </row>
    <row r="30" spans="1:15" ht="49.95" customHeight="1">
      <c r="A30" s="52" t="s">
        <v>24</v>
      </c>
      <c r="B30" s="52" t="s">
        <v>110</v>
      </c>
      <c r="C30" s="52" t="s">
        <v>113</v>
      </c>
      <c r="D30" s="52" t="s">
        <v>113</v>
      </c>
      <c r="E30" s="54" t="str">
        <f>"     "&amp;E29</f>
        <v xml:space="preserve">     Soporte Patente Fender Cola C/luz Ktm Duke 200 Ng 250 390</v>
      </c>
      <c r="F30" s="52" t="s">
        <v>100</v>
      </c>
      <c r="G30" s="53">
        <v>2</v>
      </c>
      <c r="H30" s="52" t="s">
        <v>62</v>
      </c>
      <c r="I30" s="52">
        <f>I29</f>
        <v>37990</v>
      </c>
      <c r="J30" s="52" t="str">
        <f>J29&amp;"     "</f>
        <v xml:space="preserve">$     </v>
      </c>
      <c r="K30" s="52" t="str">
        <f>K29&amp;"     "</f>
        <v xml:space="preserve">Nuevo     </v>
      </c>
      <c r="L30" s="52" t="str">
        <f>L29&amp;"     "</f>
        <v xml:space="preserve">Mercado Envíos gratis     </v>
      </c>
      <c r="M30" s="52" t="str">
        <f>M29&amp;"     "</f>
        <v xml:space="preserve">Clásica     </v>
      </c>
      <c r="N30" s="52" t="str">
        <f ca="1">N29</f>
        <v>14%</v>
      </c>
      <c r="O30" s="52" t="str">
        <f>O29&amp;"     "</f>
        <v xml:space="preserve">Activa     </v>
      </c>
    </row>
    <row r="31" spans="1:15" ht="49.95" customHeight="1">
      <c r="A31" s="52" t="s">
        <v>24</v>
      </c>
      <c r="B31" s="52" t="s">
        <v>110</v>
      </c>
      <c r="C31" s="52" t="s">
        <v>114</v>
      </c>
      <c r="D31" s="52" t="s">
        <v>114</v>
      </c>
      <c r="E31" s="54" t="str">
        <f>"     "&amp;E29</f>
        <v xml:space="preserve">     Soporte Patente Fender Cola C/luz Ktm Duke 200 Ng 250 390</v>
      </c>
      <c r="F31" s="52" t="s">
        <v>86</v>
      </c>
      <c r="G31" s="53">
        <v>0</v>
      </c>
      <c r="H31" s="52" t="s">
        <v>62</v>
      </c>
      <c r="I31" s="52">
        <f>I29</f>
        <v>37990</v>
      </c>
      <c r="J31" s="52" t="str">
        <f>J29&amp;"     "</f>
        <v xml:space="preserve">$     </v>
      </c>
      <c r="K31" s="52" t="str">
        <f>K29&amp;"     "</f>
        <v xml:space="preserve">Nuevo     </v>
      </c>
      <c r="L31" s="52" t="str">
        <f>L29&amp;"     "</f>
        <v xml:space="preserve">Mercado Envíos gratis     </v>
      </c>
      <c r="M31" s="52" t="str">
        <f>M29&amp;"     "</f>
        <v xml:space="preserve">Clásica     </v>
      </c>
      <c r="N31" s="52" t="str">
        <f ca="1">N29</f>
        <v>14%</v>
      </c>
      <c r="O31" s="52" t="str">
        <f>O29&amp;"     "</f>
        <v xml:space="preserve">Activa     </v>
      </c>
    </row>
    <row r="32" spans="1:15" ht="49.95" customHeight="1">
      <c r="A32" s="52" t="s">
        <v>24</v>
      </c>
      <c r="B32" s="52" t="s">
        <v>115</v>
      </c>
      <c r="C32" s="52"/>
      <c r="D32" s="52"/>
      <c r="E32" s="52" t="s">
        <v>116</v>
      </c>
      <c r="F32" s="52" t="s">
        <v>62</v>
      </c>
      <c r="G32" s="52" t="s">
        <v>70</v>
      </c>
      <c r="H32" s="52" t="s">
        <v>62</v>
      </c>
      <c r="I32" s="53">
        <v>59990</v>
      </c>
      <c r="J32" s="53" t="s">
        <v>63</v>
      </c>
      <c r="K32" s="53" t="s">
        <v>64</v>
      </c>
      <c r="L32" s="53" t="s">
        <v>65</v>
      </c>
      <c r="M32" s="53" t="s">
        <v>66</v>
      </c>
      <c r="N32" s="52" t="str">
        <f ca="1">IF(INDIRECT("M32")="Clásica","14%",IF(INDIRECT("M32")="Premium","18%","-"))</f>
        <v>14%</v>
      </c>
      <c r="O32" s="53" t="s">
        <v>67</v>
      </c>
    </row>
    <row r="33" spans="1:15" ht="49.95" customHeight="1">
      <c r="A33" s="52" t="s">
        <v>24</v>
      </c>
      <c r="B33" s="52" t="s">
        <v>115</v>
      </c>
      <c r="C33" s="52" t="s">
        <v>117</v>
      </c>
      <c r="D33" s="52" t="s">
        <v>117</v>
      </c>
      <c r="E33" s="54" t="str">
        <f>"     "&amp;E32</f>
        <v xml:space="preserve">     Manillas Yamaha Mt 03 Mt03 Mt-03 Logo Colores + E. Gratis</v>
      </c>
      <c r="F33" s="52" t="s">
        <v>84</v>
      </c>
      <c r="G33" s="53">
        <v>2</v>
      </c>
      <c r="H33" s="52" t="s">
        <v>62</v>
      </c>
      <c r="I33" s="52">
        <f>I32</f>
        <v>59990</v>
      </c>
      <c r="J33" s="52" t="str">
        <f>J32&amp;"     "</f>
        <v xml:space="preserve">$     </v>
      </c>
      <c r="K33" s="52" t="str">
        <f>K32&amp;"     "</f>
        <v xml:space="preserve">Nuevo     </v>
      </c>
      <c r="L33" s="52" t="str">
        <f>L32&amp;"     "</f>
        <v xml:space="preserve">Mercado Envíos gratis     </v>
      </c>
      <c r="M33" s="52" t="str">
        <f>M32&amp;"     "</f>
        <v xml:space="preserve">Clásica     </v>
      </c>
      <c r="N33" s="52" t="str">
        <f ca="1">N32</f>
        <v>14%</v>
      </c>
      <c r="O33" s="52" t="str">
        <f>O32&amp;"     "</f>
        <v xml:space="preserve">Activa     </v>
      </c>
    </row>
    <row r="34" spans="1:15" ht="49.95" customHeight="1">
      <c r="A34" s="52" t="s">
        <v>24</v>
      </c>
      <c r="B34" s="52" t="s">
        <v>115</v>
      </c>
      <c r="C34" s="52" t="s">
        <v>118</v>
      </c>
      <c r="D34" s="52" t="s">
        <v>118</v>
      </c>
      <c r="E34" s="54" t="str">
        <f>"     "&amp;E32</f>
        <v xml:space="preserve">     Manillas Yamaha Mt 03 Mt03 Mt-03 Logo Colores + E. Gratis</v>
      </c>
      <c r="F34" s="52" t="s">
        <v>88</v>
      </c>
      <c r="G34" s="53">
        <v>2</v>
      </c>
      <c r="H34" s="52" t="s">
        <v>62</v>
      </c>
      <c r="I34" s="52">
        <f>I32</f>
        <v>59990</v>
      </c>
      <c r="J34" s="52" t="str">
        <f>J32&amp;"     "</f>
        <v xml:space="preserve">$     </v>
      </c>
      <c r="K34" s="52" t="str">
        <f>K32&amp;"     "</f>
        <v xml:space="preserve">Nuevo     </v>
      </c>
      <c r="L34" s="52" t="str">
        <f>L32&amp;"     "</f>
        <v xml:space="preserve">Mercado Envíos gratis     </v>
      </c>
      <c r="M34" s="52" t="str">
        <f>M32&amp;"     "</f>
        <v xml:space="preserve">Clásica     </v>
      </c>
      <c r="N34" s="52" t="str">
        <f ca="1">N32</f>
        <v>14%</v>
      </c>
      <c r="O34" s="52" t="str">
        <f>O32&amp;"     "</f>
        <v xml:space="preserve">Activa     </v>
      </c>
    </row>
    <row r="35" spans="1:15" ht="49.95" customHeight="1">
      <c r="A35" s="52" t="s">
        <v>24</v>
      </c>
      <c r="B35" s="52" t="s">
        <v>115</v>
      </c>
      <c r="C35" s="52" t="s">
        <v>119</v>
      </c>
      <c r="D35" s="52" t="s">
        <v>119</v>
      </c>
      <c r="E35" s="54" t="str">
        <f>"     "&amp;E32</f>
        <v xml:space="preserve">     Manillas Yamaha Mt 03 Mt03 Mt-03 Logo Colores + E. Gratis</v>
      </c>
      <c r="F35" s="52" t="s">
        <v>97</v>
      </c>
      <c r="G35" s="53">
        <v>0</v>
      </c>
      <c r="H35" s="52" t="s">
        <v>62</v>
      </c>
      <c r="I35" s="52">
        <f>I32</f>
        <v>59990</v>
      </c>
      <c r="J35" s="52" t="str">
        <f>J32&amp;"     "</f>
        <v xml:space="preserve">$     </v>
      </c>
      <c r="K35" s="52" t="str">
        <f>K32&amp;"     "</f>
        <v xml:space="preserve">Nuevo     </v>
      </c>
      <c r="L35" s="52" t="str">
        <f>L32&amp;"     "</f>
        <v xml:space="preserve">Mercado Envíos gratis     </v>
      </c>
      <c r="M35" s="52" t="str">
        <f>M32&amp;"     "</f>
        <v xml:space="preserve">Clásica     </v>
      </c>
      <c r="N35" s="52" t="str">
        <f ca="1">N32</f>
        <v>14%</v>
      </c>
      <c r="O35" s="52" t="str">
        <f>O32&amp;"     "</f>
        <v xml:space="preserve">Activa     </v>
      </c>
    </row>
    <row r="36" spans="1:15" ht="49.95" customHeight="1">
      <c r="A36" s="52" t="s">
        <v>24</v>
      </c>
      <c r="B36" s="52" t="s">
        <v>115</v>
      </c>
      <c r="C36" s="52" t="s">
        <v>120</v>
      </c>
      <c r="D36" s="52" t="s">
        <v>120</v>
      </c>
      <c r="E36" s="54" t="str">
        <f>"     "&amp;E32</f>
        <v xml:space="preserve">     Manillas Yamaha Mt 03 Mt03 Mt-03 Logo Colores + E. Gratis</v>
      </c>
      <c r="F36" s="52" t="s">
        <v>86</v>
      </c>
      <c r="G36" s="53">
        <v>2</v>
      </c>
      <c r="H36" s="52" t="s">
        <v>62</v>
      </c>
      <c r="I36" s="52">
        <f>I32</f>
        <v>59990</v>
      </c>
      <c r="J36" s="52" t="str">
        <f>J32&amp;"     "</f>
        <v xml:space="preserve">$     </v>
      </c>
      <c r="K36" s="52" t="str">
        <f>K32&amp;"     "</f>
        <v xml:space="preserve">Nuevo     </v>
      </c>
      <c r="L36" s="52" t="str">
        <f>L32&amp;"     "</f>
        <v xml:space="preserve">Mercado Envíos gratis     </v>
      </c>
      <c r="M36" s="52" t="str">
        <f>M32&amp;"     "</f>
        <v xml:space="preserve">Clásica     </v>
      </c>
      <c r="N36" s="52" t="str">
        <f ca="1">N32</f>
        <v>14%</v>
      </c>
      <c r="O36" s="52" t="str">
        <f>O32&amp;"     "</f>
        <v xml:space="preserve">Activa     </v>
      </c>
    </row>
    <row r="37" spans="1:15" ht="49.95" customHeight="1">
      <c r="A37" s="52" t="s">
        <v>24</v>
      </c>
      <c r="B37" s="52" t="s">
        <v>115</v>
      </c>
      <c r="C37" s="52" t="s">
        <v>121</v>
      </c>
      <c r="D37" s="52" t="s">
        <v>121</v>
      </c>
      <c r="E37" s="54" t="str">
        <f>"     "&amp;E32</f>
        <v xml:space="preserve">     Manillas Yamaha Mt 03 Mt03 Mt-03 Logo Colores + E. Gratis</v>
      </c>
      <c r="F37" s="52" t="s">
        <v>90</v>
      </c>
      <c r="G37" s="53">
        <v>2</v>
      </c>
      <c r="H37" s="52" t="s">
        <v>62</v>
      </c>
      <c r="I37" s="52">
        <f>I32</f>
        <v>59990</v>
      </c>
      <c r="J37" s="52" t="str">
        <f>J32&amp;"     "</f>
        <v xml:space="preserve">$     </v>
      </c>
      <c r="K37" s="52" t="str">
        <f>K32&amp;"     "</f>
        <v xml:space="preserve">Nuevo     </v>
      </c>
      <c r="L37" s="52" t="str">
        <f>L32&amp;"     "</f>
        <v xml:space="preserve">Mercado Envíos gratis     </v>
      </c>
      <c r="M37" s="52" t="str">
        <f>M32&amp;"     "</f>
        <v xml:space="preserve">Clásica     </v>
      </c>
      <c r="N37" s="52" t="str">
        <f ca="1">N32</f>
        <v>14%</v>
      </c>
      <c r="O37" s="52" t="str">
        <f>O32&amp;"     "</f>
        <v xml:space="preserve">Activa     </v>
      </c>
    </row>
    <row r="38" spans="1:15" ht="49.95" customHeight="1">
      <c r="A38" s="52" t="s">
        <v>122</v>
      </c>
      <c r="B38" s="52" t="s">
        <v>123</v>
      </c>
      <c r="C38" s="52" t="s">
        <v>124</v>
      </c>
      <c r="D38" s="52"/>
      <c r="E38" s="52" t="s">
        <v>125</v>
      </c>
      <c r="F38" s="52" t="s">
        <v>125</v>
      </c>
      <c r="G38" s="53">
        <v>2</v>
      </c>
      <c r="H38" s="52" t="s">
        <v>62</v>
      </c>
      <c r="I38" s="53">
        <v>49990</v>
      </c>
      <c r="J38" s="53" t="s">
        <v>63</v>
      </c>
      <c r="K38" s="53" t="s">
        <v>64</v>
      </c>
      <c r="L38" s="53" t="s">
        <v>65</v>
      </c>
      <c r="M38" s="53" t="s">
        <v>66</v>
      </c>
      <c r="N38" s="52" t="str">
        <f ca="1">IF(INDIRECT("M38")="Clásica","14%",IF(INDIRECT("M38")="Premium","18%","-"))</f>
        <v>14%</v>
      </c>
      <c r="O38" s="53" t="s">
        <v>67</v>
      </c>
    </row>
    <row r="39" spans="1:15" ht="49.95" customHeight="1">
      <c r="A39" s="52" t="s">
        <v>24</v>
      </c>
      <c r="B39" s="52" t="s">
        <v>126</v>
      </c>
      <c r="C39" s="52"/>
      <c r="D39" s="52"/>
      <c r="E39" s="52" t="s">
        <v>127</v>
      </c>
      <c r="F39" s="52" t="s">
        <v>62</v>
      </c>
      <c r="G39" s="52" t="s">
        <v>70</v>
      </c>
      <c r="H39" s="52" t="s">
        <v>62</v>
      </c>
      <c r="I39" s="53">
        <v>49990</v>
      </c>
      <c r="J39" s="53" t="s">
        <v>63</v>
      </c>
      <c r="K39" s="53" t="s">
        <v>64</v>
      </c>
      <c r="L39" s="53" t="s">
        <v>65</v>
      </c>
      <c r="M39" s="53" t="s">
        <v>66</v>
      </c>
      <c r="N39" s="52" t="str">
        <f ca="1">IF(INDIRECT("M39")="Clásica","14%",IF(INDIRECT("M39")="Premium","18%","-"))</f>
        <v>14%</v>
      </c>
      <c r="O39" s="53" t="s">
        <v>67</v>
      </c>
    </row>
    <row r="40" spans="1:15" ht="49.95" customHeight="1">
      <c r="A40" s="52" t="s">
        <v>24</v>
      </c>
      <c r="B40" s="52" t="s">
        <v>126</v>
      </c>
      <c r="C40" s="52" t="s">
        <v>128</v>
      </c>
      <c r="D40" s="52" t="s">
        <v>128</v>
      </c>
      <c r="E40" s="54" t="str">
        <f>"     "&amp;E39</f>
        <v xml:space="preserve">     Manillas Palancas Yamaha Fz25 Fz 25 Hasta 2023 Sin Abs Logo</v>
      </c>
      <c r="F40" s="52" t="s">
        <v>84</v>
      </c>
      <c r="G40" s="53">
        <v>2</v>
      </c>
      <c r="H40" s="52" t="s">
        <v>62</v>
      </c>
      <c r="I40" s="52">
        <f>I39</f>
        <v>49990</v>
      </c>
      <c r="J40" s="52" t="str">
        <f>J39&amp;"     "</f>
        <v xml:space="preserve">$     </v>
      </c>
      <c r="K40" s="52" t="str">
        <f>K39&amp;"     "</f>
        <v xml:space="preserve">Nuevo     </v>
      </c>
      <c r="L40" s="52" t="str">
        <f>L39&amp;"     "</f>
        <v xml:space="preserve">Mercado Envíos gratis     </v>
      </c>
      <c r="M40" s="52" t="str">
        <f>M39&amp;"     "</f>
        <v xml:space="preserve">Clásica     </v>
      </c>
      <c r="N40" s="52" t="str">
        <f ca="1">N39</f>
        <v>14%</v>
      </c>
      <c r="O40" s="52" t="str">
        <f>O39&amp;"     "</f>
        <v xml:space="preserve">Activa     </v>
      </c>
    </row>
    <row r="41" spans="1:15" ht="49.95" customHeight="1">
      <c r="A41" s="52" t="s">
        <v>24</v>
      </c>
      <c r="B41" s="52" t="s">
        <v>126</v>
      </c>
      <c r="C41" s="52" t="s">
        <v>129</v>
      </c>
      <c r="D41" s="52" t="s">
        <v>129</v>
      </c>
      <c r="E41" s="54" t="str">
        <f>"     "&amp;E39</f>
        <v xml:space="preserve">     Manillas Palancas Yamaha Fz25 Fz 25 Hasta 2023 Sin Abs Logo</v>
      </c>
      <c r="F41" s="52" t="s">
        <v>97</v>
      </c>
      <c r="G41" s="53">
        <v>2</v>
      </c>
      <c r="H41" s="52" t="s">
        <v>62</v>
      </c>
      <c r="I41" s="52">
        <f>I39</f>
        <v>49990</v>
      </c>
      <c r="J41" s="52" t="str">
        <f>J39&amp;"     "</f>
        <v xml:space="preserve">$     </v>
      </c>
      <c r="K41" s="52" t="str">
        <f>K39&amp;"     "</f>
        <v xml:space="preserve">Nuevo     </v>
      </c>
      <c r="L41" s="52" t="str">
        <f>L39&amp;"     "</f>
        <v xml:space="preserve">Mercado Envíos gratis     </v>
      </c>
      <c r="M41" s="52" t="str">
        <f>M39&amp;"     "</f>
        <v xml:space="preserve">Clásica     </v>
      </c>
      <c r="N41" s="52" t="str">
        <f ca="1">N39</f>
        <v>14%</v>
      </c>
      <c r="O41" s="52" t="str">
        <f>O39&amp;"     "</f>
        <v xml:space="preserve">Activa     </v>
      </c>
    </row>
    <row r="42" spans="1:15" ht="49.95" customHeight="1">
      <c r="A42" s="52" t="s">
        <v>24</v>
      </c>
      <c r="B42" s="52" t="s">
        <v>126</v>
      </c>
      <c r="C42" s="52" t="s">
        <v>130</v>
      </c>
      <c r="D42" s="52" t="s">
        <v>130</v>
      </c>
      <c r="E42" s="54" t="str">
        <f>"     "&amp;E39</f>
        <v xml:space="preserve">     Manillas Palancas Yamaha Fz25 Fz 25 Hasta 2023 Sin Abs Logo</v>
      </c>
      <c r="F42" s="52" t="s">
        <v>90</v>
      </c>
      <c r="G42" s="53">
        <v>2</v>
      </c>
      <c r="H42" s="52" t="s">
        <v>62</v>
      </c>
      <c r="I42" s="52">
        <f>I39</f>
        <v>49990</v>
      </c>
      <c r="J42" s="52" t="str">
        <f>J39&amp;"     "</f>
        <v xml:space="preserve">$     </v>
      </c>
      <c r="K42" s="52" t="str">
        <f>K39&amp;"     "</f>
        <v xml:space="preserve">Nuevo     </v>
      </c>
      <c r="L42" s="52" t="str">
        <f>L39&amp;"     "</f>
        <v xml:space="preserve">Mercado Envíos gratis     </v>
      </c>
      <c r="M42" s="52" t="str">
        <f>M39&amp;"     "</f>
        <v xml:space="preserve">Clásica     </v>
      </c>
      <c r="N42" s="52" t="str">
        <f ca="1">N39</f>
        <v>14%</v>
      </c>
      <c r="O42" s="52" t="str">
        <f>O39&amp;"     "</f>
        <v xml:space="preserve">Activa     </v>
      </c>
    </row>
    <row r="43" spans="1:15" ht="49.95" customHeight="1">
      <c r="A43" s="52" t="s">
        <v>24</v>
      </c>
      <c r="B43" s="52" t="s">
        <v>126</v>
      </c>
      <c r="C43" s="52" t="s">
        <v>131</v>
      </c>
      <c r="D43" s="52" t="s">
        <v>131</v>
      </c>
      <c r="E43" s="54" t="str">
        <f>"     "&amp;E39</f>
        <v xml:space="preserve">     Manillas Palancas Yamaha Fz25 Fz 25 Hasta 2023 Sin Abs Logo</v>
      </c>
      <c r="F43" s="52" t="s">
        <v>86</v>
      </c>
      <c r="G43" s="53">
        <v>2</v>
      </c>
      <c r="H43" s="52" t="s">
        <v>62</v>
      </c>
      <c r="I43" s="52">
        <f>I39</f>
        <v>49990</v>
      </c>
      <c r="J43" s="52" t="str">
        <f>J39&amp;"     "</f>
        <v xml:space="preserve">$     </v>
      </c>
      <c r="K43" s="52" t="str">
        <f>K39&amp;"     "</f>
        <v xml:space="preserve">Nuevo     </v>
      </c>
      <c r="L43" s="52" t="str">
        <f>L39&amp;"     "</f>
        <v xml:space="preserve">Mercado Envíos gratis     </v>
      </c>
      <c r="M43" s="52" t="str">
        <f>M39&amp;"     "</f>
        <v xml:space="preserve">Clásica     </v>
      </c>
      <c r="N43" s="52" t="str">
        <f ca="1">N39</f>
        <v>14%</v>
      </c>
      <c r="O43" s="52" t="str">
        <f>O39&amp;"     "</f>
        <v xml:space="preserve">Activa     </v>
      </c>
    </row>
    <row r="44" spans="1:15" ht="49.95" customHeight="1">
      <c r="A44" s="52" t="s">
        <v>24</v>
      </c>
      <c r="B44" s="52" t="s">
        <v>132</v>
      </c>
      <c r="C44" s="52"/>
      <c r="D44" s="52"/>
      <c r="E44" s="52" t="s">
        <v>133</v>
      </c>
      <c r="F44" s="52" t="s">
        <v>62</v>
      </c>
      <c r="G44" s="52" t="s">
        <v>112</v>
      </c>
      <c r="H44" s="52" t="s">
        <v>62</v>
      </c>
      <c r="I44" s="53">
        <v>76990</v>
      </c>
      <c r="J44" s="53" t="s">
        <v>63</v>
      </c>
      <c r="K44" s="53" t="s">
        <v>64</v>
      </c>
      <c r="L44" s="53" t="s">
        <v>65</v>
      </c>
      <c r="M44" s="53" t="s">
        <v>66</v>
      </c>
      <c r="N44" s="52" t="str">
        <f ca="1">IF(INDIRECT("M44")="Clásica","14%",IF(INDIRECT("M44")="Premium","18%","-"))</f>
        <v>14%</v>
      </c>
      <c r="O44" s="53" t="s">
        <v>67</v>
      </c>
    </row>
    <row r="45" spans="1:15" ht="49.95" customHeight="1">
      <c r="A45" s="52" t="s">
        <v>24</v>
      </c>
      <c r="B45" s="52" t="s">
        <v>132</v>
      </c>
      <c r="C45" s="52" t="s">
        <v>134</v>
      </c>
      <c r="D45" s="52" t="s">
        <v>134</v>
      </c>
      <c r="E45" s="54" t="str">
        <f>"     "&amp;E44</f>
        <v xml:space="preserve">     Colín Monoplaza Deportivo Yamaha R3 R3a R 3 A Mt03 Mt 03</v>
      </c>
      <c r="F45" s="52" t="s">
        <v>90</v>
      </c>
      <c r="G45" s="53">
        <v>1</v>
      </c>
      <c r="H45" s="52" t="s">
        <v>62</v>
      </c>
      <c r="I45" s="52">
        <f>I44</f>
        <v>76990</v>
      </c>
      <c r="J45" s="52" t="str">
        <f>J44&amp;"     "</f>
        <v xml:space="preserve">$     </v>
      </c>
      <c r="K45" s="52" t="str">
        <f>K44&amp;"     "</f>
        <v xml:space="preserve">Nuevo     </v>
      </c>
      <c r="L45" s="52" t="str">
        <f>L44&amp;"     "</f>
        <v xml:space="preserve">Mercado Envíos gratis     </v>
      </c>
      <c r="M45" s="52" t="str">
        <f>M44&amp;"     "</f>
        <v xml:space="preserve">Clásica     </v>
      </c>
      <c r="N45" s="52" t="str">
        <f ca="1">N44</f>
        <v>14%</v>
      </c>
      <c r="O45" s="52" t="str">
        <f>O44&amp;"     "</f>
        <v xml:space="preserve">Activa     </v>
      </c>
    </row>
    <row r="46" spans="1:15" ht="49.95" customHeight="1">
      <c r="A46" s="52" t="s">
        <v>24</v>
      </c>
      <c r="B46" s="52" t="s">
        <v>132</v>
      </c>
      <c r="C46" s="52" t="s">
        <v>135</v>
      </c>
      <c r="D46" s="52" t="s">
        <v>135</v>
      </c>
      <c r="E46" s="54" t="str">
        <f>"     "&amp;E44</f>
        <v xml:space="preserve">     Colín Monoplaza Deportivo Yamaha R3 R3a R 3 A Mt03 Mt 03</v>
      </c>
      <c r="F46" s="52" t="s">
        <v>86</v>
      </c>
      <c r="G46" s="53">
        <v>1</v>
      </c>
      <c r="H46" s="52" t="s">
        <v>62</v>
      </c>
      <c r="I46" s="52">
        <f>I44</f>
        <v>76990</v>
      </c>
      <c r="J46" s="52" t="str">
        <f>J44&amp;"     "</f>
        <v xml:space="preserve">$     </v>
      </c>
      <c r="K46" s="52" t="str">
        <f>K44&amp;"     "</f>
        <v xml:space="preserve">Nuevo     </v>
      </c>
      <c r="L46" s="52" t="str">
        <f>L44&amp;"     "</f>
        <v xml:space="preserve">Mercado Envíos gratis     </v>
      </c>
      <c r="M46" s="52" t="str">
        <f>M44&amp;"     "</f>
        <v xml:space="preserve">Clásica     </v>
      </c>
      <c r="N46" s="52" t="str">
        <f ca="1">N44</f>
        <v>14%</v>
      </c>
      <c r="O46" s="52" t="str">
        <f>O44&amp;"     "</f>
        <v xml:space="preserve">Activa     </v>
      </c>
    </row>
    <row r="47" spans="1:15" ht="49.95" customHeight="1">
      <c r="A47" s="52" t="s">
        <v>24</v>
      </c>
      <c r="B47" s="52" t="s">
        <v>132</v>
      </c>
      <c r="C47" s="52" t="s">
        <v>136</v>
      </c>
      <c r="D47" s="52" t="s">
        <v>136</v>
      </c>
      <c r="E47" s="54" t="str">
        <f>"     "&amp;E44</f>
        <v xml:space="preserve">     Colín Monoplaza Deportivo Yamaha R3 R3a R 3 A Mt03 Mt 03</v>
      </c>
      <c r="F47" s="52" t="s">
        <v>137</v>
      </c>
      <c r="G47" s="53">
        <v>0</v>
      </c>
      <c r="H47" s="52" t="s">
        <v>62</v>
      </c>
      <c r="I47" s="52">
        <f>I44</f>
        <v>76990</v>
      </c>
      <c r="J47" s="52" t="str">
        <f>J44&amp;"     "</f>
        <v xml:space="preserve">$     </v>
      </c>
      <c r="K47" s="52" t="str">
        <f>K44&amp;"     "</f>
        <v xml:space="preserve">Nuevo     </v>
      </c>
      <c r="L47" s="52" t="str">
        <f>L44&amp;"     "</f>
        <v xml:space="preserve">Mercado Envíos gratis     </v>
      </c>
      <c r="M47" s="52" t="str">
        <f>M44&amp;"     "</f>
        <v xml:space="preserve">Clásica     </v>
      </c>
      <c r="N47" s="52" t="str">
        <f ca="1">N44</f>
        <v>14%</v>
      </c>
      <c r="O47" s="52" t="str">
        <f>O44&amp;"     "</f>
        <v xml:space="preserve">Activa     </v>
      </c>
    </row>
    <row r="48" spans="1:15" ht="49.95" customHeight="1">
      <c r="A48" s="52" t="s">
        <v>24</v>
      </c>
      <c r="B48" s="52" t="s">
        <v>132</v>
      </c>
      <c r="C48" s="52" t="s">
        <v>138</v>
      </c>
      <c r="D48" s="52" t="s">
        <v>138</v>
      </c>
      <c r="E48" s="54" t="str">
        <f>"     "&amp;E44</f>
        <v xml:space="preserve">     Colín Monoplaza Deportivo Yamaha R3 R3a R 3 A Mt03 Mt 03</v>
      </c>
      <c r="F48" s="52" t="s">
        <v>84</v>
      </c>
      <c r="G48" s="53">
        <v>0</v>
      </c>
      <c r="H48" s="52" t="s">
        <v>62</v>
      </c>
      <c r="I48" s="52">
        <f>I44</f>
        <v>76990</v>
      </c>
      <c r="J48" s="52" t="str">
        <f>J44&amp;"     "</f>
        <v xml:space="preserve">$     </v>
      </c>
      <c r="K48" s="52" t="str">
        <f>K44&amp;"     "</f>
        <v xml:space="preserve">Nuevo     </v>
      </c>
      <c r="L48" s="52" t="str">
        <f>L44&amp;"     "</f>
        <v xml:space="preserve">Mercado Envíos gratis     </v>
      </c>
      <c r="M48" s="52" t="str">
        <f>M44&amp;"     "</f>
        <v xml:space="preserve">Clásica     </v>
      </c>
      <c r="N48" s="52" t="str">
        <f ca="1">N44</f>
        <v>14%</v>
      </c>
      <c r="O48" s="52" t="str">
        <f>O44&amp;"     "</f>
        <v xml:space="preserve">Activa     </v>
      </c>
    </row>
    <row r="49" spans="1:15" ht="49.95" customHeight="1">
      <c r="A49" s="52" t="s">
        <v>24</v>
      </c>
      <c r="B49" s="52" t="s">
        <v>132</v>
      </c>
      <c r="C49" s="52" t="s">
        <v>139</v>
      </c>
      <c r="D49" s="52" t="s">
        <v>139</v>
      </c>
      <c r="E49" s="54" t="str">
        <f>"     "&amp;E44</f>
        <v xml:space="preserve">     Colín Monoplaza Deportivo Yamaha R3 R3a R 3 A Mt03 Mt 03</v>
      </c>
      <c r="F49" s="52" t="s">
        <v>140</v>
      </c>
      <c r="G49" s="53">
        <v>0</v>
      </c>
      <c r="H49" s="52" t="s">
        <v>62</v>
      </c>
      <c r="I49" s="52">
        <f>I44</f>
        <v>76990</v>
      </c>
      <c r="J49" s="52" t="str">
        <f>J44&amp;"     "</f>
        <v xml:space="preserve">$     </v>
      </c>
      <c r="K49" s="52" t="str">
        <f>K44&amp;"     "</f>
        <v xml:space="preserve">Nuevo     </v>
      </c>
      <c r="L49" s="52" t="str">
        <f>L44&amp;"     "</f>
        <v xml:space="preserve">Mercado Envíos gratis     </v>
      </c>
      <c r="M49" s="52" t="str">
        <f>M44&amp;"     "</f>
        <v xml:space="preserve">Clásica     </v>
      </c>
      <c r="N49" s="52" t="str">
        <f ca="1">N44</f>
        <v>14%</v>
      </c>
      <c r="O49" s="52" t="str">
        <f>O44&amp;"     "</f>
        <v xml:space="preserve">Activa     </v>
      </c>
    </row>
    <row r="50" spans="1:15" ht="49.95" customHeight="1">
      <c r="A50" s="52" t="s">
        <v>24</v>
      </c>
      <c r="B50" s="52" t="s">
        <v>141</v>
      </c>
      <c r="C50" s="52"/>
      <c r="D50" s="52"/>
      <c r="E50" s="52" t="s">
        <v>142</v>
      </c>
      <c r="F50" s="52" t="s">
        <v>62</v>
      </c>
      <c r="G50" s="52" t="s">
        <v>143</v>
      </c>
      <c r="H50" s="52" t="s">
        <v>62</v>
      </c>
      <c r="I50" s="53">
        <v>39990</v>
      </c>
      <c r="J50" s="53" t="s">
        <v>63</v>
      </c>
      <c r="K50" s="53" t="s">
        <v>64</v>
      </c>
      <c r="L50" s="53" t="s">
        <v>65</v>
      </c>
      <c r="M50" s="53" t="s">
        <v>66</v>
      </c>
      <c r="N50" s="52" t="str">
        <f ca="1">IF(INDIRECT("M50")="Clásica","14%",IF(INDIRECT("M50")="Premium","18%","-"))</f>
        <v>14%</v>
      </c>
      <c r="O50" s="53" t="s">
        <v>67</v>
      </c>
    </row>
    <row r="51" spans="1:15" ht="49.95" customHeight="1">
      <c r="A51" s="52" t="s">
        <v>24</v>
      </c>
      <c r="B51" s="52" t="s">
        <v>141</v>
      </c>
      <c r="C51" s="52" t="s">
        <v>144</v>
      </c>
      <c r="D51" s="52" t="s">
        <v>144</v>
      </c>
      <c r="E51" s="54" t="str">
        <f>"     "&amp;E50</f>
        <v xml:space="preserve">     Protector Radiador Cubre Yamaha R3 R3a R 3 A Base Negra</v>
      </c>
      <c r="F51" s="52" t="s">
        <v>86</v>
      </c>
      <c r="G51" s="53">
        <v>2</v>
      </c>
      <c r="H51" s="52" t="s">
        <v>62</v>
      </c>
      <c r="I51" s="52">
        <f>I50</f>
        <v>39990</v>
      </c>
      <c r="J51" s="52" t="str">
        <f>J50&amp;"     "</f>
        <v xml:space="preserve">$     </v>
      </c>
      <c r="K51" s="52" t="str">
        <f>K50&amp;"     "</f>
        <v xml:space="preserve">Nuevo     </v>
      </c>
      <c r="L51" s="52" t="str">
        <f>L50&amp;"     "</f>
        <v xml:space="preserve">Mercado Envíos gratis     </v>
      </c>
      <c r="M51" s="52" t="str">
        <f>M50&amp;"     "</f>
        <v xml:space="preserve">Clásica     </v>
      </c>
      <c r="N51" s="52" t="str">
        <f ca="1">N50</f>
        <v>14%</v>
      </c>
      <c r="O51" s="52" t="str">
        <f>O50&amp;"     "</f>
        <v xml:space="preserve">Activa     </v>
      </c>
    </row>
    <row r="52" spans="1:15" ht="49.95" customHeight="1">
      <c r="A52" s="52" t="s">
        <v>24</v>
      </c>
      <c r="B52" s="52" t="s">
        <v>141</v>
      </c>
      <c r="C52" s="52" t="s">
        <v>145</v>
      </c>
      <c r="D52" s="52" t="s">
        <v>145</v>
      </c>
      <c r="E52" s="54" t="str">
        <f>"     "&amp;E50</f>
        <v xml:space="preserve">     Protector Radiador Cubre Yamaha R3 R3a R 3 A Base Negra</v>
      </c>
      <c r="F52" s="52" t="s">
        <v>88</v>
      </c>
      <c r="G52" s="53">
        <v>2</v>
      </c>
      <c r="H52" s="52" t="s">
        <v>62</v>
      </c>
      <c r="I52" s="52">
        <f>I50</f>
        <v>39990</v>
      </c>
      <c r="J52" s="52" t="str">
        <f>J50&amp;"     "</f>
        <v xml:space="preserve">$     </v>
      </c>
      <c r="K52" s="52" t="str">
        <f>K50&amp;"     "</f>
        <v xml:space="preserve">Nuevo     </v>
      </c>
      <c r="L52" s="52" t="str">
        <f>L50&amp;"     "</f>
        <v xml:space="preserve">Mercado Envíos gratis     </v>
      </c>
      <c r="M52" s="52" t="str">
        <f>M50&amp;"     "</f>
        <v xml:space="preserve">Clásica     </v>
      </c>
      <c r="N52" s="52" t="str">
        <f ca="1">N50</f>
        <v>14%</v>
      </c>
      <c r="O52" s="52" t="str">
        <f>O50&amp;"     "</f>
        <v xml:space="preserve">Activa     </v>
      </c>
    </row>
    <row r="53" spans="1:15" ht="49.95" customHeight="1">
      <c r="A53" s="52" t="s">
        <v>24</v>
      </c>
      <c r="B53" s="52" t="s">
        <v>141</v>
      </c>
      <c r="C53" s="52" t="s">
        <v>146</v>
      </c>
      <c r="D53" s="52" t="s">
        <v>146</v>
      </c>
      <c r="E53" s="54" t="str">
        <f>"     "&amp;E50</f>
        <v xml:space="preserve">     Protector Radiador Cubre Yamaha R3 R3a R 3 A Base Negra</v>
      </c>
      <c r="F53" s="52" t="s">
        <v>84</v>
      </c>
      <c r="G53" s="53">
        <v>0</v>
      </c>
      <c r="H53" s="52" t="s">
        <v>62</v>
      </c>
      <c r="I53" s="52">
        <f>I50</f>
        <v>39990</v>
      </c>
      <c r="J53" s="52" t="str">
        <f>J50&amp;"     "</f>
        <v xml:space="preserve">$     </v>
      </c>
      <c r="K53" s="52" t="str">
        <f>K50&amp;"     "</f>
        <v xml:space="preserve">Nuevo     </v>
      </c>
      <c r="L53" s="52" t="str">
        <f>L50&amp;"     "</f>
        <v xml:space="preserve">Mercado Envíos gratis     </v>
      </c>
      <c r="M53" s="52" t="str">
        <f>M50&amp;"     "</f>
        <v xml:space="preserve">Clásica     </v>
      </c>
      <c r="N53" s="52" t="str">
        <f ca="1">N50</f>
        <v>14%</v>
      </c>
      <c r="O53" s="52" t="str">
        <f>O50&amp;"     "</f>
        <v xml:space="preserve">Activa     </v>
      </c>
    </row>
    <row r="54" spans="1:15" ht="49.95" customHeight="1">
      <c r="A54" s="52" t="s">
        <v>147</v>
      </c>
      <c r="B54" s="52" t="s">
        <v>148</v>
      </c>
      <c r="C54" s="52" t="s">
        <v>149</v>
      </c>
      <c r="D54" s="52"/>
      <c r="E54" s="52" t="s">
        <v>150</v>
      </c>
      <c r="F54" s="52" t="s">
        <v>150</v>
      </c>
      <c r="G54" s="53">
        <v>2</v>
      </c>
      <c r="H54" s="52" t="s">
        <v>62</v>
      </c>
      <c r="I54" s="53">
        <v>54990</v>
      </c>
      <c r="J54" s="53" t="s">
        <v>63</v>
      </c>
      <c r="K54" s="53" t="s">
        <v>64</v>
      </c>
      <c r="L54" s="53" t="s">
        <v>65</v>
      </c>
      <c r="M54" s="53" t="s">
        <v>66</v>
      </c>
      <c r="N54" s="52" t="str">
        <f ca="1">IF(INDIRECT("M54")="Clásica","15%",IF(INDIRECT("M54")="Premium","19%","-"))</f>
        <v>15%</v>
      </c>
      <c r="O54" s="53" t="s">
        <v>67</v>
      </c>
    </row>
    <row r="55" spans="1:15" ht="49.95" customHeight="1">
      <c r="A55" s="52" t="s">
        <v>24</v>
      </c>
      <c r="B55" s="52" t="s">
        <v>151</v>
      </c>
      <c r="C55" s="52"/>
      <c r="D55" s="52"/>
      <c r="E55" s="52" t="s">
        <v>152</v>
      </c>
      <c r="F55" s="52" t="s">
        <v>62</v>
      </c>
      <c r="G55" s="52" t="s">
        <v>93</v>
      </c>
      <c r="H55" s="52" t="s">
        <v>62</v>
      </c>
      <c r="I55" s="53">
        <v>79990</v>
      </c>
      <c r="J55" s="53" t="s">
        <v>63</v>
      </c>
      <c r="K55" s="53" t="s">
        <v>64</v>
      </c>
      <c r="L55" s="53" t="s">
        <v>65</v>
      </c>
      <c r="M55" s="53" t="s">
        <v>66</v>
      </c>
      <c r="N55" s="52" t="str">
        <f ca="1">IF(INDIRECT("M55")="Clásica","15%",IF(INDIRECT("M55")="Premium","19%","-"))</f>
        <v>15%</v>
      </c>
      <c r="O55" s="53" t="s">
        <v>67</v>
      </c>
    </row>
    <row r="56" spans="1:15" ht="49.95" customHeight="1">
      <c r="A56" s="52" t="s">
        <v>24</v>
      </c>
      <c r="B56" s="52" t="s">
        <v>151</v>
      </c>
      <c r="C56" s="52" t="s">
        <v>153</v>
      </c>
      <c r="D56" s="52" t="s">
        <v>153</v>
      </c>
      <c r="E56" s="54" t="str">
        <f>"     "&amp;E55</f>
        <v xml:space="preserve">     Cúpula Parabrisas Universal Manubrio Fz25 Mt03 Z400 Duke Gsx</v>
      </c>
      <c r="F56" s="52" t="s">
        <v>86</v>
      </c>
      <c r="G56" s="53">
        <v>1</v>
      </c>
      <c r="H56" s="52" t="s">
        <v>62</v>
      </c>
      <c r="I56" s="52">
        <f>I55</f>
        <v>79990</v>
      </c>
      <c r="J56" s="52" t="str">
        <f>J55&amp;"     "</f>
        <v xml:space="preserve">$     </v>
      </c>
      <c r="K56" s="52" t="str">
        <f>K55&amp;"     "</f>
        <v xml:space="preserve">Nuevo     </v>
      </c>
      <c r="L56" s="52" t="str">
        <f>L55&amp;"     "</f>
        <v xml:space="preserve">Mercado Envíos gratis     </v>
      </c>
      <c r="M56" s="52" t="str">
        <f>M55&amp;"     "</f>
        <v xml:space="preserve">Clásica     </v>
      </c>
      <c r="N56" s="52" t="str">
        <f ca="1">N55</f>
        <v>15%</v>
      </c>
      <c r="O56" s="52" t="str">
        <f>O55&amp;"     "</f>
        <v xml:space="preserve">Activa     </v>
      </c>
    </row>
    <row r="57" spans="1:15" ht="49.95" customHeight="1">
      <c r="A57" s="52" t="s">
        <v>24</v>
      </c>
      <c r="B57" s="52" t="s">
        <v>151</v>
      </c>
      <c r="C57" s="52" t="s">
        <v>154</v>
      </c>
      <c r="D57" s="52" t="s">
        <v>154</v>
      </c>
      <c r="E57" s="54" t="str">
        <f>"     "&amp;E55</f>
        <v xml:space="preserve">     Cúpula Parabrisas Universal Manubrio Fz25 Mt03 Z400 Duke Gsx</v>
      </c>
      <c r="F57" s="52" t="s">
        <v>73</v>
      </c>
      <c r="G57" s="53">
        <v>2</v>
      </c>
      <c r="H57" s="52" t="s">
        <v>62</v>
      </c>
      <c r="I57" s="52">
        <f>I55</f>
        <v>79990</v>
      </c>
      <c r="J57" s="52" t="str">
        <f>J55&amp;"     "</f>
        <v xml:space="preserve">$     </v>
      </c>
      <c r="K57" s="52" t="str">
        <f>K55&amp;"     "</f>
        <v xml:space="preserve">Nuevo     </v>
      </c>
      <c r="L57" s="52" t="str">
        <f>L55&amp;"     "</f>
        <v xml:space="preserve">Mercado Envíos gratis     </v>
      </c>
      <c r="M57" s="52" t="str">
        <f>M55&amp;"     "</f>
        <v xml:space="preserve">Clásica     </v>
      </c>
      <c r="N57" s="52" t="str">
        <f ca="1">N55</f>
        <v>15%</v>
      </c>
      <c r="O57" s="52" t="str">
        <f>O55&amp;"     "</f>
        <v xml:space="preserve">Activa     </v>
      </c>
    </row>
    <row r="58" spans="1:15" ht="49.95" customHeight="1">
      <c r="A58" s="52" t="s">
        <v>24</v>
      </c>
      <c r="B58" s="52" t="s">
        <v>151</v>
      </c>
      <c r="C58" s="52" t="s">
        <v>155</v>
      </c>
      <c r="D58" s="52" t="s">
        <v>155</v>
      </c>
      <c r="E58" s="54" t="str">
        <f>"     "&amp;E55</f>
        <v xml:space="preserve">     Cúpula Parabrisas Universal Manubrio Fz25 Mt03 Z400 Duke Gsx</v>
      </c>
      <c r="F58" s="52" t="s">
        <v>75</v>
      </c>
      <c r="G58" s="53">
        <v>2</v>
      </c>
      <c r="H58" s="52" t="s">
        <v>62</v>
      </c>
      <c r="I58" s="52">
        <f>I55</f>
        <v>79990</v>
      </c>
      <c r="J58" s="52" t="str">
        <f>J55&amp;"     "</f>
        <v xml:space="preserve">$     </v>
      </c>
      <c r="K58" s="52" t="str">
        <f>K55&amp;"     "</f>
        <v xml:space="preserve">Nuevo     </v>
      </c>
      <c r="L58" s="52" t="str">
        <f>L55&amp;"     "</f>
        <v xml:space="preserve">Mercado Envíos gratis     </v>
      </c>
      <c r="M58" s="52" t="str">
        <f>M55&amp;"     "</f>
        <v xml:space="preserve">Clásica     </v>
      </c>
      <c r="N58" s="52" t="str">
        <f ca="1">N55</f>
        <v>15%</v>
      </c>
      <c r="O58" s="52" t="str">
        <f>O55&amp;"     "</f>
        <v xml:space="preserve">Activa     </v>
      </c>
    </row>
    <row r="59" spans="1:15" ht="49.95" customHeight="1">
      <c r="A59" s="52" t="s">
        <v>24</v>
      </c>
      <c r="B59" s="52" t="s">
        <v>156</v>
      </c>
      <c r="C59" s="52"/>
      <c r="D59" s="52"/>
      <c r="E59" s="52" t="s">
        <v>157</v>
      </c>
      <c r="F59" s="52" t="s">
        <v>62</v>
      </c>
      <c r="G59" s="52" t="s">
        <v>143</v>
      </c>
      <c r="H59" s="52" t="s">
        <v>62</v>
      </c>
      <c r="I59" s="53">
        <v>17990</v>
      </c>
      <c r="J59" s="53" t="s">
        <v>63</v>
      </c>
      <c r="K59" s="53" t="s">
        <v>64</v>
      </c>
      <c r="L59" s="52" t="s">
        <v>158</v>
      </c>
      <c r="M59" s="53" t="s">
        <v>66</v>
      </c>
      <c r="N59" s="52" t="str">
        <f ca="1">IF(INDIRECT("M59")="Clásica","14%",IF(INDIRECT("M59")="Premium","18%","-"))</f>
        <v>14%</v>
      </c>
      <c r="O59" s="53" t="s">
        <v>67</v>
      </c>
    </row>
    <row r="60" spans="1:15" ht="49.95" customHeight="1">
      <c r="A60" s="52" t="s">
        <v>24</v>
      </c>
      <c r="B60" s="52" t="s">
        <v>156</v>
      </c>
      <c r="C60" s="52" t="s">
        <v>159</v>
      </c>
      <c r="D60" s="52" t="s">
        <v>159</v>
      </c>
      <c r="E60" s="54" t="str">
        <f>"     "&amp;E59</f>
        <v xml:space="preserve">     Spools Carretes Soporte Caballete Yamaha Yzf R25 R3 R6 R7 R1</v>
      </c>
      <c r="F60" s="52" t="s">
        <v>84</v>
      </c>
      <c r="G60" s="53">
        <v>2</v>
      </c>
      <c r="H60" s="52" t="s">
        <v>62</v>
      </c>
      <c r="I60" s="52">
        <f>I59</f>
        <v>17990</v>
      </c>
      <c r="J60" s="52" t="str">
        <f>J59&amp;"     "</f>
        <v xml:space="preserve">$     </v>
      </c>
      <c r="K60" s="52" t="str">
        <f>K59&amp;"     "</f>
        <v xml:space="preserve">Nuevo     </v>
      </c>
      <c r="L60" s="52" t="str">
        <f>L59&amp;"     "</f>
        <v xml:space="preserve">No disponible     </v>
      </c>
      <c r="M60" s="52" t="str">
        <f>M59&amp;"     "</f>
        <v xml:space="preserve">Clásica     </v>
      </c>
      <c r="N60" s="52" t="str">
        <f ca="1">N59</f>
        <v>14%</v>
      </c>
      <c r="O60" s="52" t="str">
        <f>O59&amp;"     "</f>
        <v xml:space="preserve">Activa     </v>
      </c>
    </row>
    <row r="61" spans="1:15" ht="49.95" customHeight="1">
      <c r="A61" s="52" t="s">
        <v>24</v>
      </c>
      <c r="B61" s="52" t="s">
        <v>156</v>
      </c>
      <c r="C61" s="52" t="s">
        <v>160</v>
      </c>
      <c r="D61" s="52" t="s">
        <v>160</v>
      </c>
      <c r="E61" s="54" t="str">
        <f>"     "&amp;E59</f>
        <v xml:space="preserve">     Spools Carretes Soporte Caballete Yamaha Yzf R25 R3 R6 R7 R1</v>
      </c>
      <c r="F61" s="52" t="s">
        <v>86</v>
      </c>
      <c r="G61" s="53">
        <v>2</v>
      </c>
      <c r="H61" s="52" t="s">
        <v>62</v>
      </c>
      <c r="I61" s="52">
        <f>I59</f>
        <v>17990</v>
      </c>
      <c r="J61" s="52" t="str">
        <f>J59&amp;"     "</f>
        <v xml:space="preserve">$     </v>
      </c>
      <c r="K61" s="52" t="str">
        <f>K59&amp;"     "</f>
        <v xml:space="preserve">Nuevo     </v>
      </c>
      <c r="L61" s="52" t="str">
        <f>L59&amp;"     "</f>
        <v xml:space="preserve">No disponible     </v>
      </c>
      <c r="M61" s="52" t="str">
        <f>M59&amp;"     "</f>
        <v xml:space="preserve">Clásica     </v>
      </c>
      <c r="N61" s="52" t="str">
        <f ca="1">N59</f>
        <v>14%</v>
      </c>
      <c r="O61" s="52" t="str">
        <f>O59&amp;"     "</f>
        <v xml:space="preserve">Activa     </v>
      </c>
    </row>
    <row r="62" spans="1:15" ht="49.95" customHeight="1">
      <c r="A62" s="52" t="s">
        <v>24</v>
      </c>
      <c r="B62" s="52" t="s">
        <v>156</v>
      </c>
      <c r="C62" s="52" t="s">
        <v>161</v>
      </c>
      <c r="D62" s="52" t="s">
        <v>161</v>
      </c>
      <c r="E62" s="54" t="str">
        <f>"     "&amp;E59</f>
        <v xml:space="preserve">     Spools Carretes Soporte Caballete Yamaha Yzf R25 R3 R6 R7 R1</v>
      </c>
      <c r="F62" s="52" t="s">
        <v>88</v>
      </c>
      <c r="G62" s="53">
        <v>0</v>
      </c>
      <c r="H62" s="52" t="s">
        <v>62</v>
      </c>
      <c r="I62" s="52">
        <f>I59</f>
        <v>17990</v>
      </c>
      <c r="J62" s="52" t="str">
        <f>J59&amp;"     "</f>
        <v xml:space="preserve">$     </v>
      </c>
      <c r="K62" s="52" t="str">
        <f>K59&amp;"     "</f>
        <v xml:space="preserve">Nuevo     </v>
      </c>
      <c r="L62" s="52" t="str">
        <f>L59&amp;"     "</f>
        <v xml:space="preserve">No disponible     </v>
      </c>
      <c r="M62" s="52" t="str">
        <f>M59&amp;"     "</f>
        <v xml:space="preserve">Clásica     </v>
      </c>
      <c r="N62" s="52" t="str">
        <f ca="1">N59</f>
        <v>14%</v>
      </c>
      <c r="O62" s="52" t="str">
        <f>O59&amp;"     "</f>
        <v xml:space="preserve">Activa     </v>
      </c>
    </row>
    <row r="63" spans="1:15" ht="49.95" customHeight="1">
      <c r="A63" s="52" t="s">
        <v>24</v>
      </c>
      <c r="B63" s="52" t="s">
        <v>162</v>
      </c>
      <c r="C63" s="52"/>
      <c r="D63" s="52"/>
      <c r="E63" s="52" t="s">
        <v>163</v>
      </c>
      <c r="F63" s="52" t="s">
        <v>62</v>
      </c>
      <c r="G63" s="52" t="s">
        <v>164</v>
      </c>
      <c r="H63" s="52" t="s">
        <v>62</v>
      </c>
      <c r="I63" s="53">
        <v>18990</v>
      </c>
      <c r="J63" s="53" t="s">
        <v>63</v>
      </c>
      <c r="K63" s="53" t="s">
        <v>64</v>
      </c>
      <c r="L63" s="53" t="s">
        <v>71</v>
      </c>
      <c r="M63" s="53" t="s">
        <v>66</v>
      </c>
      <c r="N63" s="52" t="str">
        <f ca="1">IF(INDIRECT("M63")="Clásica","14%",IF(INDIRECT("M63")="Premium","18%","-"))</f>
        <v>14%</v>
      </c>
      <c r="O63" s="53" t="s">
        <v>67</v>
      </c>
    </row>
    <row r="64" spans="1:15" ht="49.95" customHeight="1">
      <c r="A64" s="52" t="s">
        <v>24</v>
      </c>
      <c r="B64" s="52" t="s">
        <v>162</v>
      </c>
      <c r="C64" s="52" t="s">
        <v>165</v>
      </c>
      <c r="D64" s="52" t="s">
        <v>165</v>
      </c>
      <c r="E64" s="54" t="str">
        <f>"     "&amp;E63</f>
        <v xml:space="preserve">     Alerón - Winglet Yamaha R15 V3 Colores</v>
      </c>
      <c r="F64" s="52" t="s">
        <v>166</v>
      </c>
      <c r="G64" s="53">
        <v>1</v>
      </c>
      <c r="H64" s="52" t="s">
        <v>62</v>
      </c>
      <c r="I64" s="52">
        <f>I63</f>
        <v>18990</v>
      </c>
      <c r="J64" s="52" t="str">
        <f>J63&amp;"     "</f>
        <v xml:space="preserve">$     </v>
      </c>
      <c r="K64" s="52" t="str">
        <f>K63&amp;"     "</f>
        <v xml:space="preserve">Nuevo     </v>
      </c>
      <c r="L64" s="52" t="str">
        <f>L63&amp;"     "</f>
        <v xml:space="preserve">Mercado Envíos a cargo del comprador     </v>
      </c>
      <c r="M64" s="52" t="str">
        <f>M63&amp;"     "</f>
        <v xml:space="preserve">Clásica     </v>
      </c>
      <c r="N64" s="52" t="str">
        <f ca="1">N63</f>
        <v>14%</v>
      </c>
      <c r="O64" s="52" t="str">
        <f>O63&amp;"     "</f>
        <v xml:space="preserve">Activa     </v>
      </c>
    </row>
    <row r="65" spans="1:15" ht="49.95" customHeight="1">
      <c r="A65" s="52" t="s">
        <v>24</v>
      </c>
      <c r="B65" s="52" t="s">
        <v>162</v>
      </c>
      <c r="C65" s="52" t="s">
        <v>167</v>
      </c>
      <c r="D65" s="52" t="s">
        <v>167</v>
      </c>
      <c r="E65" s="54" t="str">
        <f>"     "&amp;E63</f>
        <v xml:space="preserve">     Alerón - Winglet Yamaha R15 V3 Colores</v>
      </c>
      <c r="F65" s="52" t="s">
        <v>90</v>
      </c>
      <c r="G65" s="53">
        <v>0</v>
      </c>
      <c r="H65" s="52" t="s">
        <v>62</v>
      </c>
      <c r="I65" s="52">
        <f>I63</f>
        <v>18990</v>
      </c>
      <c r="J65" s="52" t="str">
        <f>J63&amp;"     "</f>
        <v xml:space="preserve">$     </v>
      </c>
      <c r="K65" s="52" t="str">
        <f>K63&amp;"     "</f>
        <v xml:space="preserve">Nuevo     </v>
      </c>
      <c r="L65" s="52" t="str">
        <f>L63&amp;"     "</f>
        <v xml:space="preserve">Mercado Envíos a cargo del comprador     </v>
      </c>
      <c r="M65" s="52" t="str">
        <f>M63&amp;"     "</f>
        <v xml:space="preserve">Clásica     </v>
      </c>
      <c r="N65" s="52" t="str">
        <f ca="1">N63</f>
        <v>14%</v>
      </c>
      <c r="O65" s="52" t="str">
        <f>O63&amp;"     "</f>
        <v xml:space="preserve">Activa     </v>
      </c>
    </row>
    <row r="66" spans="1:15" ht="49.95" customHeight="1">
      <c r="A66" s="52" t="s">
        <v>24</v>
      </c>
      <c r="B66" s="52" t="s">
        <v>162</v>
      </c>
      <c r="C66" s="52" t="s">
        <v>168</v>
      </c>
      <c r="D66" s="52" t="s">
        <v>168</v>
      </c>
      <c r="E66" s="54" t="str">
        <f>"     "&amp;E63</f>
        <v xml:space="preserve">     Alerón - Winglet Yamaha R15 V3 Colores</v>
      </c>
      <c r="F66" s="52" t="s">
        <v>84</v>
      </c>
      <c r="G66" s="53">
        <v>0</v>
      </c>
      <c r="H66" s="52" t="s">
        <v>62</v>
      </c>
      <c r="I66" s="52">
        <f>I63</f>
        <v>18990</v>
      </c>
      <c r="J66" s="52" t="str">
        <f>J63&amp;"     "</f>
        <v xml:space="preserve">$     </v>
      </c>
      <c r="K66" s="52" t="str">
        <f>K63&amp;"     "</f>
        <v xml:space="preserve">Nuevo     </v>
      </c>
      <c r="L66" s="52" t="str">
        <f>L63&amp;"     "</f>
        <v xml:space="preserve">Mercado Envíos a cargo del comprador     </v>
      </c>
      <c r="M66" s="52" t="str">
        <f>M63&amp;"     "</f>
        <v xml:space="preserve">Clásica     </v>
      </c>
      <c r="N66" s="52" t="str">
        <f ca="1">N63</f>
        <v>14%</v>
      </c>
      <c r="O66" s="52" t="str">
        <f>O63&amp;"     "</f>
        <v xml:space="preserve">Activa     </v>
      </c>
    </row>
    <row r="67" spans="1:15" ht="49.95" customHeight="1">
      <c r="A67" s="52" t="s">
        <v>24</v>
      </c>
      <c r="B67" s="52" t="s">
        <v>162</v>
      </c>
      <c r="C67" s="52" t="s">
        <v>169</v>
      </c>
      <c r="D67" s="52" t="s">
        <v>169</v>
      </c>
      <c r="E67" s="54" t="str">
        <f>"     "&amp;E63</f>
        <v xml:space="preserve">     Alerón - Winglet Yamaha R15 V3 Colores</v>
      </c>
      <c r="F67" s="52" t="s">
        <v>86</v>
      </c>
      <c r="G67" s="53">
        <v>0</v>
      </c>
      <c r="H67" s="52" t="s">
        <v>62</v>
      </c>
      <c r="I67" s="52">
        <f>I63</f>
        <v>18990</v>
      </c>
      <c r="J67" s="52" t="str">
        <f>J63&amp;"     "</f>
        <v xml:space="preserve">$     </v>
      </c>
      <c r="K67" s="52" t="str">
        <f>K63&amp;"     "</f>
        <v xml:space="preserve">Nuevo     </v>
      </c>
      <c r="L67" s="52" t="str">
        <f>L63&amp;"     "</f>
        <v xml:space="preserve">Mercado Envíos a cargo del comprador     </v>
      </c>
      <c r="M67" s="52" t="str">
        <f>M63&amp;"     "</f>
        <v xml:space="preserve">Clásica     </v>
      </c>
      <c r="N67" s="52" t="str">
        <f ca="1">N63</f>
        <v>14%</v>
      </c>
      <c r="O67" s="52" t="str">
        <f>O63&amp;"     "</f>
        <v xml:space="preserve">Activa     </v>
      </c>
    </row>
    <row r="68" spans="1:15" ht="49.95" customHeight="1">
      <c r="A68" s="52" t="s">
        <v>24</v>
      </c>
      <c r="B68" s="52" t="s">
        <v>170</v>
      </c>
      <c r="C68" s="52"/>
      <c r="D68" s="52"/>
      <c r="E68" s="52" t="s">
        <v>171</v>
      </c>
      <c r="F68" s="52" t="s">
        <v>62</v>
      </c>
      <c r="G68" s="52" t="s">
        <v>82</v>
      </c>
      <c r="H68" s="52" t="s">
        <v>62</v>
      </c>
      <c r="I68" s="53">
        <v>59990</v>
      </c>
      <c r="J68" s="53" t="s">
        <v>63</v>
      </c>
      <c r="K68" s="53" t="s">
        <v>64</v>
      </c>
      <c r="L68" s="53" t="s">
        <v>65</v>
      </c>
      <c r="M68" s="53" t="s">
        <v>66</v>
      </c>
      <c r="N68" s="52" t="str">
        <f ca="1">IF(INDIRECT("M68")="Clásica","14%",IF(INDIRECT("M68")="Premium","18%","-"))</f>
        <v>14%</v>
      </c>
      <c r="O68" s="53" t="s">
        <v>67</v>
      </c>
    </row>
    <row r="69" spans="1:15" ht="49.95" customHeight="1">
      <c r="A69" s="52" t="s">
        <v>24</v>
      </c>
      <c r="B69" s="52" t="s">
        <v>170</v>
      </c>
      <c r="C69" s="52" t="s">
        <v>172</v>
      </c>
      <c r="D69" s="52" t="s">
        <v>172</v>
      </c>
      <c r="E69" s="54" t="str">
        <f>"     "&amp;E68</f>
        <v xml:space="preserve">     Manillas Palancas Yamaha R15 R 15 V3 Logo</v>
      </c>
      <c r="F69" s="52" t="s">
        <v>88</v>
      </c>
      <c r="G69" s="53">
        <v>2</v>
      </c>
      <c r="H69" s="52" t="s">
        <v>62</v>
      </c>
      <c r="I69" s="52">
        <f>I68</f>
        <v>59990</v>
      </c>
      <c r="J69" s="52" t="str">
        <f>J68&amp;"     "</f>
        <v xml:space="preserve">$     </v>
      </c>
      <c r="K69" s="52" t="str">
        <f>K68&amp;"     "</f>
        <v xml:space="preserve">Nuevo     </v>
      </c>
      <c r="L69" s="52" t="str">
        <f>L68&amp;"     "</f>
        <v xml:space="preserve">Mercado Envíos gratis     </v>
      </c>
      <c r="M69" s="52" t="str">
        <f>M68&amp;"     "</f>
        <v xml:space="preserve">Clásica     </v>
      </c>
      <c r="N69" s="52" t="str">
        <f ca="1">N68</f>
        <v>14%</v>
      </c>
      <c r="O69" s="52" t="str">
        <f>O68&amp;"     "</f>
        <v xml:space="preserve">Activa     </v>
      </c>
    </row>
    <row r="70" spans="1:15" ht="49.95" customHeight="1">
      <c r="A70" s="52" t="s">
        <v>24</v>
      </c>
      <c r="B70" s="52" t="s">
        <v>170</v>
      </c>
      <c r="C70" s="52" t="s">
        <v>173</v>
      </c>
      <c r="D70" s="52" t="s">
        <v>173</v>
      </c>
      <c r="E70" s="54" t="str">
        <f>"     "&amp;E68</f>
        <v xml:space="preserve">     Manillas Palancas Yamaha R15 R 15 V3 Logo</v>
      </c>
      <c r="F70" s="52" t="s">
        <v>84</v>
      </c>
      <c r="G70" s="53">
        <v>0</v>
      </c>
      <c r="H70" s="52" t="s">
        <v>62</v>
      </c>
      <c r="I70" s="52">
        <f>I68</f>
        <v>59990</v>
      </c>
      <c r="J70" s="52" t="str">
        <f>J68&amp;"     "</f>
        <v xml:space="preserve">$     </v>
      </c>
      <c r="K70" s="52" t="str">
        <f>K68&amp;"     "</f>
        <v xml:space="preserve">Nuevo     </v>
      </c>
      <c r="L70" s="52" t="str">
        <f>L68&amp;"     "</f>
        <v xml:space="preserve">Mercado Envíos gratis     </v>
      </c>
      <c r="M70" s="52" t="str">
        <f>M68&amp;"     "</f>
        <v xml:space="preserve">Clásica     </v>
      </c>
      <c r="N70" s="52" t="str">
        <f ca="1">N68</f>
        <v>14%</v>
      </c>
      <c r="O70" s="52" t="str">
        <f>O68&amp;"     "</f>
        <v xml:space="preserve">Activa     </v>
      </c>
    </row>
    <row r="71" spans="1:15" ht="49.95" customHeight="1">
      <c r="A71" s="52" t="s">
        <v>24</v>
      </c>
      <c r="B71" s="52" t="s">
        <v>170</v>
      </c>
      <c r="C71" s="52" t="s">
        <v>174</v>
      </c>
      <c r="D71" s="52" t="s">
        <v>174</v>
      </c>
      <c r="E71" s="54" t="str">
        <f>"     "&amp;E68</f>
        <v xml:space="preserve">     Manillas Palancas Yamaha R15 R 15 V3 Logo</v>
      </c>
      <c r="F71" s="52" t="s">
        <v>86</v>
      </c>
      <c r="G71" s="53">
        <v>1</v>
      </c>
      <c r="H71" s="52" t="s">
        <v>62</v>
      </c>
      <c r="I71" s="52">
        <f>I68</f>
        <v>59990</v>
      </c>
      <c r="J71" s="52" t="str">
        <f>J68&amp;"     "</f>
        <v xml:space="preserve">$     </v>
      </c>
      <c r="K71" s="52" t="str">
        <f>K68&amp;"     "</f>
        <v xml:space="preserve">Nuevo     </v>
      </c>
      <c r="L71" s="52" t="str">
        <f>L68&amp;"     "</f>
        <v xml:space="preserve">Mercado Envíos gratis     </v>
      </c>
      <c r="M71" s="52" t="str">
        <f>M68&amp;"     "</f>
        <v xml:space="preserve">Clásica     </v>
      </c>
      <c r="N71" s="52" t="str">
        <f ca="1">N68</f>
        <v>14%</v>
      </c>
      <c r="O71" s="52" t="str">
        <f>O68&amp;"     "</f>
        <v xml:space="preserve">Activa     </v>
      </c>
    </row>
    <row r="72" spans="1:15" ht="49.95" customHeight="1">
      <c r="A72" s="52" t="s">
        <v>24</v>
      </c>
      <c r="B72" s="52" t="s">
        <v>175</v>
      </c>
      <c r="C72" s="52"/>
      <c r="D72" s="52"/>
      <c r="E72" s="52" t="s">
        <v>176</v>
      </c>
      <c r="F72" s="52" t="s">
        <v>62</v>
      </c>
      <c r="G72" s="52" t="s">
        <v>70</v>
      </c>
      <c r="H72" s="52" t="s">
        <v>62</v>
      </c>
      <c r="I72" s="53">
        <v>39990</v>
      </c>
      <c r="J72" s="53" t="s">
        <v>63</v>
      </c>
      <c r="K72" s="53" t="s">
        <v>64</v>
      </c>
      <c r="L72" s="53" t="s">
        <v>65</v>
      </c>
      <c r="M72" s="53" t="s">
        <v>66</v>
      </c>
      <c r="N72" s="52" t="str">
        <f ca="1">IF(INDIRECT("M72")="Clásica","14%",IF(INDIRECT("M72")="Premium","18%","-"))</f>
        <v>14%</v>
      </c>
      <c r="O72" s="53" t="s">
        <v>67</v>
      </c>
    </row>
    <row r="73" spans="1:15" ht="49.95" customHeight="1">
      <c r="A73" s="52" t="s">
        <v>24</v>
      </c>
      <c r="B73" s="52" t="s">
        <v>175</v>
      </c>
      <c r="C73" s="52" t="s">
        <v>177</v>
      </c>
      <c r="D73" s="52" t="s">
        <v>177</v>
      </c>
      <c r="E73" s="54" t="str">
        <f>"     "&amp;E72</f>
        <v xml:space="preserve">     Manillas Pulsar Ns / Rs 160 180 200 Logo Colores + Envío</v>
      </c>
      <c r="F73" s="52" t="s">
        <v>90</v>
      </c>
      <c r="G73" s="53">
        <v>2</v>
      </c>
      <c r="H73" s="52" t="s">
        <v>62</v>
      </c>
      <c r="I73" s="52">
        <f>I72</f>
        <v>39990</v>
      </c>
      <c r="J73" s="52" t="str">
        <f>J72&amp;"     "</f>
        <v xml:space="preserve">$     </v>
      </c>
      <c r="K73" s="52" t="str">
        <f>K72&amp;"     "</f>
        <v xml:space="preserve">Nuevo     </v>
      </c>
      <c r="L73" s="52" t="str">
        <f>L72&amp;"     "</f>
        <v xml:space="preserve">Mercado Envíos gratis     </v>
      </c>
      <c r="M73" s="52" t="str">
        <f>M72&amp;"     "</f>
        <v xml:space="preserve">Clásica     </v>
      </c>
      <c r="N73" s="52" t="str">
        <f ca="1">N72</f>
        <v>14%</v>
      </c>
      <c r="O73" s="52" t="str">
        <f>O72&amp;"     "</f>
        <v xml:space="preserve">Activa     </v>
      </c>
    </row>
    <row r="74" spans="1:15" ht="49.95" customHeight="1">
      <c r="A74" s="52" t="s">
        <v>24</v>
      </c>
      <c r="B74" s="52" t="s">
        <v>175</v>
      </c>
      <c r="C74" s="52" t="s">
        <v>178</v>
      </c>
      <c r="D74" s="52" t="s">
        <v>178</v>
      </c>
      <c r="E74" s="54" t="str">
        <f>"     "&amp;E72</f>
        <v xml:space="preserve">     Manillas Pulsar Ns / Rs 160 180 200 Logo Colores + Envío</v>
      </c>
      <c r="F74" s="52" t="s">
        <v>88</v>
      </c>
      <c r="G74" s="53">
        <v>2</v>
      </c>
      <c r="H74" s="52" t="s">
        <v>62</v>
      </c>
      <c r="I74" s="52">
        <f>I72</f>
        <v>39990</v>
      </c>
      <c r="J74" s="52" t="str">
        <f>J72&amp;"     "</f>
        <v xml:space="preserve">$     </v>
      </c>
      <c r="K74" s="52" t="str">
        <f>K72&amp;"     "</f>
        <v xml:space="preserve">Nuevo     </v>
      </c>
      <c r="L74" s="52" t="str">
        <f>L72&amp;"     "</f>
        <v xml:space="preserve">Mercado Envíos gratis     </v>
      </c>
      <c r="M74" s="52" t="str">
        <f>M72&amp;"     "</f>
        <v xml:space="preserve">Clásica     </v>
      </c>
      <c r="N74" s="52" t="str">
        <f ca="1">N72</f>
        <v>14%</v>
      </c>
      <c r="O74" s="52" t="str">
        <f>O72&amp;"     "</f>
        <v xml:space="preserve">Activa     </v>
      </c>
    </row>
    <row r="75" spans="1:15" ht="49.95" customHeight="1">
      <c r="A75" s="52" t="s">
        <v>24</v>
      </c>
      <c r="B75" s="52" t="s">
        <v>175</v>
      </c>
      <c r="C75" s="52" t="s">
        <v>179</v>
      </c>
      <c r="D75" s="52" t="s">
        <v>179</v>
      </c>
      <c r="E75" s="54" t="str">
        <f>"     "&amp;E72</f>
        <v xml:space="preserve">     Manillas Pulsar Ns / Rs 160 180 200 Logo Colores + Envío</v>
      </c>
      <c r="F75" s="52" t="s">
        <v>97</v>
      </c>
      <c r="G75" s="53">
        <v>2</v>
      </c>
      <c r="H75" s="52" t="s">
        <v>62</v>
      </c>
      <c r="I75" s="52">
        <f>I72</f>
        <v>39990</v>
      </c>
      <c r="J75" s="52" t="str">
        <f>J72&amp;"     "</f>
        <v xml:space="preserve">$     </v>
      </c>
      <c r="K75" s="52" t="str">
        <f>K72&amp;"     "</f>
        <v xml:space="preserve">Nuevo     </v>
      </c>
      <c r="L75" s="52" t="str">
        <f>L72&amp;"     "</f>
        <v xml:space="preserve">Mercado Envíos gratis     </v>
      </c>
      <c r="M75" s="52" t="str">
        <f>M72&amp;"     "</f>
        <v xml:space="preserve">Clásica     </v>
      </c>
      <c r="N75" s="52" t="str">
        <f ca="1">N72</f>
        <v>14%</v>
      </c>
      <c r="O75" s="52" t="str">
        <f>O72&amp;"     "</f>
        <v xml:space="preserve">Activa     </v>
      </c>
    </row>
    <row r="76" spans="1:15" ht="49.95" customHeight="1">
      <c r="A76" s="52" t="s">
        <v>24</v>
      </c>
      <c r="B76" s="52" t="s">
        <v>175</v>
      </c>
      <c r="C76" s="52" t="s">
        <v>180</v>
      </c>
      <c r="D76" s="52" t="s">
        <v>180</v>
      </c>
      <c r="E76" s="54" t="str">
        <f>"     "&amp;E72</f>
        <v xml:space="preserve">     Manillas Pulsar Ns / Rs 160 180 200 Logo Colores + Envío</v>
      </c>
      <c r="F76" s="52" t="s">
        <v>86</v>
      </c>
      <c r="G76" s="53">
        <v>2</v>
      </c>
      <c r="H76" s="52" t="s">
        <v>62</v>
      </c>
      <c r="I76" s="52">
        <f>I72</f>
        <v>39990</v>
      </c>
      <c r="J76" s="52" t="str">
        <f>J72&amp;"     "</f>
        <v xml:space="preserve">$     </v>
      </c>
      <c r="K76" s="52" t="str">
        <f>K72&amp;"     "</f>
        <v xml:space="preserve">Nuevo     </v>
      </c>
      <c r="L76" s="52" t="str">
        <f>L72&amp;"     "</f>
        <v xml:space="preserve">Mercado Envíos gratis     </v>
      </c>
      <c r="M76" s="52" t="str">
        <f>M72&amp;"     "</f>
        <v xml:space="preserve">Clásica     </v>
      </c>
      <c r="N76" s="52" t="str">
        <f ca="1">N72</f>
        <v>14%</v>
      </c>
      <c r="O76" s="52" t="str">
        <f>O72&amp;"     "</f>
        <v xml:space="preserve">Activa     </v>
      </c>
    </row>
    <row r="77" spans="1:15" ht="49.95" customHeight="1">
      <c r="A77" s="52" t="s">
        <v>24</v>
      </c>
      <c r="B77" s="52" t="s">
        <v>181</v>
      </c>
      <c r="C77" s="52"/>
      <c r="D77" s="52"/>
      <c r="E77" s="52" t="s">
        <v>182</v>
      </c>
      <c r="F77" s="52" t="s">
        <v>62</v>
      </c>
      <c r="G77" s="52" t="s">
        <v>143</v>
      </c>
      <c r="H77" s="52" t="s">
        <v>62</v>
      </c>
      <c r="I77" s="53">
        <v>37990</v>
      </c>
      <c r="J77" s="53" t="s">
        <v>63</v>
      </c>
      <c r="K77" s="53" t="s">
        <v>64</v>
      </c>
      <c r="L77" s="53" t="s">
        <v>65</v>
      </c>
      <c r="M77" s="53" t="s">
        <v>66</v>
      </c>
      <c r="N77" s="52" t="str">
        <f ca="1">IF(INDIRECT("M77")="Clásica","14%",IF(INDIRECT("M77")="Premium","18%","-"))</f>
        <v>14%</v>
      </c>
      <c r="O77" s="53" t="s">
        <v>67</v>
      </c>
    </row>
    <row r="78" spans="1:15" ht="49.95" customHeight="1">
      <c r="A78" s="52" t="s">
        <v>24</v>
      </c>
      <c r="B78" s="52" t="s">
        <v>181</v>
      </c>
      <c r="C78" s="52" t="s">
        <v>183</v>
      </c>
      <c r="D78" s="52" t="s">
        <v>183</v>
      </c>
      <c r="E78" s="54" t="str">
        <f>"     "&amp;E77</f>
        <v xml:space="preserve">     Espejos Tipo Rizoma Yamaha Fz25 Fz 25 Logo Colores + Envío</v>
      </c>
      <c r="F78" s="52" t="s">
        <v>86</v>
      </c>
      <c r="G78" s="53">
        <v>1</v>
      </c>
      <c r="H78" s="52" t="s">
        <v>62</v>
      </c>
      <c r="I78" s="52">
        <f>I77</f>
        <v>37990</v>
      </c>
      <c r="J78" s="52" t="str">
        <f>J77&amp;"     "</f>
        <v xml:space="preserve">$     </v>
      </c>
      <c r="K78" s="52" t="str">
        <f>K77&amp;"     "</f>
        <v xml:space="preserve">Nuevo     </v>
      </c>
      <c r="L78" s="52" t="str">
        <f>L77&amp;"     "</f>
        <v xml:space="preserve">Mercado Envíos gratis     </v>
      </c>
      <c r="M78" s="52" t="str">
        <f>M77&amp;"     "</f>
        <v xml:space="preserve">Clásica     </v>
      </c>
      <c r="N78" s="52" t="str">
        <f ca="1">N77</f>
        <v>14%</v>
      </c>
      <c r="O78" s="52" t="str">
        <f>O77&amp;"     "</f>
        <v xml:space="preserve">Activa     </v>
      </c>
    </row>
    <row r="79" spans="1:15" ht="49.95" customHeight="1">
      <c r="A79" s="52" t="s">
        <v>24</v>
      </c>
      <c r="B79" s="52" t="s">
        <v>181</v>
      </c>
      <c r="C79" s="52" t="s">
        <v>184</v>
      </c>
      <c r="D79" s="52" t="s">
        <v>184</v>
      </c>
      <c r="E79" s="54" t="str">
        <f>"     "&amp;E77</f>
        <v xml:space="preserve">     Espejos Tipo Rizoma Yamaha Fz25 Fz 25 Logo Colores + Envío</v>
      </c>
      <c r="F79" s="52" t="s">
        <v>84</v>
      </c>
      <c r="G79" s="53">
        <v>1</v>
      </c>
      <c r="H79" s="52" t="s">
        <v>62</v>
      </c>
      <c r="I79" s="52">
        <f>I77</f>
        <v>37990</v>
      </c>
      <c r="J79" s="52" t="str">
        <f>J77&amp;"     "</f>
        <v xml:space="preserve">$     </v>
      </c>
      <c r="K79" s="52" t="str">
        <f>K77&amp;"     "</f>
        <v xml:space="preserve">Nuevo     </v>
      </c>
      <c r="L79" s="52" t="str">
        <f>L77&amp;"     "</f>
        <v xml:space="preserve">Mercado Envíos gratis     </v>
      </c>
      <c r="M79" s="52" t="str">
        <f>M77&amp;"     "</f>
        <v xml:space="preserve">Clásica     </v>
      </c>
      <c r="N79" s="52" t="str">
        <f ca="1">N77</f>
        <v>14%</v>
      </c>
      <c r="O79" s="52" t="str">
        <f>O77&amp;"     "</f>
        <v xml:space="preserve">Activa     </v>
      </c>
    </row>
    <row r="80" spans="1:15" ht="49.95" customHeight="1">
      <c r="A80" s="52" t="s">
        <v>24</v>
      </c>
      <c r="B80" s="52" t="s">
        <v>181</v>
      </c>
      <c r="C80" s="52" t="s">
        <v>185</v>
      </c>
      <c r="D80" s="52" t="s">
        <v>185</v>
      </c>
      <c r="E80" s="54" t="str">
        <f>"     "&amp;E77</f>
        <v xml:space="preserve">     Espejos Tipo Rizoma Yamaha Fz25 Fz 25 Logo Colores + Envío</v>
      </c>
      <c r="F80" s="52" t="s">
        <v>90</v>
      </c>
      <c r="G80" s="53">
        <v>2</v>
      </c>
      <c r="H80" s="52" t="s">
        <v>62</v>
      </c>
      <c r="I80" s="52">
        <f>I77</f>
        <v>37990</v>
      </c>
      <c r="J80" s="52" t="str">
        <f>J77&amp;"     "</f>
        <v xml:space="preserve">$     </v>
      </c>
      <c r="K80" s="52" t="str">
        <f>K77&amp;"     "</f>
        <v xml:space="preserve">Nuevo     </v>
      </c>
      <c r="L80" s="52" t="str">
        <f>L77&amp;"     "</f>
        <v xml:space="preserve">Mercado Envíos gratis     </v>
      </c>
      <c r="M80" s="52" t="str">
        <f>M77&amp;"     "</f>
        <v xml:space="preserve">Clásica     </v>
      </c>
      <c r="N80" s="52" t="str">
        <f ca="1">N77</f>
        <v>14%</v>
      </c>
      <c r="O80" s="52" t="str">
        <f>O77&amp;"     "</f>
        <v xml:space="preserve">Activa     </v>
      </c>
    </row>
    <row r="81" spans="1:15" ht="49.95" customHeight="1">
      <c r="A81" s="52" t="s">
        <v>24</v>
      </c>
      <c r="B81" s="52" t="s">
        <v>186</v>
      </c>
      <c r="C81" s="52"/>
      <c r="D81" s="52"/>
      <c r="E81" s="52" t="s">
        <v>187</v>
      </c>
      <c r="F81" s="52" t="s">
        <v>62</v>
      </c>
      <c r="G81" s="52" t="s">
        <v>188</v>
      </c>
      <c r="H81" s="52" t="s">
        <v>62</v>
      </c>
      <c r="I81" s="53">
        <v>44990</v>
      </c>
      <c r="J81" s="53" t="s">
        <v>63</v>
      </c>
      <c r="K81" s="53" t="s">
        <v>64</v>
      </c>
      <c r="L81" s="53" t="s">
        <v>65</v>
      </c>
      <c r="M81" s="53" t="s">
        <v>66</v>
      </c>
      <c r="N81" s="52" t="str">
        <f ca="1">IF(INDIRECT("M81")="Clásica","14%",IF(INDIRECT("M81")="Premium","18%","-"))</f>
        <v>14%</v>
      </c>
      <c r="O81" s="53" t="s">
        <v>67</v>
      </c>
    </row>
    <row r="82" spans="1:15" ht="49.95" customHeight="1">
      <c r="A82" s="52" t="s">
        <v>24</v>
      </c>
      <c r="B82" s="52" t="s">
        <v>186</v>
      </c>
      <c r="C82" s="52" t="s">
        <v>189</v>
      </c>
      <c r="D82" s="52" t="s">
        <v>189</v>
      </c>
      <c r="E82" s="54" t="str">
        <f>"     "&amp;E81</f>
        <v xml:space="preserve">     Manillas Palancas Yamaha Fz16 Fzn150 Fz 2.0 Fz-s V1 V2 Logo</v>
      </c>
      <c r="F82" s="52" t="s">
        <v>90</v>
      </c>
      <c r="G82" s="53">
        <v>2</v>
      </c>
      <c r="H82" s="52" t="s">
        <v>62</v>
      </c>
      <c r="I82" s="52">
        <f>I81</f>
        <v>44990</v>
      </c>
      <c r="J82" s="52" t="str">
        <f>J81&amp;"     "</f>
        <v xml:space="preserve">$     </v>
      </c>
      <c r="K82" s="52" t="str">
        <f>K81&amp;"     "</f>
        <v xml:space="preserve">Nuevo     </v>
      </c>
      <c r="L82" s="52" t="str">
        <f>L81&amp;"     "</f>
        <v xml:space="preserve">Mercado Envíos gratis     </v>
      </c>
      <c r="M82" s="52" t="str">
        <f>M81&amp;"     "</f>
        <v xml:space="preserve">Clásica     </v>
      </c>
      <c r="N82" s="52" t="str">
        <f ca="1">N81</f>
        <v>14%</v>
      </c>
      <c r="O82" s="52" t="str">
        <f>O81&amp;"     "</f>
        <v xml:space="preserve">Activa     </v>
      </c>
    </row>
    <row r="83" spans="1:15" ht="49.95" customHeight="1">
      <c r="A83" s="52" t="s">
        <v>24</v>
      </c>
      <c r="B83" s="52" t="s">
        <v>186</v>
      </c>
      <c r="C83" s="52" t="s">
        <v>190</v>
      </c>
      <c r="D83" s="52" t="s">
        <v>190</v>
      </c>
      <c r="E83" s="54" t="str">
        <f>"     "&amp;E81</f>
        <v xml:space="preserve">     Manillas Palancas Yamaha Fz16 Fzn150 Fz 2.0 Fz-s V1 V2 Logo</v>
      </c>
      <c r="F83" s="52" t="s">
        <v>84</v>
      </c>
      <c r="G83" s="53">
        <v>2</v>
      </c>
      <c r="H83" s="52" t="s">
        <v>62</v>
      </c>
      <c r="I83" s="52">
        <f>I81</f>
        <v>44990</v>
      </c>
      <c r="J83" s="52" t="str">
        <f>J81&amp;"     "</f>
        <v xml:space="preserve">$     </v>
      </c>
      <c r="K83" s="52" t="str">
        <f>K81&amp;"     "</f>
        <v xml:space="preserve">Nuevo     </v>
      </c>
      <c r="L83" s="52" t="str">
        <f>L81&amp;"     "</f>
        <v xml:space="preserve">Mercado Envíos gratis     </v>
      </c>
      <c r="M83" s="52" t="str">
        <f>M81&amp;"     "</f>
        <v xml:space="preserve">Clásica     </v>
      </c>
      <c r="N83" s="52" t="str">
        <f ca="1">N81</f>
        <v>14%</v>
      </c>
      <c r="O83" s="52" t="str">
        <f>O81&amp;"     "</f>
        <v xml:space="preserve">Activa     </v>
      </c>
    </row>
    <row r="84" spans="1:15" ht="49.95" customHeight="1">
      <c r="A84" s="52" t="s">
        <v>24</v>
      </c>
      <c r="B84" s="52" t="s">
        <v>186</v>
      </c>
      <c r="C84" s="52" t="s">
        <v>191</v>
      </c>
      <c r="D84" s="52" t="s">
        <v>191</v>
      </c>
      <c r="E84" s="54" t="str">
        <f>"     "&amp;E81</f>
        <v xml:space="preserve">     Manillas Palancas Yamaha Fz16 Fzn150 Fz 2.0 Fz-s V1 V2 Logo</v>
      </c>
      <c r="F84" s="52" t="s">
        <v>88</v>
      </c>
      <c r="G84" s="53">
        <v>1</v>
      </c>
      <c r="H84" s="52" t="s">
        <v>62</v>
      </c>
      <c r="I84" s="52">
        <f>I81</f>
        <v>44990</v>
      </c>
      <c r="J84" s="52" t="str">
        <f>J81&amp;"     "</f>
        <v xml:space="preserve">$     </v>
      </c>
      <c r="K84" s="52" t="str">
        <f>K81&amp;"     "</f>
        <v xml:space="preserve">Nuevo     </v>
      </c>
      <c r="L84" s="52" t="str">
        <f>L81&amp;"     "</f>
        <v xml:space="preserve">Mercado Envíos gratis     </v>
      </c>
      <c r="M84" s="52" t="str">
        <f>M81&amp;"     "</f>
        <v xml:space="preserve">Clásica     </v>
      </c>
      <c r="N84" s="52" t="str">
        <f ca="1">N81</f>
        <v>14%</v>
      </c>
      <c r="O84" s="52" t="str">
        <f>O81&amp;"     "</f>
        <v xml:space="preserve">Activa     </v>
      </c>
    </row>
    <row r="85" spans="1:15" ht="49.95" customHeight="1">
      <c r="A85" s="52" t="s">
        <v>24</v>
      </c>
      <c r="B85" s="52" t="s">
        <v>186</v>
      </c>
      <c r="C85" s="52" t="s">
        <v>192</v>
      </c>
      <c r="D85" s="52" t="s">
        <v>192</v>
      </c>
      <c r="E85" s="54" t="str">
        <f>"     "&amp;E81</f>
        <v xml:space="preserve">     Manillas Palancas Yamaha Fz16 Fzn150 Fz 2.0 Fz-s V1 V2 Logo</v>
      </c>
      <c r="F85" s="52" t="s">
        <v>86</v>
      </c>
      <c r="G85" s="53">
        <v>2</v>
      </c>
      <c r="H85" s="52" t="s">
        <v>62</v>
      </c>
      <c r="I85" s="52">
        <f>I81</f>
        <v>44990</v>
      </c>
      <c r="J85" s="52" t="str">
        <f>J81&amp;"     "</f>
        <v xml:space="preserve">$     </v>
      </c>
      <c r="K85" s="52" t="str">
        <f>K81&amp;"     "</f>
        <v xml:space="preserve">Nuevo     </v>
      </c>
      <c r="L85" s="52" t="str">
        <f>L81&amp;"     "</f>
        <v xml:space="preserve">Mercado Envíos gratis     </v>
      </c>
      <c r="M85" s="52" t="str">
        <f>M81&amp;"     "</f>
        <v xml:space="preserve">Clásica     </v>
      </c>
      <c r="N85" s="52" t="str">
        <f ca="1">N81</f>
        <v>14%</v>
      </c>
      <c r="O85" s="52" t="str">
        <f>O81&amp;"     "</f>
        <v xml:space="preserve">Activa     </v>
      </c>
    </row>
    <row r="86" spans="1:15" ht="49.95" customHeight="1">
      <c r="A86" s="52" t="s">
        <v>24</v>
      </c>
      <c r="B86" s="52" t="s">
        <v>193</v>
      </c>
      <c r="C86" s="52"/>
      <c r="D86" s="52"/>
      <c r="E86" s="52" t="s">
        <v>194</v>
      </c>
      <c r="F86" s="52" t="s">
        <v>62</v>
      </c>
      <c r="G86" s="52" t="s">
        <v>143</v>
      </c>
      <c r="H86" s="52" t="s">
        <v>62</v>
      </c>
      <c r="I86" s="53">
        <v>19890</v>
      </c>
      <c r="J86" s="53" t="s">
        <v>63</v>
      </c>
      <c r="K86" s="53" t="s">
        <v>64</v>
      </c>
      <c r="L86" s="53" t="s">
        <v>71</v>
      </c>
      <c r="M86" s="53" t="s">
        <v>66</v>
      </c>
      <c r="N86" s="52" t="str">
        <f ca="1">IF(INDIRECT("M86")="Clásica","14%",IF(INDIRECT("M86")="Premium","18%","-"))</f>
        <v>14%</v>
      </c>
      <c r="O86" s="53" t="s">
        <v>67</v>
      </c>
    </row>
    <row r="87" spans="1:15" ht="49.95" customHeight="1">
      <c r="A87" s="52" t="s">
        <v>24</v>
      </c>
      <c r="B87" s="52" t="s">
        <v>193</v>
      </c>
      <c r="C87" s="52" t="s">
        <v>195</v>
      </c>
      <c r="D87" s="52" t="s">
        <v>195</v>
      </c>
      <c r="E87" s="54" t="str">
        <f>"     "&amp;E86</f>
        <v xml:space="preserve">     Tank Grip / Protector Estanque Tracción Yahama R15 R 15 V3</v>
      </c>
      <c r="F87" s="52" t="s">
        <v>97</v>
      </c>
      <c r="G87" s="53">
        <v>2</v>
      </c>
      <c r="H87" s="52" t="s">
        <v>62</v>
      </c>
      <c r="I87" s="52">
        <f>I86</f>
        <v>19890</v>
      </c>
      <c r="J87" s="52" t="str">
        <f>J86&amp;"     "</f>
        <v xml:space="preserve">$     </v>
      </c>
      <c r="K87" s="52" t="str">
        <f>K86&amp;"     "</f>
        <v xml:space="preserve">Nuevo     </v>
      </c>
      <c r="L87" s="52" t="str">
        <f>L86&amp;"     "</f>
        <v xml:space="preserve">Mercado Envíos a cargo del comprador     </v>
      </c>
      <c r="M87" s="52" t="str">
        <f>M86&amp;"     "</f>
        <v xml:space="preserve">Clásica     </v>
      </c>
      <c r="N87" s="52" t="str">
        <f ca="1">N86</f>
        <v>14%</v>
      </c>
      <c r="O87" s="52" t="str">
        <f>O86&amp;"     "</f>
        <v xml:space="preserve">Activa     </v>
      </c>
    </row>
    <row r="88" spans="1:15" ht="49.95" customHeight="1">
      <c r="A88" s="52" t="s">
        <v>24</v>
      </c>
      <c r="B88" s="52" t="s">
        <v>193</v>
      </c>
      <c r="C88" s="52" t="s">
        <v>196</v>
      </c>
      <c r="D88" s="52" t="s">
        <v>196</v>
      </c>
      <c r="E88" s="54" t="str">
        <f>"     "&amp;E86</f>
        <v xml:space="preserve">     Tank Grip / Protector Estanque Tracción Yahama R15 R 15 V3</v>
      </c>
      <c r="F88" s="52" t="s">
        <v>84</v>
      </c>
      <c r="G88" s="53">
        <v>0</v>
      </c>
      <c r="H88" s="52" t="s">
        <v>62</v>
      </c>
      <c r="I88" s="52">
        <f>I86</f>
        <v>19890</v>
      </c>
      <c r="J88" s="52" t="str">
        <f>J86&amp;"     "</f>
        <v xml:space="preserve">$     </v>
      </c>
      <c r="K88" s="52" t="str">
        <f>K86&amp;"     "</f>
        <v xml:space="preserve">Nuevo     </v>
      </c>
      <c r="L88" s="52" t="str">
        <f>L86&amp;"     "</f>
        <v xml:space="preserve">Mercado Envíos a cargo del comprador     </v>
      </c>
      <c r="M88" s="52" t="str">
        <f>M86&amp;"     "</f>
        <v xml:space="preserve">Clásica     </v>
      </c>
      <c r="N88" s="52" t="str">
        <f ca="1">N86</f>
        <v>14%</v>
      </c>
      <c r="O88" s="52" t="str">
        <f>O86&amp;"     "</f>
        <v xml:space="preserve">Activa     </v>
      </c>
    </row>
    <row r="89" spans="1:15" ht="49.95" customHeight="1">
      <c r="A89" s="52" t="s">
        <v>24</v>
      </c>
      <c r="B89" s="52" t="s">
        <v>193</v>
      </c>
      <c r="C89" s="52" t="s">
        <v>197</v>
      </c>
      <c r="D89" s="52" t="s">
        <v>197</v>
      </c>
      <c r="E89" s="54" t="str">
        <f>"     "&amp;E86</f>
        <v xml:space="preserve">     Tank Grip / Protector Estanque Tracción Yahama R15 R 15 V3</v>
      </c>
      <c r="F89" s="52" t="s">
        <v>90</v>
      </c>
      <c r="G89" s="53">
        <v>2</v>
      </c>
      <c r="H89" s="52" t="s">
        <v>62</v>
      </c>
      <c r="I89" s="52">
        <f>I86</f>
        <v>19890</v>
      </c>
      <c r="J89" s="52" t="str">
        <f>J86&amp;"     "</f>
        <v xml:space="preserve">$     </v>
      </c>
      <c r="K89" s="52" t="str">
        <f>K86&amp;"     "</f>
        <v xml:space="preserve">Nuevo     </v>
      </c>
      <c r="L89" s="52" t="str">
        <f>L86&amp;"     "</f>
        <v xml:space="preserve">Mercado Envíos a cargo del comprador     </v>
      </c>
      <c r="M89" s="52" t="str">
        <f>M86&amp;"     "</f>
        <v xml:space="preserve">Clásica     </v>
      </c>
      <c r="N89" s="52" t="str">
        <f ca="1">N86</f>
        <v>14%</v>
      </c>
      <c r="O89" s="52" t="str">
        <f>O86&amp;"     "</f>
        <v xml:space="preserve">Activa     </v>
      </c>
    </row>
    <row r="90" spans="1:15" ht="49.95" customHeight="1">
      <c r="A90" s="52" t="s">
        <v>198</v>
      </c>
      <c r="B90" s="52" t="s">
        <v>199</v>
      </c>
      <c r="C90" s="52" t="s">
        <v>200</v>
      </c>
      <c r="D90" s="52"/>
      <c r="E90" s="52" t="s">
        <v>201</v>
      </c>
      <c r="F90" s="52" t="s">
        <v>201</v>
      </c>
      <c r="G90" s="53">
        <v>2</v>
      </c>
      <c r="H90" s="52" t="s">
        <v>62</v>
      </c>
      <c r="I90" s="53">
        <v>11990</v>
      </c>
      <c r="J90" s="53" t="s">
        <v>63</v>
      </c>
      <c r="K90" s="53" t="s">
        <v>64</v>
      </c>
      <c r="L90" s="53" t="s">
        <v>71</v>
      </c>
      <c r="M90" s="53" t="s">
        <v>66</v>
      </c>
      <c r="N90" s="52" t="str">
        <f ca="1">IF(INDIRECT("M90")="Clásica","14%",IF(INDIRECT("M90")="Premium","18%","-"))</f>
        <v>14%</v>
      </c>
      <c r="O90" s="53" t="s">
        <v>67</v>
      </c>
    </row>
    <row r="91" spans="1:15" ht="49.95" customHeight="1">
      <c r="A91" s="52" t="s">
        <v>202</v>
      </c>
      <c r="B91" s="52" t="s">
        <v>203</v>
      </c>
      <c r="C91" s="52" t="s">
        <v>204</v>
      </c>
      <c r="D91" s="52"/>
      <c r="E91" s="52" t="s">
        <v>205</v>
      </c>
      <c r="F91" s="52" t="s">
        <v>205</v>
      </c>
      <c r="G91" s="53">
        <v>2</v>
      </c>
      <c r="H91" s="52" t="s">
        <v>62</v>
      </c>
      <c r="I91" s="53">
        <v>39990</v>
      </c>
      <c r="J91" s="53" t="s">
        <v>63</v>
      </c>
      <c r="K91" s="53" t="s">
        <v>64</v>
      </c>
      <c r="L91" s="53" t="s">
        <v>65</v>
      </c>
      <c r="M91" s="53" t="s">
        <v>66</v>
      </c>
      <c r="N91" s="52" t="str">
        <f ca="1">IF(INDIRECT("M91")="Clásica","14%",IF(INDIRECT("M91")="Premium","18%","-"))</f>
        <v>14%</v>
      </c>
      <c r="O91" s="53" t="s">
        <v>67</v>
      </c>
    </row>
    <row r="92" spans="1:15" ht="49.95" customHeight="1">
      <c r="A92" s="52" t="s">
        <v>24</v>
      </c>
      <c r="B92" s="52" t="s">
        <v>206</v>
      </c>
      <c r="C92" s="52"/>
      <c r="D92" s="52"/>
      <c r="E92" s="52" t="s">
        <v>207</v>
      </c>
      <c r="F92" s="52" t="s">
        <v>62</v>
      </c>
      <c r="G92" s="52" t="s">
        <v>112</v>
      </c>
      <c r="H92" s="52" t="s">
        <v>62</v>
      </c>
      <c r="I92" s="53">
        <v>24990</v>
      </c>
      <c r="J92" s="53" t="s">
        <v>63</v>
      </c>
      <c r="K92" s="53" t="s">
        <v>64</v>
      </c>
      <c r="L92" s="53" t="s">
        <v>65</v>
      </c>
      <c r="M92" s="53" t="s">
        <v>66</v>
      </c>
      <c r="N92" s="52" t="str">
        <f ca="1">IF(INDIRECT("M92")="Clásica","14%",IF(INDIRECT("M92")="Premium","18%","-"))</f>
        <v>14%</v>
      </c>
      <c r="O92" s="53" t="s">
        <v>67</v>
      </c>
    </row>
    <row r="93" spans="1:15" ht="49.95" customHeight="1">
      <c r="A93" s="52" t="s">
        <v>24</v>
      </c>
      <c r="B93" s="52" t="s">
        <v>206</v>
      </c>
      <c r="C93" s="52" t="s">
        <v>208</v>
      </c>
      <c r="D93" s="52" t="s">
        <v>208</v>
      </c>
      <c r="E93" s="54" t="str">
        <f>"     "&amp;E92</f>
        <v xml:space="preserve">     Protector Manillas Manillar Ktm Duke Con Logo Colores</v>
      </c>
      <c r="F93" s="52" t="s">
        <v>100</v>
      </c>
      <c r="G93" s="53">
        <v>2</v>
      </c>
      <c r="H93" s="52" t="s">
        <v>62</v>
      </c>
      <c r="I93" s="52">
        <f>I92</f>
        <v>24990</v>
      </c>
      <c r="J93" s="52" t="str">
        <f>J92&amp;"     "</f>
        <v xml:space="preserve">$     </v>
      </c>
      <c r="K93" s="52" t="str">
        <f>K92&amp;"     "</f>
        <v xml:space="preserve">Nuevo     </v>
      </c>
      <c r="L93" s="52" t="str">
        <f>L92&amp;"     "</f>
        <v xml:space="preserve">Mercado Envíos gratis     </v>
      </c>
      <c r="M93" s="52" t="str">
        <f>M92&amp;"     "</f>
        <v xml:space="preserve">Clásica     </v>
      </c>
      <c r="N93" s="52" t="str">
        <f ca="1">N92</f>
        <v>14%</v>
      </c>
      <c r="O93" s="52" t="str">
        <f>O92&amp;"     "</f>
        <v xml:space="preserve">Activa     </v>
      </c>
    </row>
    <row r="94" spans="1:15" ht="49.95" customHeight="1">
      <c r="A94" s="52" t="s">
        <v>24</v>
      </c>
      <c r="B94" s="52" t="s">
        <v>206</v>
      </c>
      <c r="C94" s="52" t="s">
        <v>209</v>
      </c>
      <c r="D94" s="52" t="s">
        <v>209</v>
      </c>
      <c r="E94" s="54" t="str">
        <f>"     "&amp;E92</f>
        <v xml:space="preserve">     Protector Manillas Manillar Ktm Duke Con Logo Colores</v>
      </c>
      <c r="F94" s="52" t="s">
        <v>86</v>
      </c>
      <c r="G94" s="53">
        <v>0</v>
      </c>
      <c r="H94" s="52" t="s">
        <v>62</v>
      </c>
      <c r="I94" s="52">
        <f>I92</f>
        <v>24990</v>
      </c>
      <c r="J94" s="52" t="str">
        <f>J92&amp;"     "</f>
        <v xml:space="preserve">$     </v>
      </c>
      <c r="K94" s="52" t="str">
        <f>K92&amp;"     "</f>
        <v xml:space="preserve">Nuevo     </v>
      </c>
      <c r="L94" s="52" t="str">
        <f>L92&amp;"     "</f>
        <v xml:space="preserve">Mercado Envíos gratis     </v>
      </c>
      <c r="M94" s="52" t="str">
        <f>M92&amp;"     "</f>
        <v xml:space="preserve">Clásica     </v>
      </c>
      <c r="N94" s="52" t="str">
        <f ca="1">N92</f>
        <v>14%</v>
      </c>
      <c r="O94" s="52" t="str">
        <f>O92&amp;"     "</f>
        <v xml:space="preserve">Activa     </v>
      </c>
    </row>
    <row r="95" spans="1:15" ht="49.95" customHeight="1">
      <c r="A95" s="52" t="s">
        <v>24</v>
      </c>
      <c r="B95" s="52" t="s">
        <v>210</v>
      </c>
      <c r="C95" s="52"/>
      <c r="D95" s="52"/>
      <c r="E95" s="52" t="s">
        <v>211</v>
      </c>
      <c r="F95" s="52" t="s">
        <v>62</v>
      </c>
      <c r="G95" s="52" t="s">
        <v>188</v>
      </c>
      <c r="H95" s="52" t="s">
        <v>62</v>
      </c>
      <c r="I95" s="53">
        <v>33990</v>
      </c>
      <c r="J95" s="53" t="s">
        <v>63</v>
      </c>
      <c r="K95" s="53" t="s">
        <v>64</v>
      </c>
      <c r="L95" s="53" t="s">
        <v>65</v>
      </c>
      <c r="M95" s="53" t="s">
        <v>66</v>
      </c>
      <c r="N95" s="52" t="str">
        <f ca="1">IF(INDIRECT("M95")="Clásica","14%",IF(INDIRECT("M95")="Premium","18%","-"))</f>
        <v>14%</v>
      </c>
      <c r="O95" s="53" t="s">
        <v>67</v>
      </c>
    </row>
    <row r="96" spans="1:15" ht="49.95" customHeight="1">
      <c r="A96" s="52" t="s">
        <v>24</v>
      </c>
      <c r="B96" s="52" t="s">
        <v>210</v>
      </c>
      <c r="C96" s="52" t="s">
        <v>212</v>
      </c>
      <c r="D96" s="52" t="s">
        <v>212</v>
      </c>
      <c r="E96" s="54" t="str">
        <f>"     "&amp;E95</f>
        <v xml:space="preserve">     Espejos Tipo Rizoma Honda Cb190 Cb190r Logo Colores + Envío</v>
      </c>
      <c r="F96" s="52" t="s">
        <v>90</v>
      </c>
      <c r="G96" s="53">
        <v>2</v>
      </c>
      <c r="H96" s="52" t="s">
        <v>62</v>
      </c>
      <c r="I96" s="52">
        <f>I95</f>
        <v>33990</v>
      </c>
      <c r="J96" s="52" t="str">
        <f>J95&amp;"     "</f>
        <v xml:space="preserve">$     </v>
      </c>
      <c r="K96" s="52" t="str">
        <f>K95&amp;"     "</f>
        <v xml:space="preserve">Nuevo     </v>
      </c>
      <c r="L96" s="52" t="str">
        <f>L95&amp;"     "</f>
        <v xml:space="preserve">Mercado Envíos gratis     </v>
      </c>
      <c r="M96" s="52" t="str">
        <f>M95&amp;"     "</f>
        <v xml:space="preserve">Clásica     </v>
      </c>
      <c r="N96" s="52" t="str">
        <f ca="1">N95</f>
        <v>14%</v>
      </c>
      <c r="O96" s="52" t="str">
        <f>O95&amp;"     "</f>
        <v xml:space="preserve">Activa     </v>
      </c>
    </row>
    <row r="97" spans="1:15" ht="49.95" customHeight="1">
      <c r="A97" s="52" t="s">
        <v>24</v>
      </c>
      <c r="B97" s="52" t="s">
        <v>210</v>
      </c>
      <c r="C97" s="52" t="s">
        <v>213</v>
      </c>
      <c r="D97" s="52" t="s">
        <v>213</v>
      </c>
      <c r="E97" s="54" t="str">
        <f>"     "&amp;E95</f>
        <v xml:space="preserve">     Espejos Tipo Rizoma Honda Cb190 Cb190r Logo Colores + Envío</v>
      </c>
      <c r="F97" s="52" t="s">
        <v>88</v>
      </c>
      <c r="G97" s="53">
        <v>2</v>
      </c>
      <c r="H97" s="52" t="s">
        <v>62</v>
      </c>
      <c r="I97" s="52">
        <f>I95</f>
        <v>33990</v>
      </c>
      <c r="J97" s="52" t="str">
        <f>J95&amp;"     "</f>
        <v xml:space="preserve">$     </v>
      </c>
      <c r="K97" s="52" t="str">
        <f>K95&amp;"     "</f>
        <v xml:space="preserve">Nuevo     </v>
      </c>
      <c r="L97" s="52" t="str">
        <f>L95&amp;"     "</f>
        <v xml:space="preserve">Mercado Envíos gratis     </v>
      </c>
      <c r="M97" s="52" t="str">
        <f>M95&amp;"     "</f>
        <v xml:space="preserve">Clásica     </v>
      </c>
      <c r="N97" s="52" t="str">
        <f ca="1">N95</f>
        <v>14%</v>
      </c>
      <c r="O97" s="52" t="str">
        <f>O95&amp;"     "</f>
        <v xml:space="preserve">Activa     </v>
      </c>
    </row>
    <row r="98" spans="1:15" ht="49.95" customHeight="1">
      <c r="A98" s="52" t="s">
        <v>24</v>
      </c>
      <c r="B98" s="52" t="s">
        <v>210</v>
      </c>
      <c r="C98" s="52" t="s">
        <v>214</v>
      </c>
      <c r="D98" s="52" t="s">
        <v>214</v>
      </c>
      <c r="E98" s="54" t="str">
        <f>"     "&amp;E95</f>
        <v xml:space="preserve">     Espejos Tipo Rizoma Honda Cb190 Cb190r Logo Colores + Envío</v>
      </c>
      <c r="F98" s="52" t="s">
        <v>100</v>
      </c>
      <c r="G98" s="53">
        <v>2</v>
      </c>
      <c r="H98" s="52" t="s">
        <v>62</v>
      </c>
      <c r="I98" s="52">
        <f>I95</f>
        <v>33990</v>
      </c>
      <c r="J98" s="52" t="str">
        <f>J95&amp;"     "</f>
        <v xml:space="preserve">$     </v>
      </c>
      <c r="K98" s="52" t="str">
        <f>K95&amp;"     "</f>
        <v xml:space="preserve">Nuevo     </v>
      </c>
      <c r="L98" s="52" t="str">
        <f>L95&amp;"     "</f>
        <v xml:space="preserve">Mercado Envíos gratis     </v>
      </c>
      <c r="M98" s="52" t="str">
        <f>M95&amp;"     "</f>
        <v xml:space="preserve">Clásica     </v>
      </c>
      <c r="N98" s="52" t="str">
        <f ca="1">N95</f>
        <v>14%</v>
      </c>
      <c r="O98" s="52" t="str">
        <f>O95&amp;"     "</f>
        <v xml:space="preserve">Activa     </v>
      </c>
    </row>
    <row r="99" spans="1:15" ht="49.95" customHeight="1">
      <c r="A99" s="52" t="s">
        <v>24</v>
      </c>
      <c r="B99" s="52" t="s">
        <v>210</v>
      </c>
      <c r="C99" s="52" t="s">
        <v>215</v>
      </c>
      <c r="D99" s="52" t="s">
        <v>215</v>
      </c>
      <c r="E99" s="54" t="str">
        <f>"     "&amp;E95</f>
        <v xml:space="preserve">     Espejos Tipo Rizoma Honda Cb190 Cb190r Logo Colores + Envío</v>
      </c>
      <c r="F99" s="52" t="s">
        <v>86</v>
      </c>
      <c r="G99" s="53">
        <v>1</v>
      </c>
      <c r="H99" s="52" t="s">
        <v>62</v>
      </c>
      <c r="I99" s="52">
        <f>I95</f>
        <v>33990</v>
      </c>
      <c r="J99" s="52" t="str">
        <f>J95&amp;"     "</f>
        <v xml:space="preserve">$     </v>
      </c>
      <c r="K99" s="52" t="str">
        <f>K95&amp;"     "</f>
        <v xml:space="preserve">Nuevo     </v>
      </c>
      <c r="L99" s="52" t="str">
        <f>L95&amp;"     "</f>
        <v xml:space="preserve">Mercado Envíos gratis     </v>
      </c>
      <c r="M99" s="52" t="str">
        <f>M95&amp;"     "</f>
        <v xml:space="preserve">Clásica     </v>
      </c>
      <c r="N99" s="52" t="str">
        <f ca="1">N95</f>
        <v>14%</v>
      </c>
      <c r="O99" s="52" t="str">
        <f>O95&amp;"     "</f>
        <v xml:space="preserve">Activa     </v>
      </c>
    </row>
    <row r="100" spans="1:15" ht="49.95" customHeight="1">
      <c r="A100" s="52" t="s">
        <v>24</v>
      </c>
      <c r="B100" s="52" t="s">
        <v>216</v>
      </c>
      <c r="C100" s="52"/>
      <c r="D100" s="52"/>
      <c r="E100" s="52" t="s">
        <v>217</v>
      </c>
      <c r="F100" s="52" t="s">
        <v>62</v>
      </c>
      <c r="G100" s="52" t="s">
        <v>143</v>
      </c>
      <c r="H100" s="52" t="s">
        <v>62</v>
      </c>
      <c r="I100" s="53">
        <v>44990</v>
      </c>
      <c r="J100" s="53" t="s">
        <v>63</v>
      </c>
      <c r="K100" s="53" t="s">
        <v>64</v>
      </c>
      <c r="L100" s="53" t="s">
        <v>65</v>
      </c>
      <c r="M100" s="53" t="s">
        <v>66</v>
      </c>
      <c r="N100" s="52" t="str">
        <f ca="1">IF(INDIRECT("M100")="Clásica","14%",IF(INDIRECT("M100")="Premium","18%","-"))</f>
        <v>14%</v>
      </c>
      <c r="O100" s="53" t="s">
        <v>67</v>
      </c>
    </row>
    <row r="101" spans="1:15" ht="49.95" customHeight="1">
      <c r="A101" s="52" t="s">
        <v>24</v>
      </c>
      <c r="B101" s="52" t="s">
        <v>216</v>
      </c>
      <c r="C101" s="52" t="s">
        <v>218</v>
      </c>
      <c r="D101" s="52" t="s">
        <v>218</v>
      </c>
      <c r="E101" s="54" t="str">
        <f>"     "&amp;E100</f>
        <v xml:space="preserve">     Manillas Palancas Ktm Rc 200 250 390 Con Logo Colores</v>
      </c>
      <c r="F101" s="52" t="s">
        <v>100</v>
      </c>
      <c r="G101" s="53">
        <v>2</v>
      </c>
      <c r="H101" s="52" t="s">
        <v>62</v>
      </c>
      <c r="I101" s="52">
        <f>I100</f>
        <v>44990</v>
      </c>
      <c r="J101" s="52" t="str">
        <f>J100&amp;"     "</f>
        <v xml:space="preserve">$     </v>
      </c>
      <c r="K101" s="52" t="str">
        <f>K100&amp;"     "</f>
        <v xml:space="preserve">Nuevo     </v>
      </c>
      <c r="L101" s="52" t="str">
        <f>L100&amp;"     "</f>
        <v xml:space="preserve">Mercado Envíos gratis     </v>
      </c>
      <c r="M101" s="52" t="str">
        <f>M100&amp;"     "</f>
        <v xml:space="preserve">Clásica     </v>
      </c>
      <c r="N101" s="52" t="str">
        <f ca="1">N100</f>
        <v>14%</v>
      </c>
      <c r="O101" s="52" t="str">
        <f>O100&amp;"     "</f>
        <v xml:space="preserve">Activa     </v>
      </c>
    </row>
    <row r="102" spans="1:15" ht="49.95" customHeight="1">
      <c r="A102" s="52" t="s">
        <v>24</v>
      </c>
      <c r="B102" s="52" t="s">
        <v>216</v>
      </c>
      <c r="C102" s="52" t="s">
        <v>219</v>
      </c>
      <c r="D102" s="52" t="s">
        <v>219</v>
      </c>
      <c r="E102" s="54" t="str">
        <f>"     "&amp;E100</f>
        <v xml:space="preserve">     Manillas Palancas Ktm Rc 200 250 390 Con Logo Colores</v>
      </c>
      <c r="F102" s="52" t="s">
        <v>86</v>
      </c>
      <c r="G102" s="53">
        <v>2</v>
      </c>
      <c r="H102" s="52" t="s">
        <v>62</v>
      </c>
      <c r="I102" s="52">
        <f>I100</f>
        <v>44990</v>
      </c>
      <c r="J102" s="52" t="str">
        <f>J100&amp;"     "</f>
        <v xml:space="preserve">$     </v>
      </c>
      <c r="K102" s="52" t="str">
        <f>K100&amp;"     "</f>
        <v xml:space="preserve">Nuevo     </v>
      </c>
      <c r="L102" s="52" t="str">
        <f>L100&amp;"     "</f>
        <v xml:space="preserve">Mercado Envíos gratis     </v>
      </c>
      <c r="M102" s="52" t="str">
        <f>M100&amp;"     "</f>
        <v xml:space="preserve">Clásica     </v>
      </c>
      <c r="N102" s="52" t="str">
        <f ca="1">N100</f>
        <v>14%</v>
      </c>
      <c r="O102" s="52" t="str">
        <f>O100&amp;"     "</f>
        <v xml:space="preserve">Activa     </v>
      </c>
    </row>
    <row r="103" spans="1:15" ht="49.95" customHeight="1">
      <c r="A103" s="52" t="s">
        <v>24</v>
      </c>
      <c r="B103" s="52" t="s">
        <v>220</v>
      </c>
      <c r="C103" s="52"/>
      <c r="D103" s="52"/>
      <c r="E103" s="52" t="s">
        <v>221</v>
      </c>
      <c r="F103" s="52" t="s">
        <v>62</v>
      </c>
      <c r="G103" s="52" t="s">
        <v>164</v>
      </c>
      <c r="H103" s="52" t="s">
        <v>62</v>
      </c>
      <c r="I103" s="53">
        <v>39990</v>
      </c>
      <c r="J103" s="53" t="s">
        <v>63</v>
      </c>
      <c r="K103" s="53" t="s">
        <v>64</v>
      </c>
      <c r="L103" s="53" t="s">
        <v>65</v>
      </c>
      <c r="M103" s="53" t="s">
        <v>66</v>
      </c>
      <c r="N103" s="52" t="str">
        <f ca="1">IF(INDIRECT("M103")="Clásica","15%",IF(INDIRECT("M103")="Premium","19%","-"))</f>
        <v>15%</v>
      </c>
      <c r="O103" s="53" t="s">
        <v>67</v>
      </c>
    </row>
    <row r="104" spans="1:15" ht="49.95" customHeight="1">
      <c r="A104" s="52" t="s">
        <v>24</v>
      </c>
      <c r="B104" s="52" t="s">
        <v>220</v>
      </c>
      <c r="C104" s="52" t="s">
        <v>222</v>
      </c>
      <c r="D104" s="52" t="s">
        <v>222</v>
      </c>
      <c r="E104" s="54" t="str">
        <f>"     "&amp;E103</f>
        <v xml:space="preserve">     Cúpula Parabrisas Doble Burbuja Yamaha R3 R 3 Hasta 2018</v>
      </c>
      <c r="F104" s="52" t="s">
        <v>86</v>
      </c>
      <c r="G104" s="53">
        <v>1</v>
      </c>
      <c r="H104" s="52" t="s">
        <v>62</v>
      </c>
      <c r="I104" s="52">
        <f>I103</f>
        <v>39990</v>
      </c>
      <c r="J104" s="52" t="str">
        <f>J103&amp;"     "</f>
        <v xml:space="preserve">$     </v>
      </c>
      <c r="K104" s="52" t="str">
        <f>K103&amp;"     "</f>
        <v xml:space="preserve">Nuevo     </v>
      </c>
      <c r="L104" s="52" t="str">
        <f>L103&amp;"     "</f>
        <v xml:space="preserve">Mercado Envíos gratis     </v>
      </c>
      <c r="M104" s="52" t="str">
        <f>M103&amp;"     "</f>
        <v xml:space="preserve">Clásica     </v>
      </c>
      <c r="N104" s="52" t="str">
        <f ca="1">N103</f>
        <v>15%</v>
      </c>
      <c r="O104" s="52" t="str">
        <f>O103&amp;"     "</f>
        <v xml:space="preserve">Activa     </v>
      </c>
    </row>
    <row r="105" spans="1:15" ht="49.95" customHeight="1">
      <c r="A105" s="52" t="s">
        <v>24</v>
      </c>
      <c r="B105" s="52" t="s">
        <v>220</v>
      </c>
      <c r="C105" s="52" t="s">
        <v>223</v>
      </c>
      <c r="D105" s="52" t="s">
        <v>223</v>
      </c>
      <c r="E105" s="54" t="str">
        <f>"     "&amp;E103</f>
        <v xml:space="preserve">     Cúpula Parabrisas Doble Burbuja Yamaha R3 R 3 Hasta 2018</v>
      </c>
      <c r="F105" s="52" t="s">
        <v>224</v>
      </c>
      <c r="G105" s="53">
        <v>0</v>
      </c>
      <c r="H105" s="52" t="s">
        <v>62</v>
      </c>
      <c r="I105" s="52">
        <f>I103</f>
        <v>39990</v>
      </c>
      <c r="J105" s="52" t="str">
        <f>J103&amp;"     "</f>
        <v xml:space="preserve">$     </v>
      </c>
      <c r="K105" s="52" t="str">
        <f>K103&amp;"     "</f>
        <v xml:space="preserve">Nuevo     </v>
      </c>
      <c r="L105" s="52" t="str">
        <f>L103&amp;"     "</f>
        <v xml:space="preserve">Mercado Envíos gratis     </v>
      </c>
      <c r="M105" s="52" t="str">
        <f>M103&amp;"     "</f>
        <v xml:space="preserve">Clásica     </v>
      </c>
      <c r="N105" s="52" t="str">
        <f ca="1">N103</f>
        <v>15%</v>
      </c>
      <c r="O105" s="52" t="str">
        <f>O103&amp;"     "</f>
        <v xml:space="preserve">Activa     </v>
      </c>
    </row>
    <row r="106" spans="1:15" ht="49.95" customHeight="1">
      <c r="A106" s="52" t="s">
        <v>24</v>
      </c>
      <c r="B106" s="52" t="s">
        <v>225</v>
      </c>
      <c r="C106" s="52"/>
      <c r="D106" s="52"/>
      <c r="E106" s="52" t="s">
        <v>226</v>
      </c>
      <c r="F106" s="52" t="s">
        <v>62</v>
      </c>
      <c r="G106" s="52" t="s">
        <v>164</v>
      </c>
      <c r="H106" s="52" t="s">
        <v>62</v>
      </c>
      <c r="I106" s="53">
        <v>44990</v>
      </c>
      <c r="J106" s="53" t="s">
        <v>63</v>
      </c>
      <c r="K106" s="53" t="s">
        <v>64</v>
      </c>
      <c r="L106" s="53" t="s">
        <v>65</v>
      </c>
      <c r="M106" s="53" t="s">
        <v>66</v>
      </c>
      <c r="N106" s="52" t="str">
        <f ca="1">IF(INDIRECT("M106")="Clásica","15%",IF(INDIRECT("M106")="Premium","19%","-"))</f>
        <v>15%</v>
      </c>
      <c r="O106" s="53" t="s">
        <v>67</v>
      </c>
    </row>
    <row r="107" spans="1:15" ht="49.95" customHeight="1">
      <c r="A107" s="52" t="s">
        <v>24</v>
      </c>
      <c r="B107" s="52" t="s">
        <v>225</v>
      </c>
      <c r="C107" s="52" t="s">
        <v>227</v>
      </c>
      <c r="D107" s="52" t="s">
        <v>227</v>
      </c>
      <c r="E107" s="54" t="str">
        <f>"     "&amp;E106</f>
        <v xml:space="preserve">     Cúpula Parabrisas Yamaha Mt03a Mt03 A Mt 03 Desde Año 2020</v>
      </c>
      <c r="F107" s="52" t="s">
        <v>224</v>
      </c>
      <c r="G107" s="53">
        <v>1</v>
      </c>
      <c r="H107" s="52" t="s">
        <v>62</v>
      </c>
      <c r="I107" s="52">
        <f>I106</f>
        <v>44990</v>
      </c>
      <c r="J107" s="52" t="str">
        <f>J106&amp;"     "</f>
        <v xml:space="preserve">$     </v>
      </c>
      <c r="K107" s="52" t="str">
        <f>K106&amp;"     "</f>
        <v xml:space="preserve">Nuevo     </v>
      </c>
      <c r="L107" s="52" t="str">
        <f>L106&amp;"     "</f>
        <v xml:space="preserve">Mercado Envíos gratis     </v>
      </c>
      <c r="M107" s="52" t="str">
        <f>M106&amp;"     "</f>
        <v xml:space="preserve">Clásica     </v>
      </c>
      <c r="N107" s="52" t="str">
        <f ca="1">N106</f>
        <v>15%</v>
      </c>
      <c r="O107" s="52" t="str">
        <f>O106&amp;"     "</f>
        <v xml:space="preserve">Activa     </v>
      </c>
    </row>
    <row r="108" spans="1:15" ht="49.95" customHeight="1">
      <c r="A108" s="52" t="s">
        <v>24</v>
      </c>
      <c r="B108" s="52" t="s">
        <v>225</v>
      </c>
      <c r="C108" s="52" t="s">
        <v>228</v>
      </c>
      <c r="D108" s="52" t="s">
        <v>228</v>
      </c>
      <c r="E108" s="54" t="str">
        <f>"     "&amp;E106</f>
        <v xml:space="preserve">     Cúpula Parabrisas Yamaha Mt03a Mt03 A Mt 03 Desde Año 2020</v>
      </c>
      <c r="F108" s="52" t="s">
        <v>86</v>
      </c>
      <c r="G108" s="53">
        <v>0</v>
      </c>
      <c r="H108" s="52" t="s">
        <v>62</v>
      </c>
      <c r="I108" s="52">
        <f>I106</f>
        <v>44990</v>
      </c>
      <c r="J108" s="52" t="str">
        <f>J106&amp;"     "</f>
        <v xml:space="preserve">$     </v>
      </c>
      <c r="K108" s="52" t="str">
        <f>K106&amp;"     "</f>
        <v xml:space="preserve">Nuevo     </v>
      </c>
      <c r="L108" s="52" t="str">
        <f>L106&amp;"     "</f>
        <v xml:space="preserve">Mercado Envíos gratis     </v>
      </c>
      <c r="M108" s="52" t="str">
        <f>M106&amp;"     "</f>
        <v xml:space="preserve">Clásica     </v>
      </c>
      <c r="N108" s="52" t="str">
        <f ca="1">N106</f>
        <v>15%</v>
      </c>
      <c r="O108" s="52" t="str">
        <f>O106&amp;"     "</f>
        <v xml:space="preserve">Activa     </v>
      </c>
    </row>
    <row r="109" spans="1:15" ht="49.95" customHeight="1">
      <c r="A109" s="52" t="s">
        <v>229</v>
      </c>
      <c r="B109" s="52" t="s">
        <v>230</v>
      </c>
      <c r="C109" s="52" t="s">
        <v>231</v>
      </c>
      <c r="D109" s="52"/>
      <c r="E109" s="52" t="s">
        <v>232</v>
      </c>
      <c r="F109" s="52" t="s">
        <v>86</v>
      </c>
      <c r="G109" s="53">
        <v>1</v>
      </c>
      <c r="H109" s="52" t="s">
        <v>62</v>
      </c>
      <c r="I109" s="53">
        <v>29990</v>
      </c>
      <c r="J109" s="53" t="s">
        <v>63</v>
      </c>
      <c r="K109" s="53" t="s">
        <v>64</v>
      </c>
      <c r="L109" s="53" t="s">
        <v>65</v>
      </c>
      <c r="M109" s="53" t="s">
        <v>66</v>
      </c>
      <c r="N109" s="52" t="str">
        <f ca="1">IF(INDIRECT("M109")="Clásica","14%",IF(INDIRECT("M109")="Premium","18%","-"))</f>
        <v>14%</v>
      </c>
      <c r="O109" s="53" t="s">
        <v>67</v>
      </c>
    </row>
    <row r="110" spans="1:15" ht="49.95" customHeight="1">
      <c r="A110" s="52" t="s">
        <v>24</v>
      </c>
      <c r="B110" s="52" t="s">
        <v>233</v>
      </c>
      <c r="C110" s="52"/>
      <c r="D110" s="52"/>
      <c r="E110" s="52" t="s">
        <v>234</v>
      </c>
      <c r="F110" s="52" t="s">
        <v>62</v>
      </c>
      <c r="G110" s="52" t="s">
        <v>143</v>
      </c>
      <c r="H110" s="52" t="s">
        <v>62</v>
      </c>
      <c r="I110" s="53">
        <v>34990</v>
      </c>
      <c r="J110" s="53" t="s">
        <v>63</v>
      </c>
      <c r="K110" s="53" t="s">
        <v>64</v>
      </c>
      <c r="L110" s="53" t="s">
        <v>65</v>
      </c>
      <c r="M110" s="53" t="s">
        <v>66</v>
      </c>
      <c r="N110" s="52" t="str">
        <f ca="1">IF(INDIRECT("M110")="Clásica","14%",IF(INDIRECT("M110")="Premium","18%","-"))</f>
        <v>14%</v>
      </c>
      <c r="O110" s="53" t="s">
        <v>67</v>
      </c>
    </row>
    <row r="111" spans="1:15" ht="49.95" customHeight="1">
      <c r="A111" s="52" t="s">
        <v>24</v>
      </c>
      <c r="B111" s="52" t="s">
        <v>233</v>
      </c>
      <c r="C111" s="52" t="s">
        <v>235</v>
      </c>
      <c r="D111" s="52" t="s">
        <v>235</v>
      </c>
      <c r="E111" s="54" t="str">
        <f>"     "&amp;E110</f>
        <v xml:space="preserve">     Alerón - Winglet Yamaha R3 (desde 2019) R3a R3 A</v>
      </c>
      <c r="F111" s="52" t="s">
        <v>84</v>
      </c>
      <c r="G111" s="53">
        <v>2</v>
      </c>
      <c r="H111" s="52" t="s">
        <v>62</v>
      </c>
      <c r="I111" s="52">
        <f>I110</f>
        <v>34990</v>
      </c>
      <c r="J111" s="52" t="str">
        <f>J110&amp;"     "</f>
        <v xml:space="preserve">$     </v>
      </c>
      <c r="K111" s="52" t="str">
        <f>K110&amp;"     "</f>
        <v xml:space="preserve">Nuevo     </v>
      </c>
      <c r="L111" s="52" t="str">
        <f>L110&amp;"     "</f>
        <v xml:space="preserve">Mercado Envíos gratis     </v>
      </c>
      <c r="M111" s="52" t="str">
        <f>M110&amp;"     "</f>
        <v xml:space="preserve">Clásica     </v>
      </c>
      <c r="N111" s="52" t="str">
        <f ca="1">N110</f>
        <v>14%</v>
      </c>
      <c r="O111" s="52" t="str">
        <f>O110&amp;"     "</f>
        <v xml:space="preserve">Activa     </v>
      </c>
    </row>
    <row r="112" spans="1:15" ht="49.95" customHeight="1">
      <c r="A112" s="52" t="s">
        <v>24</v>
      </c>
      <c r="B112" s="52" t="s">
        <v>233</v>
      </c>
      <c r="C112" s="52" t="s">
        <v>236</v>
      </c>
      <c r="D112" s="52" t="s">
        <v>236</v>
      </c>
      <c r="E112" s="54" t="str">
        <f>"     "&amp;E110</f>
        <v xml:space="preserve">     Alerón - Winglet Yamaha R3 (desde 2019) R3a R3 A</v>
      </c>
      <c r="F112" s="52" t="s">
        <v>237</v>
      </c>
      <c r="G112" s="53">
        <v>2</v>
      </c>
      <c r="H112" s="52" t="s">
        <v>62</v>
      </c>
      <c r="I112" s="52">
        <f>I110</f>
        <v>34990</v>
      </c>
      <c r="J112" s="52" t="str">
        <f>J110&amp;"     "</f>
        <v xml:space="preserve">$     </v>
      </c>
      <c r="K112" s="52" t="str">
        <f>K110&amp;"     "</f>
        <v xml:space="preserve">Nuevo     </v>
      </c>
      <c r="L112" s="52" t="str">
        <f>L110&amp;"     "</f>
        <v xml:space="preserve">Mercado Envíos gratis     </v>
      </c>
      <c r="M112" s="52" t="str">
        <f>M110&amp;"     "</f>
        <v xml:space="preserve">Clásica     </v>
      </c>
      <c r="N112" s="52" t="str">
        <f ca="1">N110</f>
        <v>14%</v>
      </c>
      <c r="O112" s="52" t="str">
        <f>O110&amp;"     "</f>
        <v xml:space="preserve">Activa     </v>
      </c>
    </row>
    <row r="113" spans="1:15" ht="49.95" customHeight="1">
      <c r="A113" s="52" t="s">
        <v>24</v>
      </c>
      <c r="B113" s="52" t="s">
        <v>233</v>
      </c>
      <c r="C113" s="52" t="s">
        <v>238</v>
      </c>
      <c r="D113" s="52" t="s">
        <v>238</v>
      </c>
      <c r="E113" s="54" t="str">
        <f>"     "&amp;E110</f>
        <v xml:space="preserve">     Alerón - Winglet Yamaha R3 (desde 2019) R3a R3 A</v>
      </c>
      <c r="F113" s="52" t="s">
        <v>86</v>
      </c>
      <c r="G113" s="53">
        <v>0</v>
      </c>
      <c r="H113" s="52" t="s">
        <v>62</v>
      </c>
      <c r="I113" s="52">
        <f>I110</f>
        <v>34990</v>
      </c>
      <c r="J113" s="52" t="str">
        <f>J110&amp;"     "</f>
        <v xml:space="preserve">$     </v>
      </c>
      <c r="K113" s="52" t="str">
        <f>K110&amp;"     "</f>
        <v xml:space="preserve">Nuevo     </v>
      </c>
      <c r="L113" s="52" t="str">
        <f>L110&amp;"     "</f>
        <v xml:space="preserve">Mercado Envíos gratis     </v>
      </c>
      <c r="M113" s="52" t="str">
        <f>M110&amp;"     "</f>
        <v xml:space="preserve">Clásica     </v>
      </c>
      <c r="N113" s="52" t="str">
        <f ca="1">N110</f>
        <v>14%</v>
      </c>
      <c r="O113" s="52" t="str">
        <f>O110&amp;"     "</f>
        <v xml:space="preserve">Activa     </v>
      </c>
    </row>
    <row r="114" spans="1:15" ht="49.95" customHeight="1">
      <c r="A114" s="52" t="s">
        <v>24</v>
      </c>
      <c r="B114" s="52" t="s">
        <v>239</v>
      </c>
      <c r="C114" s="52"/>
      <c r="D114" s="52"/>
      <c r="E114" s="52" t="s">
        <v>240</v>
      </c>
      <c r="F114" s="52" t="s">
        <v>62</v>
      </c>
      <c r="G114" s="52" t="s">
        <v>93</v>
      </c>
      <c r="H114" s="52" t="s">
        <v>62</v>
      </c>
      <c r="I114" s="53">
        <v>34990</v>
      </c>
      <c r="J114" s="53" t="s">
        <v>63</v>
      </c>
      <c r="K114" s="53" t="s">
        <v>64</v>
      </c>
      <c r="L114" s="53" t="s">
        <v>65</v>
      </c>
      <c r="M114" s="53" t="s">
        <v>66</v>
      </c>
      <c r="N114" s="52" t="str">
        <f ca="1">IF(INDIRECT("M114")="Clásica","14%",IF(INDIRECT("M114")="Premium","18%","-"))</f>
        <v>14%</v>
      </c>
      <c r="O114" s="53" t="s">
        <v>67</v>
      </c>
    </row>
    <row r="115" spans="1:15" ht="49.95" customHeight="1">
      <c r="A115" s="52" t="s">
        <v>24</v>
      </c>
      <c r="B115" s="52" t="s">
        <v>239</v>
      </c>
      <c r="C115" s="52" t="s">
        <v>241</v>
      </c>
      <c r="D115" s="52" t="s">
        <v>241</v>
      </c>
      <c r="E115" s="54" t="str">
        <f>"     "&amp;E114</f>
        <v xml:space="preserve">     Alerón Yamaha R3 - Winglet Yamaha R3 (hasta 2018) Colores</v>
      </c>
      <c r="F115" s="52" t="s">
        <v>84</v>
      </c>
      <c r="G115" s="53">
        <v>2</v>
      </c>
      <c r="H115" s="52" t="s">
        <v>62</v>
      </c>
      <c r="I115" s="52">
        <f>I114</f>
        <v>34990</v>
      </c>
      <c r="J115" s="52" t="str">
        <f>J114&amp;"     "</f>
        <v xml:space="preserve">$     </v>
      </c>
      <c r="K115" s="52" t="str">
        <f>K114&amp;"     "</f>
        <v xml:space="preserve">Nuevo     </v>
      </c>
      <c r="L115" s="52" t="str">
        <f>L114&amp;"     "</f>
        <v xml:space="preserve">Mercado Envíos gratis     </v>
      </c>
      <c r="M115" s="52" t="str">
        <f>M114&amp;"     "</f>
        <v xml:space="preserve">Clásica     </v>
      </c>
      <c r="N115" s="52" t="str">
        <f ca="1">N114</f>
        <v>14%</v>
      </c>
      <c r="O115" s="52" t="str">
        <f>O114&amp;"     "</f>
        <v xml:space="preserve">Activa     </v>
      </c>
    </row>
    <row r="116" spans="1:15" ht="49.95" customHeight="1">
      <c r="A116" s="52" t="s">
        <v>24</v>
      </c>
      <c r="B116" s="52" t="s">
        <v>239</v>
      </c>
      <c r="C116" s="52" t="s">
        <v>242</v>
      </c>
      <c r="D116" s="52" t="s">
        <v>242</v>
      </c>
      <c r="E116" s="54" t="str">
        <f>"     "&amp;E114</f>
        <v xml:space="preserve">     Alerón Yamaha R3 - Winglet Yamaha R3 (hasta 2018) Colores</v>
      </c>
      <c r="F116" s="52" t="s">
        <v>140</v>
      </c>
      <c r="G116" s="53">
        <v>2</v>
      </c>
      <c r="H116" s="52" t="s">
        <v>62</v>
      </c>
      <c r="I116" s="52">
        <f>I114</f>
        <v>34990</v>
      </c>
      <c r="J116" s="52" t="str">
        <f>J114&amp;"     "</f>
        <v xml:space="preserve">$     </v>
      </c>
      <c r="K116" s="52" t="str">
        <f>K114&amp;"     "</f>
        <v xml:space="preserve">Nuevo     </v>
      </c>
      <c r="L116" s="52" t="str">
        <f>L114&amp;"     "</f>
        <v xml:space="preserve">Mercado Envíos gratis     </v>
      </c>
      <c r="M116" s="52" t="str">
        <f>M114&amp;"     "</f>
        <v xml:space="preserve">Clásica     </v>
      </c>
      <c r="N116" s="52" t="str">
        <f ca="1">N114</f>
        <v>14%</v>
      </c>
      <c r="O116" s="52" t="str">
        <f>O114&amp;"     "</f>
        <v xml:space="preserve">Activa     </v>
      </c>
    </row>
    <row r="117" spans="1:15" ht="49.95" customHeight="1">
      <c r="A117" s="52" t="s">
        <v>24</v>
      </c>
      <c r="B117" s="52" t="s">
        <v>239</v>
      </c>
      <c r="C117" s="52" t="s">
        <v>243</v>
      </c>
      <c r="D117" s="52" t="s">
        <v>243</v>
      </c>
      <c r="E117" s="54" t="str">
        <f>"     "&amp;E114</f>
        <v xml:space="preserve">     Alerón Yamaha R3 - Winglet Yamaha R3 (hasta 2018) Colores</v>
      </c>
      <c r="F117" s="52" t="s">
        <v>86</v>
      </c>
      <c r="G117" s="53">
        <v>1</v>
      </c>
      <c r="H117" s="52" t="s">
        <v>62</v>
      </c>
      <c r="I117" s="52">
        <f>I114</f>
        <v>34990</v>
      </c>
      <c r="J117" s="52" t="str">
        <f>J114&amp;"     "</f>
        <v xml:space="preserve">$     </v>
      </c>
      <c r="K117" s="52" t="str">
        <f>K114&amp;"     "</f>
        <v xml:space="preserve">Nuevo     </v>
      </c>
      <c r="L117" s="52" t="str">
        <f>L114&amp;"     "</f>
        <v xml:space="preserve">Mercado Envíos gratis     </v>
      </c>
      <c r="M117" s="52" t="str">
        <f>M114&amp;"     "</f>
        <v xml:space="preserve">Clásica     </v>
      </c>
      <c r="N117" s="52" t="str">
        <f ca="1">N114</f>
        <v>14%</v>
      </c>
      <c r="O117" s="52" t="str">
        <f>O114&amp;"     "</f>
        <v xml:space="preserve">Activa     </v>
      </c>
    </row>
    <row r="118" spans="1:15" ht="49.95" customHeight="1">
      <c r="A118" s="52" t="s">
        <v>24</v>
      </c>
      <c r="B118" s="52" t="s">
        <v>244</v>
      </c>
      <c r="C118" s="52"/>
      <c r="D118" s="52"/>
      <c r="E118" s="52" t="s">
        <v>245</v>
      </c>
      <c r="F118" s="52" t="s">
        <v>62</v>
      </c>
      <c r="G118" s="52" t="s">
        <v>143</v>
      </c>
      <c r="H118" s="52" t="s">
        <v>62</v>
      </c>
      <c r="I118" s="53">
        <v>49990</v>
      </c>
      <c r="J118" s="53" t="s">
        <v>63</v>
      </c>
      <c r="K118" s="53" t="s">
        <v>64</v>
      </c>
      <c r="L118" s="53" t="s">
        <v>65</v>
      </c>
      <c r="M118" s="53" t="s">
        <v>66</v>
      </c>
      <c r="N118" s="52" t="str">
        <f ca="1">IF(INDIRECT("M118")="Clásica","15%",IF(INDIRECT("M118")="Premium","19%","-"))</f>
        <v>15%</v>
      </c>
      <c r="O118" s="53" t="s">
        <v>67</v>
      </c>
    </row>
    <row r="119" spans="1:15" ht="49.95" customHeight="1">
      <c r="A119" s="52" t="s">
        <v>24</v>
      </c>
      <c r="B119" s="52" t="s">
        <v>244</v>
      </c>
      <c r="C119" s="52" t="s">
        <v>246</v>
      </c>
      <c r="D119" s="52" t="s">
        <v>246</v>
      </c>
      <c r="E119" s="54" t="str">
        <f>"     "&amp;E118</f>
        <v xml:space="preserve">     Cúpula Parabrisas Yamaha Mt 03 Mt03 Hasta 2019 + E. Gratis</v>
      </c>
      <c r="F119" s="52" t="s">
        <v>86</v>
      </c>
      <c r="G119" s="53">
        <v>2</v>
      </c>
      <c r="H119" s="52" t="s">
        <v>62</v>
      </c>
      <c r="I119" s="52">
        <f>I118</f>
        <v>49990</v>
      </c>
      <c r="J119" s="52" t="str">
        <f>J118&amp;"     "</f>
        <v xml:space="preserve">$     </v>
      </c>
      <c r="K119" s="52" t="str">
        <f>K118&amp;"     "</f>
        <v xml:space="preserve">Nuevo     </v>
      </c>
      <c r="L119" s="52" t="str">
        <f>L118&amp;"     "</f>
        <v xml:space="preserve">Mercado Envíos gratis     </v>
      </c>
      <c r="M119" s="52" t="str">
        <f>M118&amp;"     "</f>
        <v xml:space="preserve">Clásica     </v>
      </c>
      <c r="N119" s="52" t="str">
        <f ca="1">N118</f>
        <v>15%</v>
      </c>
      <c r="O119" s="52" t="str">
        <f>O118&amp;"     "</f>
        <v xml:space="preserve">Activa     </v>
      </c>
    </row>
    <row r="120" spans="1:15" ht="49.95" customHeight="1">
      <c r="A120" s="52" t="s">
        <v>24</v>
      </c>
      <c r="B120" s="52" t="s">
        <v>244</v>
      </c>
      <c r="C120" s="52" t="s">
        <v>247</v>
      </c>
      <c r="D120" s="52" t="s">
        <v>247</v>
      </c>
      <c r="E120" s="54" t="str">
        <f>"     "&amp;E118</f>
        <v xml:space="preserve">     Cúpula Parabrisas Yamaha Mt 03 Mt03 Hasta 2019 + E. Gratis</v>
      </c>
      <c r="F120" s="52" t="s">
        <v>75</v>
      </c>
      <c r="G120" s="53">
        <v>2</v>
      </c>
      <c r="H120" s="52" t="s">
        <v>62</v>
      </c>
      <c r="I120" s="52">
        <f>I118</f>
        <v>49990</v>
      </c>
      <c r="J120" s="52" t="str">
        <f>J118&amp;"     "</f>
        <v xml:space="preserve">$     </v>
      </c>
      <c r="K120" s="52" t="str">
        <f>K118&amp;"     "</f>
        <v xml:space="preserve">Nuevo     </v>
      </c>
      <c r="L120" s="52" t="str">
        <f>L118&amp;"     "</f>
        <v xml:space="preserve">Mercado Envíos gratis     </v>
      </c>
      <c r="M120" s="52" t="str">
        <f>M118&amp;"     "</f>
        <v xml:space="preserve">Clásica     </v>
      </c>
      <c r="N120" s="52" t="str">
        <f ca="1">N118</f>
        <v>15%</v>
      </c>
      <c r="O120" s="52" t="str">
        <f>O118&amp;"     "</f>
        <v xml:space="preserve">Activa     </v>
      </c>
    </row>
    <row r="121" spans="1:15" ht="49.95" customHeight="1">
      <c r="A121" s="52" t="s">
        <v>24</v>
      </c>
      <c r="B121" s="52" t="s">
        <v>244</v>
      </c>
      <c r="C121" s="52" t="s">
        <v>248</v>
      </c>
      <c r="D121" s="52" t="s">
        <v>248</v>
      </c>
      <c r="E121" s="54" t="str">
        <f>"     "&amp;E118</f>
        <v xml:space="preserve">     Cúpula Parabrisas Yamaha Mt 03 Mt03 Hasta 2019 + E. Gratis</v>
      </c>
      <c r="F121" s="52" t="s">
        <v>249</v>
      </c>
      <c r="G121" s="53">
        <v>0</v>
      </c>
      <c r="H121" s="52" t="s">
        <v>62</v>
      </c>
      <c r="I121" s="52">
        <f>I118</f>
        <v>49990</v>
      </c>
      <c r="J121" s="52" t="str">
        <f>J118&amp;"     "</f>
        <v xml:space="preserve">$     </v>
      </c>
      <c r="K121" s="52" t="str">
        <f>K118&amp;"     "</f>
        <v xml:space="preserve">Nuevo     </v>
      </c>
      <c r="L121" s="52" t="str">
        <f>L118&amp;"     "</f>
        <v xml:space="preserve">Mercado Envíos gratis     </v>
      </c>
      <c r="M121" s="52" t="str">
        <f>M118&amp;"     "</f>
        <v xml:space="preserve">Clásica     </v>
      </c>
      <c r="N121" s="52" t="str">
        <f ca="1">N118</f>
        <v>15%</v>
      </c>
      <c r="O121" s="52" t="str">
        <f>O118&amp;"     "</f>
        <v xml:space="preserve">Activa     </v>
      </c>
    </row>
    <row r="122" spans="1:15" ht="49.95" customHeight="1">
      <c r="A122" s="52" t="s">
        <v>250</v>
      </c>
      <c r="B122" s="52" t="s">
        <v>251</v>
      </c>
      <c r="C122" s="52" t="s">
        <v>252</v>
      </c>
      <c r="D122" s="52"/>
      <c r="E122" s="52" t="s">
        <v>253</v>
      </c>
      <c r="F122" s="52" t="s">
        <v>253</v>
      </c>
      <c r="G122" s="53">
        <v>2</v>
      </c>
      <c r="H122" s="52" t="s">
        <v>62</v>
      </c>
      <c r="I122" s="53">
        <v>69990</v>
      </c>
      <c r="J122" s="53" t="s">
        <v>63</v>
      </c>
      <c r="K122" s="53" t="s">
        <v>64</v>
      </c>
      <c r="L122" s="53" t="s">
        <v>65</v>
      </c>
      <c r="M122" s="53" t="s">
        <v>66</v>
      </c>
      <c r="N122" s="52" t="str">
        <f ca="1">IF(INDIRECT("M122")="Clásica","14%",IF(INDIRECT("M122")="Premium","18%","-"))</f>
        <v>14%</v>
      </c>
      <c r="O122" s="53" t="s">
        <v>67</v>
      </c>
    </row>
    <row r="123" spans="1:15" ht="49.95" customHeight="1">
      <c r="A123" s="52" t="s">
        <v>254</v>
      </c>
      <c r="B123" s="52" t="s">
        <v>255</v>
      </c>
      <c r="C123" s="52" t="s">
        <v>256</v>
      </c>
      <c r="D123" s="52"/>
      <c r="E123" s="52" t="s">
        <v>257</v>
      </c>
      <c r="F123" s="52" t="s">
        <v>257</v>
      </c>
      <c r="G123" s="53">
        <v>2</v>
      </c>
      <c r="H123" s="52" t="s">
        <v>62</v>
      </c>
      <c r="I123" s="53">
        <v>11990</v>
      </c>
      <c r="J123" s="53" t="s">
        <v>63</v>
      </c>
      <c r="K123" s="53" t="s">
        <v>64</v>
      </c>
      <c r="L123" s="53" t="s">
        <v>71</v>
      </c>
      <c r="M123" s="53" t="s">
        <v>66</v>
      </c>
      <c r="N123" s="52" t="str">
        <f ca="1">IF(INDIRECT("M123")="Clásica","14%",IF(INDIRECT("M123")="Premium","18%","-"))</f>
        <v>14%</v>
      </c>
      <c r="O123" s="53" t="s">
        <v>67</v>
      </c>
    </row>
    <row r="124" spans="1:15" ht="49.95" customHeight="1">
      <c r="A124" s="52" t="s">
        <v>24</v>
      </c>
      <c r="B124" s="52" t="s">
        <v>258</v>
      </c>
      <c r="C124" s="52"/>
      <c r="D124" s="52"/>
      <c r="E124" s="52" t="s">
        <v>259</v>
      </c>
      <c r="F124" s="52" t="s">
        <v>62</v>
      </c>
      <c r="G124" s="52" t="s">
        <v>143</v>
      </c>
      <c r="H124" s="52" t="s">
        <v>62</v>
      </c>
      <c r="I124" s="53">
        <v>49990</v>
      </c>
      <c r="J124" s="53" t="s">
        <v>63</v>
      </c>
      <c r="K124" s="53" t="s">
        <v>64</v>
      </c>
      <c r="L124" s="53" t="s">
        <v>65</v>
      </c>
      <c r="M124" s="53" t="s">
        <v>66</v>
      </c>
      <c r="N124" s="52" t="str">
        <f ca="1">IF(INDIRECT("M124")="Clásica","14%",IF(INDIRECT("M124")="Premium","18%","-"))</f>
        <v>14%</v>
      </c>
      <c r="O124" s="53" t="s">
        <v>67</v>
      </c>
    </row>
    <row r="125" spans="1:15" ht="49.95" customHeight="1">
      <c r="A125" s="52" t="s">
        <v>24</v>
      </c>
      <c r="B125" s="52" t="s">
        <v>258</v>
      </c>
      <c r="C125" s="52" t="s">
        <v>260</v>
      </c>
      <c r="D125" s="52" t="s">
        <v>260</v>
      </c>
      <c r="E125" s="54" t="str">
        <f>"     "&amp;E124</f>
        <v xml:space="preserve">     Manillas Palancas Honda Crf300l Crf 300l Logo Retráctiles</v>
      </c>
      <c r="F125" s="52" t="s">
        <v>90</v>
      </c>
      <c r="G125" s="53">
        <v>2</v>
      </c>
      <c r="H125" s="52" t="s">
        <v>62</v>
      </c>
      <c r="I125" s="52">
        <f>I124</f>
        <v>49990</v>
      </c>
      <c r="J125" s="52" t="str">
        <f>J124&amp;"     "</f>
        <v xml:space="preserve">$     </v>
      </c>
      <c r="K125" s="52" t="str">
        <f>K124&amp;"     "</f>
        <v xml:space="preserve">Nuevo     </v>
      </c>
      <c r="L125" s="52" t="str">
        <f>L124&amp;"     "</f>
        <v xml:space="preserve">Mercado Envíos gratis     </v>
      </c>
      <c r="M125" s="52" t="str">
        <f>M124&amp;"     "</f>
        <v xml:space="preserve">Clásica     </v>
      </c>
      <c r="N125" s="52" t="str">
        <f ca="1">N124</f>
        <v>14%</v>
      </c>
      <c r="O125" s="52" t="str">
        <f>O124&amp;"     "</f>
        <v xml:space="preserve">Activa     </v>
      </c>
    </row>
    <row r="126" spans="1:15" ht="49.95" customHeight="1">
      <c r="A126" s="52" t="s">
        <v>24</v>
      </c>
      <c r="B126" s="52" t="s">
        <v>258</v>
      </c>
      <c r="C126" s="52" t="s">
        <v>261</v>
      </c>
      <c r="D126" s="52" t="s">
        <v>261</v>
      </c>
      <c r="E126" s="54" t="str">
        <f>"     "&amp;E124</f>
        <v xml:space="preserve">     Manillas Palancas Honda Crf300l Crf 300l Logo Retráctiles</v>
      </c>
      <c r="F126" s="52" t="s">
        <v>86</v>
      </c>
      <c r="G126" s="53">
        <v>2</v>
      </c>
      <c r="H126" s="52" t="s">
        <v>62</v>
      </c>
      <c r="I126" s="52">
        <f>I124</f>
        <v>49990</v>
      </c>
      <c r="J126" s="52" t="str">
        <f>J124&amp;"     "</f>
        <v xml:space="preserve">$     </v>
      </c>
      <c r="K126" s="52" t="str">
        <f>K124&amp;"     "</f>
        <v xml:space="preserve">Nuevo     </v>
      </c>
      <c r="L126" s="52" t="str">
        <f>L124&amp;"     "</f>
        <v xml:space="preserve">Mercado Envíos gratis     </v>
      </c>
      <c r="M126" s="52" t="str">
        <f>M124&amp;"     "</f>
        <v xml:space="preserve">Clásica     </v>
      </c>
      <c r="N126" s="52" t="str">
        <f ca="1">N124</f>
        <v>14%</v>
      </c>
      <c r="O126" s="52" t="str">
        <f>O124&amp;"     "</f>
        <v xml:space="preserve">Activa     </v>
      </c>
    </row>
    <row r="127" spans="1:15" ht="49.95" customHeight="1">
      <c r="A127" s="52" t="s">
        <v>262</v>
      </c>
      <c r="B127" s="52" t="s">
        <v>263</v>
      </c>
      <c r="C127" s="52" t="s">
        <v>264</v>
      </c>
      <c r="D127" s="52"/>
      <c r="E127" s="52" t="s">
        <v>265</v>
      </c>
      <c r="F127" s="52" t="s">
        <v>100</v>
      </c>
      <c r="G127" s="53">
        <v>2</v>
      </c>
      <c r="H127" s="52" t="s">
        <v>62</v>
      </c>
      <c r="I127" s="53">
        <v>19890</v>
      </c>
      <c r="J127" s="53" t="s">
        <v>63</v>
      </c>
      <c r="K127" s="53" t="s">
        <v>64</v>
      </c>
      <c r="L127" s="53" t="s">
        <v>71</v>
      </c>
      <c r="M127" s="53" t="s">
        <v>66</v>
      </c>
      <c r="N127" s="52" t="str">
        <f ca="1">IF(INDIRECT("M127")="Clásica","14%",IF(INDIRECT("M127")="Premium","18%","-"))</f>
        <v>14%</v>
      </c>
      <c r="O127" s="53" t="s">
        <v>67</v>
      </c>
    </row>
    <row r="128" spans="1:15" ht="49.95" customHeight="1">
      <c r="A128" s="52" t="s">
        <v>266</v>
      </c>
      <c r="B128" s="52" t="s">
        <v>267</v>
      </c>
      <c r="C128" s="52" t="s">
        <v>268</v>
      </c>
      <c r="D128" s="52"/>
      <c r="E128" s="52" t="s">
        <v>269</v>
      </c>
      <c r="F128" s="52" t="s">
        <v>269</v>
      </c>
      <c r="G128" s="53">
        <v>2</v>
      </c>
      <c r="H128" s="52" t="s">
        <v>62</v>
      </c>
      <c r="I128" s="53">
        <v>9990</v>
      </c>
      <c r="J128" s="53" t="s">
        <v>63</v>
      </c>
      <c r="K128" s="53" t="s">
        <v>64</v>
      </c>
      <c r="L128" s="53" t="s">
        <v>71</v>
      </c>
      <c r="M128" s="53" t="s">
        <v>66</v>
      </c>
      <c r="N128" s="52" t="str">
        <f ca="1">IF(INDIRECT("M128")="Clásica","14%",IF(INDIRECT("M128")="Premium","18%","-"))</f>
        <v>14%</v>
      </c>
      <c r="O128" s="53" t="s">
        <v>67</v>
      </c>
    </row>
    <row r="129" spans="1:15" ht="49.95" customHeight="1">
      <c r="A129" s="52" t="s">
        <v>24</v>
      </c>
      <c r="B129" s="52" t="s">
        <v>270</v>
      </c>
      <c r="C129" s="52"/>
      <c r="D129" s="52"/>
      <c r="E129" s="52" t="s">
        <v>271</v>
      </c>
      <c r="F129" s="52" t="s">
        <v>62</v>
      </c>
      <c r="G129" s="52" t="s">
        <v>112</v>
      </c>
      <c r="H129" s="52" t="s">
        <v>62</v>
      </c>
      <c r="I129" s="53">
        <v>17990</v>
      </c>
      <c r="J129" s="53" t="s">
        <v>63</v>
      </c>
      <c r="K129" s="53" t="s">
        <v>64</v>
      </c>
      <c r="L129" s="53" t="s">
        <v>71</v>
      </c>
      <c r="M129" s="53" t="s">
        <v>66</v>
      </c>
      <c r="N129" s="52" t="str">
        <f ca="1">IF(INDIRECT("M129")="Clásica","14%",IF(INDIRECT("M129")="Premium","18%","-"))</f>
        <v>14%</v>
      </c>
      <c r="O129" s="53" t="s">
        <v>67</v>
      </c>
    </row>
    <row r="130" spans="1:15" ht="49.95" customHeight="1">
      <c r="A130" s="52" t="s">
        <v>24</v>
      </c>
      <c r="B130" s="52" t="s">
        <v>270</v>
      </c>
      <c r="C130" s="52" t="s">
        <v>272</v>
      </c>
      <c r="D130" s="52" t="s">
        <v>272</v>
      </c>
      <c r="E130" s="54" t="str">
        <f>"     "&amp;E129</f>
        <v xml:space="preserve">     Tank Grip / Protector Estanque Ktm Duke 200 (no Ng) 390</v>
      </c>
      <c r="F130" s="52" t="s">
        <v>100</v>
      </c>
      <c r="G130" s="53">
        <v>2</v>
      </c>
      <c r="H130" s="52" t="s">
        <v>62</v>
      </c>
      <c r="I130" s="52">
        <f>I129</f>
        <v>17990</v>
      </c>
      <c r="J130" s="52" t="str">
        <f>J129&amp;"     "</f>
        <v xml:space="preserve">$     </v>
      </c>
      <c r="K130" s="52" t="str">
        <f>K129&amp;"     "</f>
        <v xml:space="preserve">Nuevo     </v>
      </c>
      <c r="L130" s="52" t="str">
        <f>L129&amp;"     "</f>
        <v xml:space="preserve">Mercado Envíos a cargo del comprador     </v>
      </c>
      <c r="M130" s="52" t="str">
        <f>M129&amp;"     "</f>
        <v xml:space="preserve">Clásica     </v>
      </c>
      <c r="N130" s="52" t="str">
        <f ca="1">N129</f>
        <v>14%</v>
      </c>
      <c r="O130" s="52" t="str">
        <f>O129&amp;"     "</f>
        <v xml:space="preserve">Activa     </v>
      </c>
    </row>
    <row r="131" spans="1:15" ht="49.95" customHeight="1">
      <c r="A131" s="52" t="s">
        <v>24</v>
      </c>
      <c r="B131" s="52" t="s">
        <v>270</v>
      </c>
      <c r="C131" s="52" t="s">
        <v>273</v>
      </c>
      <c r="D131" s="52" t="s">
        <v>273</v>
      </c>
      <c r="E131" s="54" t="str">
        <f>"     "&amp;E129</f>
        <v xml:space="preserve">     Tank Grip / Protector Estanque Ktm Duke 200 (no Ng) 390</v>
      </c>
      <c r="F131" s="52" t="s">
        <v>86</v>
      </c>
      <c r="G131" s="53">
        <v>0</v>
      </c>
      <c r="H131" s="52" t="s">
        <v>62</v>
      </c>
      <c r="I131" s="52">
        <f>I129</f>
        <v>17990</v>
      </c>
      <c r="J131" s="52" t="str">
        <f>J129&amp;"     "</f>
        <v xml:space="preserve">$     </v>
      </c>
      <c r="K131" s="52" t="str">
        <f>K129&amp;"     "</f>
        <v xml:space="preserve">Nuevo     </v>
      </c>
      <c r="L131" s="52" t="str">
        <f>L129&amp;"     "</f>
        <v xml:space="preserve">Mercado Envíos a cargo del comprador     </v>
      </c>
      <c r="M131" s="52" t="str">
        <f>M129&amp;"     "</f>
        <v xml:space="preserve">Clásica     </v>
      </c>
      <c r="N131" s="52" t="str">
        <f ca="1">N129</f>
        <v>14%</v>
      </c>
      <c r="O131" s="52" t="str">
        <f>O129&amp;"     "</f>
        <v xml:space="preserve">Activa     </v>
      </c>
    </row>
    <row r="132" spans="1:15" ht="49.95" customHeight="1">
      <c r="A132" s="52" t="s">
        <v>24</v>
      </c>
      <c r="B132" s="52" t="s">
        <v>274</v>
      </c>
      <c r="C132" s="52"/>
      <c r="D132" s="52"/>
      <c r="E132" s="52" t="s">
        <v>275</v>
      </c>
      <c r="F132" s="52" t="s">
        <v>62</v>
      </c>
      <c r="G132" s="52" t="s">
        <v>82</v>
      </c>
      <c r="H132" s="52" t="s">
        <v>62</v>
      </c>
      <c r="I132" s="53">
        <v>6990</v>
      </c>
      <c r="J132" s="53" t="s">
        <v>63</v>
      </c>
      <c r="K132" s="53" t="s">
        <v>64</v>
      </c>
      <c r="L132" s="53" t="s">
        <v>71</v>
      </c>
      <c r="M132" s="53" t="s">
        <v>66</v>
      </c>
      <c r="N132" s="52" t="str">
        <f ca="1">IF(INDIRECT("M132")="Clásica","14%",IF(INDIRECT("M132")="Premium","18%","-"))</f>
        <v>14%</v>
      </c>
      <c r="O132" s="53" t="s">
        <v>67</v>
      </c>
    </row>
    <row r="133" spans="1:15" ht="49.95" customHeight="1">
      <c r="A133" s="52" t="s">
        <v>24</v>
      </c>
      <c r="B133" s="52" t="s">
        <v>274</v>
      </c>
      <c r="C133" s="52" t="s">
        <v>276</v>
      </c>
      <c r="D133" s="52" t="s">
        <v>276</v>
      </c>
      <c r="E133" s="54" t="str">
        <f>"     "&amp;E132</f>
        <v xml:space="preserve">     Soporte Espejo Barra Extensora Semi Manillar - Vespas</v>
      </c>
      <c r="F133" s="52" t="s">
        <v>88</v>
      </c>
      <c r="G133" s="53">
        <v>2</v>
      </c>
      <c r="H133" s="52" t="s">
        <v>62</v>
      </c>
      <c r="I133" s="52">
        <f>I132</f>
        <v>6990</v>
      </c>
      <c r="J133" s="52" t="str">
        <f>J132&amp;"     "</f>
        <v xml:space="preserve">$     </v>
      </c>
      <c r="K133" s="52" t="str">
        <f>K132&amp;"     "</f>
        <v xml:space="preserve">Nuevo     </v>
      </c>
      <c r="L133" s="52" t="str">
        <f>L132&amp;"     "</f>
        <v xml:space="preserve">Mercado Envíos a cargo del comprador     </v>
      </c>
      <c r="M133" s="52" t="str">
        <f>M132&amp;"     "</f>
        <v xml:space="preserve">Clásica     </v>
      </c>
      <c r="N133" s="52" t="str">
        <f ca="1">N132</f>
        <v>14%</v>
      </c>
      <c r="O133" s="52" t="str">
        <f>O132&amp;"     "</f>
        <v xml:space="preserve">Activa     </v>
      </c>
    </row>
    <row r="134" spans="1:15" ht="49.95" customHeight="1">
      <c r="A134" s="52" t="s">
        <v>24</v>
      </c>
      <c r="B134" s="52" t="s">
        <v>274</v>
      </c>
      <c r="C134" s="52" t="s">
        <v>277</v>
      </c>
      <c r="D134" s="52" t="s">
        <v>277</v>
      </c>
      <c r="E134" s="54" t="str">
        <f>"     "&amp;E132</f>
        <v xml:space="preserve">     Soporte Espejo Barra Extensora Semi Manillar - Vespas</v>
      </c>
      <c r="F134" s="52" t="s">
        <v>90</v>
      </c>
      <c r="G134" s="53">
        <v>0</v>
      </c>
      <c r="H134" s="52" t="s">
        <v>62</v>
      </c>
      <c r="I134" s="52">
        <f>I132</f>
        <v>6990</v>
      </c>
      <c r="J134" s="52" t="str">
        <f>J132&amp;"     "</f>
        <v xml:space="preserve">$     </v>
      </c>
      <c r="K134" s="52" t="str">
        <f>K132&amp;"     "</f>
        <v xml:space="preserve">Nuevo     </v>
      </c>
      <c r="L134" s="52" t="str">
        <f>L132&amp;"     "</f>
        <v xml:space="preserve">Mercado Envíos a cargo del comprador     </v>
      </c>
      <c r="M134" s="52" t="str">
        <f>M132&amp;"     "</f>
        <v xml:space="preserve">Clásica     </v>
      </c>
      <c r="N134" s="52" t="str">
        <f ca="1">N132</f>
        <v>14%</v>
      </c>
      <c r="O134" s="52" t="str">
        <f>O132&amp;"     "</f>
        <v xml:space="preserve">Activa     </v>
      </c>
    </row>
    <row r="135" spans="1:15" ht="49.95" customHeight="1">
      <c r="A135" s="52" t="s">
        <v>24</v>
      </c>
      <c r="B135" s="52" t="s">
        <v>274</v>
      </c>
      <c r="C135" s="52" t="s">
        <v>278</v>
      </c>
      <c r="D135" s="52" t="s">
        <v>278</v>
      </c>
      <c r="E135" s="54" t="str">
        <f>"     "&amp;E132</f>
        <v xml:space="preserve">     Soporte Espejo Barra Extensora Semi Manillar - Vespas</v>
      </c>
      <c r="F135" s="52" t="s">
        <v>100</v>
      </c>
      <c r="G135" s="53">
        <v>1</v>
      </c>
      <c r="H135" s="52" t="s">
        <v>62</v>
      </c>
      <c r="I135" s="52">
        <f>I132</f>
        <v>6990</v>
      </c>
      <c r="J135" s="52" t="str">
        <f>J132&amp;"     "</f>
        <v xml:space="preserve">$     </v>
      </c>
      <c r="K135" s="52" t="str">
        <f>K132&amp;"     "</f>
        <v xml:space="preserve">Nuevo     </v>
      </c>
      <c r="L135" s="52" t="str">
        <f>L132&amp;"     "</f>
        <v xml:space="preserve">Mercado Envíos a cargo del comprador     </v>
      </c>
      <c r="M135" s="52" t="str">
        <f>M132&amp;"     "</f>
        <v xml:space="preserve">Clásica     </v>
      </c>
      <c r="N135" s="52" t="str">
        <f ca="1">N132</f>
        <v>14%</v>
      </c>
      <c r="O135" s="52" t="str">
        <f>O132&amp;"     "</f>
        <v xml:space="preserve">Activa     </v>
      </c>
    </row>
    <row r="136" spans="1:15" ht="49.95" customHeight="1">
      <c r="A136" s="52" t="s">
        <v>24</v>
      </c>
      <c r="B136" s="52" t="s">
        <v>274</v>
      </c>
      <c r="C136" s="52" t="s">
        <v>279</v>
      </c>
      <c r="D136" s="52" t="s">
        <v>279</v>
      </c>
      <c r="E136" s="54" t="str">
        <f>"     "&amp;E132</f>
        <v xml:space="preserve">     Soporte Espejo Barra Extensora Semi Manillar - Vespas</v>
      </c>
      <c r="F136" s="52" t="s">
        <v>97</v>
      </c>
      <c r="G136" s="53">
        <v>0</v>
      </c>
      <c r="H136" s="52" t="s">
        <v>62</v>
      </c>
      <c r="I136" s="52">
        <f>I132</f>
        <v>6990</v>
      </c>
      <c r="J136" s="52" t="str">
        <f>J132&amp;"     "</f>
        <v xml:space="preserve">$     </v>
      </c>
      <c r="K136" s="52" t="str">
        <f>K132&amp;"     "</f>
        <v xml:space="preserve">Nuevo     </v>
      </c>
      <c r="L136" s="52" t="str">
        <f>L132&amp;"     "</f>
        <v xml:space="preserve">Mercado Envíos a cargo del comprador     </v>
      </c>
      <c r="M136" s="52" t="str">
        <f>M132&amp;"     "</f>
        <v xml:space="preserve">Clásica     </v>
      </c>
      <c r="N136" s="52" t="str">
        <f ca="1">N132</f>
        <v>14%</v>
      </c>
      <c r="O136" s="52" t="str">
        <f>O132&amp;"     "</f>
        <v xml:space="preserve">Activa     </v>
      </c>
    </row>
    <row r="137" spans="1:15" ht="49.95" customHeight="1">
      <c r="A137" s="52" t="s">
        <v>24</v>
      </c>
      <c r="B137" s="52" t="s">
        <v>274</v>
      </c>
      <c r="C137" s="52" t="s">
        <v>280</v>
      </c>
      <c r="D137" s="52" t="s">
        <v>280</v>
      </c>
      <c r="E137" s="54" t="str">
        <f>"     "&amp;E132</f>
        <v xml:space="preserve">     Soporte Espejo Barra Extensora Semi Manillar - Vespas</v>
      </c>
      <c r="F137" s="52" t="s">
        <v>84</v>
      </c>
      <c r="G137" s="53">
        <v>0</v>
      </c>
      <c r="H137" s="52" t="s">
        <v>62</v>
      </c>
      <c r="I137" s="52">
        <f>I132</f>
        <v>6990</v>
      </c>
      <c r="J137" s="52" t="str">
        <f>J132&amp;"     "</f>
        <v xml:space="preserve">$     </v>
      </c>
      <c r="K137" s="52" t="str">
        <f>K132&amp;"     "</f>
        <v xml:space="preserve">Nuevo     </v>
      </c>
      <c r="L137" s="52" t="str">
        <f>L132&amp;"     "</f>
        <v xml:space="preserve">Mercado Envíos a cargo del comprador     </v>
      </c>
      <c r="M137" s="52" t="str">
        <f>M132&amp;"     "</f>
        <v xml:space="preserve">Clásica     </v>
      </c>
      <c r="N137" s="52" t="str">
        <f ca="1">N132</f>
        <v>14%</v>
      </c>
      <c r="O137" s="52" t="str">
        <f>O132&amp;"     "</f>
        <v xml:space="preserve">Activa     </v>
      </c>
    </row>
    <row r="138" spans="1:15" ht="49.95" customHeight="1">
      <c r="A138" s="52" t="s">
        <v>24</v>
      </c>
      <c r="B138" s="52" t="s">
        <v>274</v>
      </c>
      <c r="C138" s="52" t="s">
        <v>281</v>
      </c>
      <c r="D138" s="52" t="s">
        <v>281</v>
      </c>
      <c r="E138" s="54" t="str">
        <f>"     "&amp;E132</f>
        <v xml:space="preserve">     Soporte Espejo Barra Extensora Semi Manillar - Vespas</v>
      </c>
      <c r="F138" s="52" t="s">
        <v>282</v>
      </c>
      <c r="G138" s="53">
        <v>0</v>
      </c>
      <c r="H138" s="52" t="s">
        <v>62</v>
      </c>
      <c r="I138" s="52">
        <f>I132</f>
        <v>6990</v>
      </c>
      <c r="J138" s="52" t="str">
        <f>J132&amp;"     "</f>
        <v xml:space="preserve">$     </v>
      </c>
      <c r="K138" s="52" t="str">
        <f>K132&amp;"     "</f>
        <v xml:space="preserve">Nuevo     </v>
      </c>
      <c r="L138" s="52" t="str">
        <f>L132&amp;"     "</f>
        <v xml:space="preserve">Mercado Envíos a cargo del comprador     </v>
      </c>
      <c r="M138" s="52" t="str">
        <f>M132&amp;"     "</f>
        <v xml:space="preserve">Clásica     </v>
      </c>
      <c r="N138" s="52" t="str">
        <f ca="1">N132</f>
        <v>14%</v>
      </c>
      <c r="O138" s="52" t="str">
        <f>O132&amp;"     "</f>
        <v xml:space="preserve">Activa     </v>
      </c>
    </row>
    <row r="139" spans="1:15" ht="49.95" customHeight="1">
      <c r="A139" s="52" t="s">
        <v>24</v>
      </c>
      <c r="B139" s="52" t="s">
        <v>274</v>
      </c>
      <c r="C139" s="52" t="s">
        <v>283</v>
      </c>
      <c r="D139" s="52" t="s">
        <v>283</v>
      </c>
      <c r="E139" s="54" t="str">
        <f>"     "&amp;E132</f>
        <v xml:space="preserve">     Soporte Espejo Barra Extensora Semi Manillar - Vespas</v>
      </c>
      <c r="F139" s="52" t="s">
        <v>86</v>
      </c>
      <c r="G139" s="53">
        <v>0</v>
      </c>
      <c r="H139" s="52" t="s">
        <v>62</v>
      </c>
      <c r="I139" s="52">
        <f>I132</f>
        <v>6990</v>
      </c>
      <c r="J139" s="52" t="str">
        <f>J132&amp;"     "</f>
        <v xml:space="preserve">$     </v>
      </c>
      <c r="K139" s="52" t="str">
        <f>K132&amp;"     "</f>
        <v xml:space="preserve">Nuevo     </v>
      </c>
      <c r="L139" s="52" t="str">
        <f>L132&amp;"     "</f>
        <v xml:space="preserve">Mercado Envíos a cargo del comprador     </v>
      </c>
      <c r="M139" s="52" t="str">
        <f>M132&amp;"     "</f>
        <v xml:space="preserve">Clásica     </v>
      </c>
      <c r="N139" s="52" t="str">
        <f ca="1">N132</f>
        <v>14%</v>
      </c>
      <c r="O139" s="52" t="str">
        <f>O132&amp;"     "</f>
        <v xml:space="preserve">Activa     </v>
      </c>
    </row>
    <row r="140" spans="1:15" ht="49.95" customHeight="1">
      <c r="A140" s="52" t="s">
        <v>24</v>
      </c>
      <c r="B140" s="52" t="s">
        <v>284</v>
      </c>
      <c r="C140" s="52"/>
      <c r="D140" s="52"/>
      <c r="E140" s="52" t="s">
        <v>285</v>
      </c>
      <c r="F140" s="52" t="s">
        <v>62</v>
      </c>
      <c r="G140" s="52" t="s">
        <v>164</v>
      </c>
      <c r="H140" s="52" t="s">
        <v>62</v>
      </c>
      <c r="I140" s="53">
        <v>29990</v>
      </c>
      <c r="J140" s="53" t="s">
        <v>63</v>
      </c>
      <c r="K140" s="53" t="s">
        <v>64</v>
      </c>
      <c r="L140" s="53" t="s">
        <v>65</v>
      </c>
      <c r="M140" s="53" t="s">
        <v>66</v>
      </c>
      <c r="N140" s="52" t="str">
        <f ca="1">IF(INDIRECT("M140")="Clásica","14%",IF(INDIRECT("M140")="Premium","18%","-"))</f>
        <v>14%</v>
      </c>
      <c r="O140" s="53" t="s">
        <v>67</v>
      </c>
    </row>
    <row r="141" spans="1:15" ht="49.95" customHeight="1">
      <c r="A141" s="52" t="s">
        <v>24</v>
      </c>
      <c r="B141" s="52" t="s">
        <v>284</v>
      </c>
      <c r="C141" s="52" t="s">
        <v>286</v>
      </c>
      <c r="D141" s="52" t="s">
        <v>286</v>
      </c>
      <c r="E141" s="54" t="str">
        <f>"     "&amp;E140</f>
        <v xml:space="preserve">     Adhesivos Sticker Pegatinas Reflectantes Ruedas Cb190 Cb190r</v>
      </c>
      <c r="F141" s="52" t="s">
        <v>287</v>
      </c>
      <c r="G141" s="53">
        <v>1</v>
      </c>
      <c r="H141" s="52" t="s">
        <v>62</v>
      </c>
      <c r="I141" s="52">
        <f>I140</f>
        <v>29990</v>
      </c>
      <c r="J141" s="52" t="str">
        <f>J140&amp;"     "</f>
        <v xml:space="preserve">$     </v>
      </c>
      <c r="K141" s="52" t="str">
        <f>K140&amp;"     "</f>
        <v xml:space="preserve">Nuevo     </v>
      </c>
      <c r="L141" s="52" t="str">
        <f>L140&amp;"     "</f>
        <v xml:space="preserve">Mercado Envíos gratis     </v>
      </c>
      <c r="M141" s="52" t="str">
        <f>M140&amp;"     "</f>
        <v xml:space="preserve">Clásica     </v>
      </c>
      <c r="N141" s="52" t="str">
        <f ca="1">N140</f>
        <v>14%</v>
      </c>
      <c r="O141" s="52" t="str">
        <f>O140&amp;"     "</f>
        <v xml:space="preserve">Activa     </v>
      </c>
    </row>
    <row r="142" spans="1:15" ht="49.95" customHeight="1">
      <c r="A142" s="52" t="s">
        <v>24</v>
      </c>
      <c r="B142" s="52" t="s">
        <v>284</v>
      </c>
      <c r="C142" s="52" t="s">
        <v>288</v>
      </c>
      <c r="D142" s="52" t="s">
        <v>288</v>
      </c>
      <c r="E142" s="54" t="str">
        <f>"     "&amp;E140</f>
        <v xml:space="preserve">     Adhesivos Sticker Pegatinas Reflectantes Ruedas Cb190 Cb190r</v>
      </c>
      <c r="F142" s="52" t="s">
        <v>90</v>
      </c>
      <c r="G142" s="53">
        <v>0</v>
      </c>
      <c r="H142" s="52" t="s">
        <v>62</v>
      </c>
      <c r="I142" s="52">
        <f>I140</f>
        <v>29990</v>
      </c>
      <c r="J142" s="52" t="str">
        <f>J140&amp;"     "</f>
        <v xml:space="preserve">$     </v>
      </c>
      <c r="K142" s="52" t="str">
        <f>K140&amp;"     "</f>
        <v xml:space="preserve">Nuevo     </v>
      </c>
      <c r="L142" s="52" t="str">
        <f>L140&amp;"     "</f>
        <v xml:space="preserve">Mercado Envíos gratis     </v>
      </c>
      <c r="M142" s="52" t="str">
        <f>M140&amp;"     "</f>
        <v xml:space="preserve">Clásica     </v>
      </c>
      <c r="N142" s="52" t="str">
        <f ca="1">N140</f>
        <v>14%</v>
      </c>
      <c r="O142" s="52" t="str">
        <f>O140&amp;"     "</f>
        <v xml:space="preserve">Activa     </v>
      </c>
    </row>
    <row r="143" spans="1:15" ht="49.95" customHeight="1">
      <c r="A143" s="52" t="s">
        <v>24</v>
      </c>
      <c r="B143" s="52" t="s">
        <v>284</v>
      </c>
      <c r="C143" s="52" t="s">
        <v>289</v>
      </c>
      <c r="D143" s="52" t="s">
        <v>289</v>
      </c>
      <c r="E143" s="54" t="str">
        <f>"     "&amp;E140</f>
        <v xml:space="preserve">     Adhesivos Sticker Pegatinas Reflectantes Ruedas Cb190 Cb190r</v>
      </c>
      <c r="F143" s="52" t="s">
        <v>100</v>
      </c>
      <c r="G143" s="53">
        <v>0</v>
      </c>
      <c r="H143" s="52" t="s">
        <v>62</v>
      </c>
      <c r="I143" s="52">
        <f>I140</f>
        <v>29990</v>
      </c>
      <c r="J143" s="52" t="str">
        <f>J140&amp;"     "</f>
        <v xml:space="preserve">$     </v>
      </c>
      <c r="K143" s="52" t="str">
        <f>K140&amp;"     "</f>
        <v xml:space="preserve">Nuevo     </v>
      </c>
      <c r="L143" s="52" t="str">
        <f>L140&amp;"     "</f>
        <v xml:space="preserve">Mercado Envíos gratis     </v>
      </c>
      <c r="M143" s="52" t="str">
        <f>M140&amp;"     "</f>
        <v xml:space="preserve">Clásica     </v>
      </c>
      <c r="N143" s="52" t="str">
        <f ca="1">N140</f>
        <v>14%</v>
      </c>
      <c r="O143" s="52" t="str">
        <f>O140&amp;"     "</f>
        <v xml:space="preserve">Activa     </v>
      </c>
    </row>
    <row r="144" spans="1:15" ht="49.95" customHeight="1">
      <c r="A144" s="52" t="s">
        <v>24</v>
      </c>
      <c r="B144" s="52" t="s">
        <v>284</v>
      </c>
      <c r="C144" s="52" t="s">
        <v>290</v>
      </c>
      <c r="D144" s="52" t="s">
        <v>290</v>
      </c>
      <c r="E144" s="54" t="str">
        <f>"     "&amp;E140</f>
        <v xml:space="preserve">     Adhesivos Sticker Pegatinas Reflectantes Ruedas Cb190 Cb190r</v>
      </c>
      <c r="F144" s="52" t="s">
        <v>88</v>
      </c>
      <c r="G144" s="53">
        <v>0</v>
      </c>
      <c r="H144" s="52" t="s">
        <v>62</v>
      </c>
      <c r="I144" s="52">
        <f>I140</f>
        <v>29990</v>
      </c>
      <c r="J144" s="52" t="str">
        <f>J140&amp;"     "</f>
        <v xml:space="preserve">$     </v>
      </c>
      <c r="K144" s="52" t="str">
        <f>K140&amp;"     "</f>
        <v xml:space="preserve">Nuevo     </v>
      </c>
      <c r="L144" s="52" t="str">
        <f>L140&amp;"     "</f>
        <v xml:space="preserve">Mercado Envíos gratis     </v>
      </c>
      <c r="M144" s="52" t="str">
        <f>M140&amp;"     "</f>
        <v xml:space="preserve">Clásica     </v>
      </c>
      <c r="N144" s="52" t="str">
        <f ca="1">N140</f>
        <v>14%</v>
      </c>
      <c r="O144" s="52" t="str">
        <f>O140&amp;"     "</f>
        <v xml:space="preserve">Activa     </v>
      </c>
    </row>
    <row r="145" spans="1:15" ht="49.95" customHeight="1">
      <c r="A145" s="52" t="s">
        <v>24</v>
      </c>
      <c r="B145" s="52" t="s">
        <v>284</v>
      </c>
      <c r="C145" s="52" t="s">
        <v>291</v>
      </c>
      <c r="D145" s="52" t="s">
        <v>291</v>
      </c>
      <c r="E145" s="54" t="str">
        <f>"     "&amp;E140</f>
        <v xml:space="preserve">     Adhesivos Sticker Pegatinas Reflectantes Ruedas Cb190 Cb190r</v>
      </c>
      <c r="F145" s="52" t="s">
        <v>97</v>
      </c>
      <c r="G145" s="53">
        <v>0</v>
      </c>
      <c r="H145" s="52" t="s">
        <v>62</v>
      </c>
      <c r="I145" s="52">
        <f>I140</f>
        <v>29990</v>
      </c>
      <c r="J145" s="52" t="str">
        <f>J140&amp;"     "</f>
        <v xml:space="preserve">$     </v>
      </c>
      <c r="K145" s="52" t="str">
        <f>K140&amp;"     "</f>
        <v xml:space="preserve">Nuevo     </v>
      </c>
      <c r="L145" s="52" t="str">
        <f>L140&amp;"     "</f>
        <v xml:space="preserve">Mercado Envíos gratis     </v>
      </c>
      <c r="M145" s="52" t="str">
        <f>M140&amp;"     "</f>
        <v xml:space="preserve">Clásica     </v>
      </c>
      <c r="N145" s="52" t="str">
        <f ca="1">N140</f>
        <v>14%</v>
      </c>
      <c r="O145" s="52" t="str">
        <f>O140&amp;"     "</f>
        <v xml:space="preserve">Activa     </v>
      </c>
    </row>
    <row r="146" spans="1:15" ht="49.95" customHeight="1">
      <c r="A146" s="52" t="s">
        <v>24</v>
      </c>
      <c r="B146" s="52" t="s">
        <v>292</v>
      </c>
      <c r="C146" s="52"/>
      <c r="D146" s="52"/>
      <c r="E146" s="52" t="s">
        <v>293</v>
      </c>
      <c r="F146" s="52" t="s">
        <v>62</v>
      </c>
      <c r="G146" s="52" t="s">
        <v>188</v>
      </c>
      <c r="H146" s="52" t="s">
        <v>62</v>
      </c>
      <c r="I146" s="53">
        <v>9990</v>
      </c>
      <c r="J146" s="53" t="s">
        <v>63</v>
      </c>
      <c r="K146" s="53" t="s">
        <v>64</v>
      </c>
      <c r="L146" s="53" t="s">
        <v>71</v>
      </c>
      <c r="M146" s="53" t="s">
        <v>66</v>
      </c>
      <c r="N146" s="52" t="str">
        <f ca="1">IF(INDIRECT("M146")="Clásica","14%",IF(INDIRECT("M146")="Premium","18%","-"))</f>
        <v>14%</v>
      </c>
      <c r="O146" s="53" t="s">
        <v>67</v>
      </c>
    </row>
    <row r="147" spans="1:15" ht="49.95" customHeight="1">
      <c r="A147" s="52" t="s">
        <v>24</v>
      </c>
      <c r="B147" s="52" t="s">
        <v>292</v>
      </c>
      <c r="C147" s="52" t="s">
        <v>294</v>
      </c>
      <c r="D147" s="52" t="s">
        <v>294</v>
      </c>
      <c r="E147" s="54" t="str">
        <f>"     "&amp;E146</f>
        <v xml:space="preserve">     Protector Radiador Cubierta Yamaha R15 R 15 V3</v>
      </c>
      <c r="F147" s="52" t="s">
        <v>86</v>
      </c>
      <c r="G147" s="53">
        <v>2</v>
      </c>
      <c r="H147" s="52" t="s">
        <v>62</v>
      </c>
      <c r="I147" s="52">
        <f>I146</f>
        <v>9990</v>
      </c>
      <c r="J147" s="52" t="str">
        <f>J146&amp;"     "</f>
        <v xml:space="preserve">$     </v>
      </c>
      <c r="K147" s="52" t="str">
        <f>K146&amp;"     "</f>
        <v xml:space="preserve">Nuevo     </v>
      </c>
      <c r="L147" s="52" t="str">
        <f>L146&amp;"     "</f>
        <v xml:space="preserve">Mercado Envíos a cargo del comprador     </v>
      </c>
      <c r="M147" s="52" t="str">
        <f>M146&amp;"     "</f>
        <v xml:space="preserve">Clásica     </v>
      </c>
      <c r="N147" s="52" t="str">
        <f ca="1">N146</f>
        <v>14%</v>
      </c>
      <c r="O147" s="52" t="str">
        <f>O146&amp;"     "</f>
        <v xml:space="preserve">Activa     </v>
      </c>
    </row>
    <row r="148" spans="1:15" ht="49.95" customHeight="1">
      <c r="A148" s="52" t="s">
        <v>24</v>
      </c>
      <c r="B148" s="52" t="s">
        <v>292</v>
      </c>
      <c r="C148" s="52" t="s">
        <v>295</v>
      </c>
      <c r="D148" s="52" t="s">
        <v>295</v>
      </c>
      <c r="E148" s="54" t="str">
        <f>"     "&amp;E146</f>
        <v xml:space="preserve">     Protector Radiador Cubierta Yamaha R15 R 15 V3</v>
      </c>
      <c r="F148" s="52" t="s">
        <v>88</v>
      </c>
      <c r="G148" s="53">
        <v>2</v>
      </c>
      <c r="H148" s="52" t="s">
        <v>62</v>
      </c>
      <c r="I148" s="52">
        <f>I146</f>
        <v>9990</v>
      </c>
      <c r="J148" s="52" t="str">
        <f>J146&amp;"     "</f>
        <v xml:space="preserve">$     </v>
      </c>
      <c r="K148" s="52" t="str">
        <f>K146&amp;"     "</f>
        <v xml:space="preserve">Nuevo     </v>
      </c>
      <c r="L148" s="52" t="str">
        <f>L146&amp;"     "</f>
        <v xml:space="preserve">Mercado Envíos a cargo del comprador     </v>
      </c>
      <c r="M148" s="52" t="str">
        <f>M146&amp;"     "</f>
        <v xml:space="preserve">Clásica     </v>
      </c>
      <c r="N148" s="52" t="str">
        <f ca="1">N146</f>
        <v>14%</v>
      </c>
      <c r="O148" s="52" t="str">
        <f>O146&amp;"     "</f>
        <v xml:space="preserve">Activa     </v>
      </c>
    </row>
    <row r="149" spans="1:15" ht="49.95" customHeight="1">
      <c r="A149" s="52" t="s">
        <v>24</v>
      </c>
      <c r="B149" s="52" t="s">
        <v>292</v>
      </c>
      <c r="C149" s="52" t="s">
        <v>296</v>
      </c>
      <c r="D149" s="52" t="s">
        <v>296</v>
      </c>
      <c r="E149" s="54" t="str">
        <f>"     "&amp;E146</f>
        <v xml:space="preserve">     Protector Radiador Cubierta Yamaha R15 R 15 V3</v>
      </c>
      <c r="F149" s="52" t="s">
        <v>84</v>
      </c>
      <c r="G149" s="53">
        <v>2</v>
      </c>
      <c r="H149" s="52" t="s">
        <v>62</v>
      </c>
      <c r="I149" s="52">
        <f>I146</f>
        <v>9990</v>
      </c>
      <c r="J149" s="52" t="str">
        <f>J146&amp;"     "</f>
        <v xml:space="preserve">$     </v>
      </c>
      <c r="K149" s="52" t="str">
        <f>K146&amp;"     "</f>
        <v xml:space="preserve">Nuevo     </v>
      </c>
      <c r="L149" s="52" t="str">
        <f>L146&amp;"     "</f>
        <v xml:space="preserve">Mercado Envíos a cargo del comprador     </v>
      </c>
      <c r="M149" s="52" t="str">
        <f>M146&amp;"     "</f>
        <v xml:space="preserve">Clásica     </v>
      </c>
      <c r="N149" s="52" t="str">
        <f ca="1">N146</f>
        <v>14%</v>
      </c>
      <c r="O149" s="52" t="str">
        <f>O146&amp;"     "</f>
        <v xml:space="preserve">Activa     </v>
      </c>
    </row>
    <row r="150" spans="1:15" ht="49.95" customHeight="1">
      <c r="A150" s="52" t="s">
        <v>24</v>
      </c>
      <c r="B150" s="52" t="s">
        <v>292</v>
      </c>
      <c r="C150" s="52" t="s">
        <v>297</v>
      </c>
      <c r="D150" s="52" t="s">
        <v>297</v>
      </c>
      <c r="E150" s="54" t="str">
        <f>"     "&amp;E146</f>
        <v xml:space="preserve">     Protector Radiador Cubierta Yamaha R15 R 15 V3</v>
      </c>
      <c r="F150" s="52" t="s">
        <v>90</v>
      </c>
      <c r="G150" s="53">
        <v>1</v>
      </c>
      <c r="H150" s="52" t="s">
        <v>62</v>
      </c>
      <c r="I150" s="52">
        <f>I146</f>
        <v>9990</v>
      </c>
      <c r="J150" s="52" t="str">
        <f>J146&amp;"     "</f>
        <v xml:space="preserve">$     </v>
      </c>
      <c r="K150" s="52" t="str">
        <f>K146&amp;"     "</f>
        <v xml:space="preserve">Nuevo     </v>
      </c>
      <c r="L150" s="52" t="str">
        <f>L146&amp;"     "</f>
        <v xml:space="preserve">Mercado Envíos a cargo del comprador     </v>
      </c>
      <c r="M150" s="52" t="str">
        <f>M146&amp;"     "</f>
        <v xml:space="preserve">Clásica     </v>
      </c>
      <c r="N150" s="52" t="str">
        <f ca="1">N146</f>
        <v>14%</v>
      </c>
      <c r="O150" s="52" t="str">
        <f>O146&amp;"     "</f>
        <v xml:space="preserve">Activa     </v>
      </c>
    </row>
    <row r="151" spans="1:15" ht="49.95" customHeight="1">
      <c r="A151" s="52" t="s">
        <v>24</v>
      </c>
      <c r="B151" s="52" t="s">
        <v>298</v>
      </c>
      <c r="C151" s="52"/>
      <c r="D151" s="52"/>
      <c r="E151" s="52" t="s">
        <v>299</v>
      </c>
      <c r="F151" s="52" t="s">
        <v>62</v>
      </c>
      <c r="G151" s="52" t="s">
        <v>70</v>
      </c>
      <c r="H151" s="52" t="s">
        <v>62</v>
      </c>
      <c r="I151" s="53">
        <v>29990</v>
      </c>
      <c r="J151" s="53" t="s">
        <v>63</v>
      </c>
      <c r="K151" s="53" t="s">
        <v>64</v>
      </c>
      <c r="L151" s="53" t="s">
        <v>65</v>
      </c>
      <c r="M151" s="53" t="s">
        <v>66</v>
      </c>
      <c r="N151" s="52" t="str">
        <f ca="1">IF(INDIRECT("M151")="Clásica","14%",IF(INDIRECT("M151")="Premium","18%","-"))</f>
        <v>14%</v>
      </c>
      <c r="O151" s="53" t="s">
        <v>67</v>
      </c>
    </row>
    <row r="152" spans="1:15" ht="49.95" customHeight="1">
      <c r="A152" s="52" t="s">
        <v>24</v>
      </c>
      <c r="B152" s="52" t="s">
        <v>298</v>
      </c>
      <c r="C152" s="52" t="s">
        <v>300</v>
      </c>
      <c r="D152" s="52" t="s">
        <v>300</v>
      </c>
      <c r="E152" s="54" t="str">
        <f>"     "&amp;E151</f>
        <v xml:space="preserve">     Manillas Honda Cbr 250 300 500 Abs Logo Colores + E. Gratis</v>
      </c>
      <c r="F152" s="52" t="s">
        <v>301</v>
      </c>
      <c r="G152" s="53">
        <v>2</v>
      </c>
      <c r="H152" s="52" t="s">
        <v>62</v>
      </c>
      <c r="I152" s="52">
        <f>I151</f>
        <v>29990</v>
      </c>
      <c r="J152" s="52" t="str">
        <f>J151&amp;"     "</f>
        <v xml:space="preserve">$     </v>
      </c>
      <c r="K152" s="52" t="str">
        <f>K151&amp;"     "</f>
        <v xml:space="preserve">Nuevo     </v>
      </c>
      <c r="L152" s="52" t="str">
        <f>L151&amp;"     "</f>
        <v xml:space="preserve">Mercado Envíos gratis     </v>
      </c>
      <c r="M152" s="52" t="str">
        <f>M151&amp;"     "</f>
        <v xml:space="preserve">Clásica     </v>
      </c>
      <c r="N152" s="52" t="str">
        <f ca="1">N151</f>
        <v>14%</v>
      </c>
      <c r="O152" s="52" t="str">
        <f>O151&amp;"     "</f>
        <v xml:space="preserve">Activa     </v>
      </c>
    </row>
    <row r="153" spans="1:15" ht="49.95" customHeight="1">
      <c r="A153" s="52" t="s">
        <v>24</v>
      </c>
      <c r="B153" s="52" t="s">
        <v>298</v>
      </c>
      <c r="C153" s="52" t="s">
        <v>302</v>
      </c>
      <c r="D153" s="52" t="s">
        <v>302</v>
      </c>
      <c r="E153" s="54" t="str">
        <f>"     "&amp;E151</f>
        <v xml:space="preserve">     Manillas Honda Cbr 250 300 500 Abs Logo Colores + E. Gratis</v>
      </c>
      <c r="F153" s="52" t="s">
        <v>303</v>
      </c>
      <c r="G153" s="53">
        <v>2</v>
      </c>
      <c r="H153" s="52" t="s">
        <v>62</v>
      </c>
      <c r="I153" s="52">
        <f>I151</f>
        <v>29990</v>
      </c>
      <c r="J153" s="52" t="str">
        <f>J151&amp;"     "</f>
        <v xml:space="preserve">$     </v>
      </c>
      <c r="K153" s="52" t="str">
        <f>K151&amp;"     "</f>
        <v xml:space="preserve">Nuevo     </v>
      </c>
      <c r="L153" s="52" t="str">
        <f>L151&amp;"     "</f>
        <v xml:space="preserve">Mercado Envíos gratis     </v>
      </c>
      <c r="M153" s="52" t="str">
        <f>M151&amp;"     "</f>
        <v xml:space="preserve">Clásica     </v>
      </c>
      <c r="N153" s="52" t="str">
        <f ca="1">N151</f>
        <v>14%</v>
      </c>
      <c r="O153" s="52" t="str">
        <f>O151&amp;"     "</f>
        <v xml:space="preserve">Activa     </v>
      </c>
    </row>
    <row r="154" spans="1:15" ht="49.95" customHeight="1">
      <c r="A154" s="52" t="s">
        <v>24</v>
      </c>
      <c r="B154" s="52" t="s">
        <v>298</v>
      </c>
      <c r="C154" s="52" t="s">
        <v>304</v>
      </c>
      <c r="D154" s="52" t="s">
        <v>304</v>
      </c>
      <c r="E154" s="54" t="str">
        <f>"     "&amp;E151</f>
        <v xml:space="preserve">     Manillas Honda Cbr 250 300 500 Abs Logo Colores + E. Gratis</v>
      </c>
      <c r="F154" s="52" t="s">
        <v>305</v>
      </c>
      <c r="G154" s="53">
        <v>2</v>
      </c>
      <c r="H154" s="52" t="s">
        <v>62</v>
      </c>
      <c r="I154" s="52">
        <f>I151</f>
        <v>29990</v>
      </c>
      <c r="J154" s="52" t="str">
        <f>J151&amp;"     "</f>
        <v xml:space="preserve">$     </v>
      </c>
      <c r="K154" s="52" t="str">
        <f>K151&amp;"     "</f>
        <v xml:space="preserve">Nuevo     </v>
      </c>
      <c r="L154" s="52" t="str">
        <f>L151&amp;"     "</f>
        <v xml:space="preserve">Mercado Envíos gratis     </v>
      </c>
      <c r="M154" s="52" t="str">
        <f>M151&amp;"     "</f>
        <v xml:space="preserve">Clásica     </v>
      </c>
      <c r="N154" s="52" t="str">
        <f ca="1">N151</f>
        <v>14%</v>
      </c>
      <c r="O154" s="52" t="str">
        <f>O151&amp;"     "</f>
        <v xml:space="preserve">Activa     </v>
      </c>
    </row>
    <row r="155" spans="1:15" ht="49.95" customHeight="1">
      <c r="A155" s="52" t="s">
        <v>24</v>
      </c>
      <c r="B155" s="52" t="s">
        <v>298</v>
      </c>
      <c r="C155" s="52" t="s">
        <v>306</v>
      </c>
      <c r="D155" s="52" t="s">
        <v>306</v>
      </c>
      <c r="E155" s="54" t="str">
        <f>"     "&amp;E151</f>
        <v xml:space="preserve">     Manillas Honda Cbr 250 300 500 Abs Logo Colores + E. Gratis</v>
      </c>
      <c r="F155" s="52" t="s">
        <v>307</v>
      </c>
      <c r="G155" s="53">
        <v>2</v>
      </c>
      <c r="H155" s="52" t="s">
        <v>62</v>
      </c>
      <c r="I155" s="52">
        <f>I151</f>
        <v>29990</v>
      </c>
      <c r="J155" s="52" t="str">
        <f>J151&amp;"     "</f>
        <v xml:space="preserve">$     </v>
      </c>
      <c r="K155" s="52" t="str">
        <f>K151&amp;"     "</f>
        <v xml:space="preserve">Nuevo     </v>
      </c>
      <c r="L155" s="52" t="str">
        <f>L151&amp;"     "</f>
        <v xml:space="preserve">Mercado Envíos gratis     </v>
      </c>
      <c r="M155" s="52" t="str">
        <f>M151&amp;"     "</f>
        <v xml:space="preserve">Clásica     </v>
      </c>
      <c r="N155" s="52" t="str">
        <f ca="1">N151</f>
        <v>14%</v>
      </c>
      <c r="O155" s="52" t="str">
        <f>O151&amp;"     "</f>
        <v xml:space="preserve">Activa     </v>
      </c>
    </row>
    <row r="156" spans="1:15" ht="49.95" customHeight="1">
      <c r="A156" s="52" t="s">
        <v>24</v>
      </c>
      <c r="B156" s="52" t="s">
        <v>298</v>
      </c>
      <c r="C156" s="52" t="s">
        <v>308</v>
      </c>
      <c r="D156" s="52" t="s">
        <v>308</v>
      </c>
      <c r="E156" s="54" t="str">
        <f>"     "&amp;E151</f>
        <v xml:space="preserve">     Manillas Honda Cbr 250 300 500 Abs Logo Colores + E. Gratis</v>
      </c>
      <c r="F156" s="52" t="s">
        <v>309</v>
      </c>
      <c r="G156" s="53">
        <v>0</v>
      </c>
      <c r="H156" s="52" t="s">
        <v>62</v>
      </c>
      <c r="I156" s="52">
        <f>I151</f>
        <v>29990</v>
      </c>
      <c r="J156" s="52" t="str">
        <f>J151&amp;"     "</f>
        <v xml:space="preserve">$     </v>
      </c>
      <c r="K156" s="52" t="str">
        <f>K151&amp;"     "</f>
        <v xml:space="preserve">Nuevo     </v>
      </c>
      <c r="L156" s="52" t="str">
        <f>L151&amp;"     "</f>
        <v xml:space="preserve">Mercado Envíos gratis     </v>
      </c>
      <c r="M156" s="52" t="str">
        <f>M151&amp;"     "</f>
        <v xml:space="preserve">Clásica     </v>
      </c>
      <c r="N156" s="52" t="str">
        <f ca="1">N151</f>
        <v>14%</v>
      </c>
      <c r="O156" s="52" t="str">
        <f>O151&amp;"     "</f>
        <v xml:space="preserve">Activa     </v>
      </c>
    </row>
    <row r="157" spans="1:15" ht="49.95" customHeight="1">
      <c r="A157" s="52" t="s">
        <v>310</v>
      </c>
      <c r="B157" s="52" t="s">
        <v>311</v>
      </c>
      <c r="C157" s="52" t="s">
        <v>312</v>
      </c>
      <c r="D157" s="52"/>
      <c r="E157" s="52" t="s">
        <v>313</v>
      </c>
      <c r="F157" s="52" t="s">
        <v>313</v>
      </c>
      <c r="G157" s="53">
        <v>2</v>
      </c>
      <c r="H157" s="52" t="s">
        <v>62</v>
      </c>
      <c r="I157" s="53">
        <v>42990</v>
      </c>
      <c r="J157" s="53" t="s">
        <v>63</v>
      </c>
      <c r="K157" s="53" t="s">
        <v>64</v>
      </c>
      <c r="L157" s="53" t="s">
        <v>65</v>
      </c>
      <c r="M157" s="53" t="s">
        <v>66</v>
      </c>
      <c r="N157" s="52" t="str">
        <f ca="1">IF(INDIRECT("M157")="Clásica","14%",IF(INDIRECT("M157")="Premium","18%","-"))</f>
        <v>14%</v>
      </c>
      <c r="O157" s="53" t="s">
        <v>67</v>
      </c>
    </row>
    <row r="158" spans="1:15" ht="49.95" customHeight="1">
      <c r="A158" s="52" t="s">
        <v>24</v>
      </c>
      <c r="B158" s="52" t="s">
        <v>314</v>
      </c>
      <c r="C158" s="52"/>
      <c r="D158" s="52"/>
      <c r="E158" s="52" t="s">
        <v>315</v>
      </c>
      <c r="F158" s="52" t="s">
        <v>62</v>
      </c>
      <c r="G158" s="52" t="s">
        <v>82</v>
      </c>
      <c r="H158" s="52" t="s">
        <v>62</v>
      </c>
      <c r="I158" s="53">
        <v>29990</v>
      </c>
      <c r="J158" s="53" t="s">
        <v>63</v>
      </c>
      <c r="K158" s="53" t="s">
        <v>64</v>
      </c>
      <c r="L158" s="53" t="s">
        <v>65</v>
      </c>
      <c r="M158" s="53" t="s">
        <v>66</v>
      </c>
      <c r="N158" s="52" t="str">
        <f ca="1">IF(INDIRECT("M158")="Clásica","14%",IF(INDIRECT("M158")="Premium","18%","-"))</f>
        <v>14%</v>
      </c>
      <c r="O158" s="53" t="s">
        <v>67</v>
      </c>
    </row>
    <row r="159" spans="1:15" ht="49.95" customHeight="1">
      <c r="A159" s="52" t="s">
        <v>24</v>
      </c>
      <c r="B159" s="52" t="s">
        <v>314</v>
      </c>
      <c r="C159" s="52" t="s">
        <v>316</v>
      </c>
      <c r="D159" s="52" t="s">
        <v>316</v>
      </c>
      <c r="E159" s="54" t="str">
        <f>"     "&amp;E158</f>
        <v xml:space="preserve">     Protector Manillas Palancas Manillar Yamaha Mt03 Mt 03 Logo</v>
      </c>
      <c r="F159" s="52" t="s">
        <v>90</v>
      </c>
      <c r="G159" s="53">
        <v>2</v>
      </c>
      <c r="H159" s="52" t="s">
        <v>62</v>
      </c>
      <c r="I159" s="52">
        <f>I158</f>
        <v>29990</v>
      </c>
      <c r="J159" s="52" t="str">
        <f>J158&amp;"     "</f>
        <v xml:space="preserve">$     </v>
      </c>
      <c r="K159" s="52" t="str">
        <f>K158&amp;"     "</f>
        <v xml:space="preserve">Nuevo     </v>
      </c>
      <c r="L159" s="52" t="str">
        <f>L158&amp;"     "</f>
        <v xml:space="preserve">Mercado Envíos gratis     </v>
      </c>
      <c r="M159" s="52" t="str">
        <f>M158&amp;"     "</f>
        <v xml:space="preserve">Clásica     </v>
      </c>
      <c r="N159" s="52" t="str">
        <f ca="1">N158</f>
        <v>14%</v>
      </c>
      <c r="O159" s="52" t="str">
        <f>O158&amp;"     "</f>
        <v xml:space="preserve">Activa     </v>
      </c>
    </row>
    <row r="160" spans="1:15" ht="49.95" customHeight="1">
      <c r="A160" s="52" t="s">
        <v>24</v>
      </c>
      <c r="B160" s="52" t="s">
        <v>314</v>
      </c>
      <c r="C160" s="52" t="s">
        <v>317</v>
      </c>
      <c r="D160" s="52" t="s">
        <v>317</v>
      </c>
      <c r="E160" s="54" t="str">
        <f>"     "&amp;E158</f>
        <v xml:space="preserve">     Protector Manillas Palancas Manillar Yamaha Mt03 Mt 03 Logo</v>
      </c>
      <c r="F160" s="52" t="s">
        <v>84</v>
      </c>
      <c r="G160" s="53">
        <v>1</v>
      </c>
      <c r="H160" s="52" t="s">
        <v>62</v>
      </c>
      <c r="I160" s="52">
        <f>I158</f>
        <v>29990</v>
      </c>
      <c r="J160" s="52" t="str">
        <f>J158&amp;"     "</f>
        <v xml:space="preserve">$     </v>
      </c>
      <c r="K160" s="52" t="str">
        <f>K158&amp;"     "</f>
        <v xml:space="preserve">Nuevo     </v>
      </c>
      <c r="L160" s="52" t="str">
        <f>L158&amp;"     "</f>
        <v xml:space="preserve">Mercado Envíos gratis     </v>
      </c>
      <c r="M160" s="52" t="str">
        <f>M158&amp;"     "</f>
        <v xml:space="preserve">Clásica     </v>
      </c>
      <c r="N160" s="52" t="str">
        <f ca="1">N158</f>
        <v>14%</v>
      </c>
      <c r="O160" s="52" t="str">
        <f>O158&amp;"     "</f>
        <v xml:space="preserve">Activa     </v>
      </c>
    </row>
    <row r="161" spans="1:15" ht="49.95" customHeight="1">
      <c r="A161" s="52" t="s">
        <v>318</v>
      </c>
      <c r="B161" s="52" t="s">
        <v>319</v>
      </c>
      <c r="C161" s="52" t="s">
        <v>320</v>
      </c>
      <c r="D161" s="52"/>
      <c r="E161" s="52" t="s">
        <v>321</v>
      </c>
      <c r="F161" s="52" t="s">
        <v>321</v>
      </c>
      <c r="G161" s="53">
        <v>1</v>
      </c>
      <c r="H161" s="52" t="s">
        <v>62</v>
      </c>
      <c r="I161" s="53">
        <v>24990</v>
      </c>
      <c r="J161" s="53" t="s">
        <v>63</v>
      </c>
      <c r="K161" s="53" t="s">
        <v>64</v>
      </c>
      <c r="L161" s="53" t="s">
        <v>65</v>
      </c>
      <c r="M161" s="53" t="s">
        <v>66</v>
      </c>
      <c r="N161" s="52" t="str">
        <f ca="1">IF(INDIRECT("M161")="Clásica","14%",IF(INDIRECT("M161")="Premium","18%","-"))</f>
        <v>14%</v>
      </c>
      <c r="O161" s="53" t="s">
        <v>67</v>
      </c>
    </row>
    <row r="162" spans="1:15" ht="49.95" customHeight="1">
      <c r="A162" s="52" t="s">
        <v>24</v>
      </c>
      <c r="B162" s="52" t="s">
        <v>322</v>
      </c>
      <c r="C162" s="52"/>
      <c r="D162" s="52"/>
      <c r="E162" s="52" t="s">
        <v>323</v>
      </c>
      <c r="F162" s="52" t="s">
        <v>62</v>
      </c>
      <c r="G162" s="52" t="s">
        <v>112</v>
      </c>
      <c r="H162" s="52" t="s">
        <v>62</v>
      </c>
      <c r="I162" s="53">
        <v>24990</v>
      </c>
      <c r="J162" s="53" t="s">
        <v>63</v>
      </c>
      <c r="K162" s="53" t="s">
        <v>64</v>
      </c>
      <c r="L162" s="53" t="s">
        <v>65</v>
      </c>
      <c r="M162" s="53" t="s">
        <v>66</v>
      </c>
      <c r="N162" s="52" t="str">
        <f ca="1">IF(INDIRECT("M162")="Clásica","14%",IF(INDIRECT("M162")="Premium","18%","-"))</f>
        <v>14%</v>
      </c>
      <c r="O162" s="53" t="s">
        <v>67</v>
      </c>
    </row>
    <row r="163" spans="1:15" ht="49.95" customHeight="1">
      <c r="A163" s="52" t="s">
        <v>24</v>
      </c>
      <c r="B163" s="52" t="s">
        <v>322</v>
      </c>
      <c r="C163" s="52" t="s">
        <v>324</v>
      </c>
      <c r="D163" s="52" t="s">
        <v>324</v>
      </c>
      <c r="E163" s="54" t="str">
        <f>"     "&amp;E162</f>
        <v xml:space="preserve">     Protector Radiador Cubierta Ktm Duke 200 250 390 Desde 2018</v>
      </c>
      <c r="F163" s="52" t="s">
        <v>86</v>
      </c>
      <c r="G163" s="53">
        <v>2</v>
      </c>
      <c r="H163" s="52" t="s">
        <v>62</v>
      </c>
      <c r="I163" s="52">
        <f>I162</f>
        <v>24990</v>
      </c>
      <c r="J163" s="52" t="str">
        <f>J162&amp;"     "</f>
        <v xml:space="preserve">$     </v>
      </c>
      <c r="K163" s="52" t="str">
        <f>K162&amp;"     "</f>
        <v xml:space="preserve">Nuevo     </v>
      </c>
      <c r="L163" s="52" t="str">
        <f>L162&amp;"     "</f>
        <v xml:space="preserve">Mercado Envíos gratis     </v>
      </c>
      <c r="M163" s="52" t="str">
        <f>M162&amp;"     "</f>
        <v xml:space="preserve">Clásica     </v>
      </c>
      <c r="N163" s="52" t="str">
        <f ca="1">N162</f>
        <v>14%</v>
      </c>
      <c r="O163" s="52" t="str">
        <f>O162&amp;"     "</f>
        <v xml:space="preserve">Activa     </v>
      </c>
    </row>
    <row r="164" spans="1:15" ht="49.95" customHeight="1">
      <c r="A164" s="52" t="s">
        <v>24</v>
      </c>
      <c r="B164" s="52" t="s">
        <v>322</v>
      </c>
      <c r="C164" s="52" t="s">
        <v>325</v>
      </c>
      <c r="D164" s="52" t="s">
        <v>325</v>
      </c>
      <c r="E164" s="54" t="str">
        <f>"     "&amp;E162</f>
        <v xml:space="preserve">     Protector Radiador Cubierta Ktm Duke 200 250 390 Desde 2018</v>
      </c>
      <c r="F164" s="52" t="s">
        <v>100</v>
      </c>
      <c r="G164" s="53">
        <v>0</v>
      </c>
      <c r="H164" s="52" t="s">
        <v>62</v>
      </c>
      <c r="I164" s="52">
        <f>I162</f>
        <v>24990</v>
      </c>
      <c r="J164" s="52" t="str">
        <f>J162&amp;"     "</f>
        <v xml:space="preserve">$     </v>
      </c>
      <c r="K164" s="52" t="str">
        <f>K162&amp;"     "</f>
        <v xml:space="preserve">Nuevo     </v>
      </c>
      <c r="L164" s="52" t="str">
        <f>L162&amp;"     "</f>
        <v xml:space="preserve">Mercado Envíos gratis     </v>
      </c>
      <c r="M164" s="52" t="str">
        <f>M162&amp;"     "</f>
        <v xml:space="preserve">Clásica     </v>
      </c>
      <c r="N164" s="52" t="str">
        <f ca="1">N162</f>
        <v>14%</v>
      </c>
      <c r="O164" s="52" t="str">
        <f>O162&amp;"     "</f>
        <v xml:space="preserve">Activa     </v>
      </c>
    </row>
    <row r="165" spans="1:15" ht="49.95" customHeight="1">
      <c r="A165" s="52" t="s">
        <v>326</v>
      </c>
      <c r="B165" s="52" t="s">
        <v>327</v>
      </c>
      <c r="C165" s="52" t="s">
        <v>328</v>
      </c>
      <c r="D165" s="52"/>
      <c r="E165" s="52" t="s">
        <v>329</v>
      </c>
      <c r="F165" s="52" t="s">
        <v>329</v>
      </c>
      <c r="G165" s="53">
        <v>2</v>
      </c>
      <c r="H165" s="52" t="s">
        <v>62</v>
      </c>
      <c r="I165" s="53">
        <v>59990</v>
      </c>
      <c r="J165" s="53" t="s">
        <v>63</v>
      </c>
      <c r="K165" s="53" t="s">
        <v>64</v>
      </c>
      <c r="L165" s="53" t="s">
        <v>65</v>
      </c>
      <c r="M165" s="53" t="s">
        <v>66</v>
      </c>
      <c r="N165" s="52" t="str">
        <f ca="1">IF(INDIRECT("M165")="Clásica","14%",IF(INDIRECT("M165")="Premium","18%","-"))</f>
        <v>14%</v>
      </c>
      <c r="O165" s="53" t="s">
        <v>67</v>
      </c>
    </row>
    <row r="166" spans="1:15" ht="49.95" customHeight="1">
      <c r="A166" s="52" t="s">
        <v>24</v>
      </c>
      <c r="B166" s="52" t="s">
        <v>330</v>
      </c>
      <c r="C166" s="52"/>
      <c r="D166" s="52"/>
      <c r="E166" s="52" t="s">
        <v>331</v>
      </c>
      <c r="F166" s="52" t="s">
        <v>62</v>
      </c>
      <c r="G166" s="52" t="s">
        <v>143</v>
      </c>
      <c r="H166" s="52" t="s">
        <v>62</v>
      </c>
      <c r="I166" s="53">
        <v>44990</v>
      </c>
      <c r="J166" s="53" t="s">
        <v>63</v>
      </c>
      <c r="K166" s="53" t="s">
        <v>64</v>
      </c>
      <c r="L166" s="53" t="s">
        <v>65</v>
      </c>
      <c r="M166" s="53" t="s">
        <v>66</v>
      </c>
      <c r="N166" s="52" t="str">
        <f ca="1">IF(INDIRECT("M166")="Clásica","14%",IF(INDIRECT("M166")="Premium","18%","-"))</f>
        <v>14%</v>
      </c>
      <c r="O166" s="53" t="s">
        <v>67</v>
      </c>
    </row>
    <row r="167" spans="1:15" ht="49.95" customHeight="1">
      <c r="A167" s="52" t="s">
        <v>24</v>
      </c>
      <c r="B167" s="52" t="s">
        <v>330</v>
      </c>
      <c r="C167" s="52" t="s">
        <v>332</v>
      </c>
      <c r="D167" s="52" t="s">
        <v>332</v>
      </c>
      <c r="E167" s="54" t="str">
        <f>"     "&amp;E166</f>
        <v xml:space="preserve">     Manillas Palancas Honda Cb500x Cb500f Cb500 (h. 2021) Logo</v>
      </c>
      <c r="F167" s="52" t="s">
        <v>90</v>
      </c>
      <c r="G167" s="53">
        <v>2</v>
      </c>
      <c r="H167" s="52" t="s">
        <v>62</v>
      </c>
      <c r="I167" s="52">
        <f>I166</f>
        <v>44990</v>
      </c>
      <c r="J167" s="52" t="str">
        <f>J166&amp;"     "</f>
        <v xml:space="preserve">$     </v>
      </c>
      <c r="K167" s="52" t="str">
        <f>K166&amp;"     "</f>
        <v xml:space="preserve">Nuevo     </v>
      </c>
      <c r="L167" s="52" t="str">
        <f>L166&amp;"     "</f>
        <v xml:space="preserve">Mercado Envíos gratis     </v>
      </c>
      <c r="M167" s="52" t="str">
        <f>M166&amp;"     "</f>
        <v xml:space="preserve">Clásica     </v>
      </c>
      <c r="N167" s="52" t="str">
        <f ca="1">N166</f>
        <v>14%</v>
      </c>
      <c r="O167" s="52" t="str">
        <f>O166&amp;"     "</f>
        <v xml:space="preserve">Activa     </v>
      </c>
    </row>
    <row r="168" spans="1:15" ht="49.95" customHeight="1">
      <c r="A168" s="52" t="s">
        <v>24</v>
      </c>
      <c r="B168" s="52" t="s">
        <v>330</v>
      </c>
      <c r="C168" s="52" t="s">
        <v>333</v>
      </c>
      <c r="D168" s="52" t="s">
        <v>333</v>
      </c>
      <c r="E168" s="54" t="str">
        <f>"     "&amp;E166</f>
        <v xml:space="preserve">     Manillas Palancas Honda Cb500x Cb500f Cb500 (h. 2021) Logo</v>
      </c>
      <c r="F168" s="52" t="s">
        <v>86</v>
      </c>
      <c r="G168" s="53">
        <v>2</v>
      </c>
      <c r="H168" s="52" t="s">
        <v>62</v>
      </c>
      <c r="I168" s="52">
        <f>I166</f>
        <v>44990</v>
      </c>
      <c r="J168" s="52" t="str">
        <f>J166&amp;"     "</f>
        <v xml:space="preserve">$     </v>
      </c>
      <c r="K168" s="52" t="str">
        <f>K166&amp;"     "</f>
        <v xml:space="preserve">Nuevo     </v>
      </c>
      <c r="L168" s="52" t="str">
        <f>L166&amp;"     "</f>
        <v xml:space="preserve">Mercado Envíos gratis     </v>
      </c>
      <c r="M168" s="52" t="str">
        <f>M166&amp;"     "</f>
        <v xml:space="preserve">Clásica     </v>
      </c>
      <c r="N168" s="52" t="str">
        <f ca="1">N166</f>
        <v>14%</v>
      </c>
      <c r="O168" s="52" t="str">
        <f>O166&amp;"     "</f>
        <v xml:space="preserve">Activa     </v>
      </c>
    </row>
    <row r="169" spans="1:15" ht="49.95" customHeight="1">
      <c r="A169" s="52" t="s">
        <v>334</v>
      </c>
      <c r="B169" s="52" t="s">
        <v>335</v>
      </c>
      <c r="C169" s="52" t="s">
        <v>336</v>
      </c>
      <c r="D169" s="52"/>
      <c r="E169" s="52" t="s">
        <v>337</v>
      </c>
      <c r="F169" s="52" t="s">
        <v>337</v>
      </c>
      <c r="G169" s="53">
        <v>2</v>
      </c>
      <c r="H169" s="52" t="s">
        <v>62</v>
      </c>
      <c r="I169" s="53">
        <v>119990</v>
      </c>
      <c r="J169" s="53" t="s">
        <v>63</v>
      </c>
      <c r="K169" s="53" t="s">
        <v>64</v>
      </c>
      <c r="L169" s="53" t="s">
        <v>65</v>
      </c>
      <c r="M169" s="53" t="s">
        <v>66</v>
      </c>
      <c r="N169" s="52" t="str">
        <f ca="1">IF(INDIRECT("M169")="Clásica","15%",IF(INDIRECT("M169")="Premium","19%","-"))</f>
        <v>15%</v>
      </c>
      <c r="O169" s="53" t="s">
        <v>67</v>
      </c>
    </row>
    <row r="170" spans="1:15" ht="49.95" customHeight="1">
      <c r="A170" s="52" t="s">
        <v>24</v>
      </c>
      <c r="B170" s="52" t="s">
        <v>338</v>
      </c>
      <c r="C170" s="52"/>
      <c r="D170" s="52"/>
      <c r="E170" s="52" t="s">
        <v>339</v>
      </c>
      <c r="F170" s="52" t="s">
        <v>62</v>
      </c>
      <c r="G170" s="52" t="s">
        <v>164</v>
      </c>
      <c r="H170" s="52" t="s">
        <v>62</v>
      </c>
      <c r="I170" s="53">
        <v>54990</v>
      </c>
      <c r="J170" s="53" t="s">
        <v>63</v>
      </c>
      <c r="K170" s="53" t="s">
        <v>64</v>
      </c>
      <c r="L170" s="53" t="s">
        <v>65</v>
      </c>
      <c r="M170" s="53" t="s">
        <v>66</v>
      </c>
      <c r="N170" s="52" t="str">
        <f ca="1">IF(INDIRECT("M170")="Clásica","15%",IF(INDIRECT("M170")="Premium","19%","-"))</f>
        <v>15%</v>
      </c>
      <c r="O170" s="53" t="s">
        <v>67</v>
      </c>
    </row>
    <row r="171" spans="1:15" ht="49.95" customHeight="1">
      <c r="A171" s="52" t="s">
        <v>24</v>
      </c>
      <c r="B171" s="52" t="s">
        <v>338</v>
      </c>
      <c r="C171" s="52" t="s">
        <v>340</v>
      </c>
      <c r="D171" s="52" t="s">
        <v>340</v>
      </c>
      <c r="E171" s="54" t="str">
        <f>"     "&amp;E170</f>
        <v xml:space="preserve">     Pedales Freno Cambio Ktm Duke 200 250 390 Rc Hasta Año 2016</v>
      </c>
      <c r="F171" s="52" t="s">
        <v>86</v>
      </c>
      <c r="G171" s="53">
        <v>1</v>
      </c>
      <c r="H171" s="52" t="s">
        <v>62</v>
      </c>
      <c r="I171" s="52">
        <f>I170</f>
        <v>54990</v>
      </c>
      <c r="J171" s="52" t="str">
        <f>J170&amp;"     "</f>
        <v xml:space="preserve">$     </v>
      </c>
      <c r="K171" s="52" t="str">
        <f>K170&amp;"     "</f>
        <v xml:space="preserve">Nuevo     </v>
      </c>
      <c r="L171" s="52" t="str">
        <f>L170&amp;"     "</f>
        <v xml:space="preserve">Mercado Envíos gratis     </v>
      </c>
      <c r="M171" s="52" t="str">
        <f>M170&amp;"     "</f>
        <v xml:space="preserve">Clásica     </v>
      </c>
      <c r="N171" s="52" t="str">
        <f ca="1">N170</f>
        <v>15%</v>
      </c>
      <c r="O171" s="52" t="str">
        <f>O170&amp;"     "</f>
        <v xml:space="preserve">Activa     </v>
      </c>
    </row>
    <row r="172" spans="1:15" ht="49.95" customHeight="1">
      <c r="A172" s="52" t="s">
        <v>24</v>
      </c>
      <c r="B172" s="52" t="s">
        <v>338</v>
      </c>
      <c r="C172" s="52" t="s">
        <v>341</v>
      </c>
      <c r="D172" s="52" t="s">
        <v>341</v>
      </c>
      <c r="E172" s="54" t="str">
        <f>"     "&amp;E170</f>
        <v xml:space="preserve">     Pedales Freno Cambio Ktm Duke 200 250 390 Rc Hasta Año 2016</v>
      </c>
      <c r="F172" s="52" t="s">
        <v>100</v>
      </c>
      <c r="G172" s="53">
        <v>0</v>
      </c>
      <c r="H172" s="52" t="s">
        <v>62</v>
      </c>
      <c r="I172" s="52">
        <f>I170</f>
        <v>54990</v>
      </c>
      <c r="J172" s="52" t="str">
        <f>J170&amp;"     "</f>
        <v xml:space="preserve">$     </v>
      </c>
      <c r="K172" s="52" t="str">
        <f>K170&amp;"     "</f>
        <v xml:space="preserve">Nuevo     </v>
      </c>
      <c r="L172" s="52" t="str">
        <f>L170&amp;"     "</f>
        <v xml:space="preserve">Mercado Envíos gratis     </v>
      </c>
      <c r="M172" s="52" t="str">
        <f>M170&amp;"     "</f>
        <v xml:space="preserve">Clásica     </v>
      </c>
      <c r="N172" s="52" t="str">
        <f ca="1">N170</f>
        <v>15%</v>
      </c>
      <c r="O172" s="52" t="str">
        <f>O170&amp;"     "</f>
        <v xml:space="preserve">Activa     </v>
      </c>
    </row>
    <row r="173" spans="1:15" ht="49.95" customHeight="1">
      <c r="A173" s="52" t="s">
        <v>342</v>
      </c>
      <c r="B173" s="52" t="s">
        <v>343</v>
      </c>
      <c r="C173" s="52" t="s">
        <v>344</v>
      </c>
      <c r="D173" s="52"/>
      <c r="E173" s="52" t="s">
        <v>345</v>
      </c>
      <c r="F173" s="52" t="s">
        <v>345</v>
      </c>
      <c r="G173" s="53">
        <v>1</v>
      </c>
      <c r="H173" s="52" t="s">
        <v>62</v>
      </c>
      <c r="I173" s="53">
        <v>21990</v>
      </c>
      <c r="J173" s="53" t="s">
        <v>63</v>
      </c>
      <c r="K173" s="53" t="s">
        <v>64</v>
      </c>
      <c r="L173" s="53" t="s">
        <v>65</v>
      </c>
      <c r="M173" s="53" t="s">
        <v>66</v>
      </c>
      <c r="N173" s="52" t="str">
        <f ca="1">IF(INDIRECT("M173")="Clásica","14%",IF(INDIRECT("M173")="Premium","18%","-"))</f>
        <v>14%</v>
      </c>
      <c r="O173" s="53" t="s">
        <v>67</v>
      </c>
    </row>
    <row r="174" spans="1:15" ht="49.95" customHeight="1">
      <c r="A174" s="52" t="s">
        <v>346</v>
      </c>
      <c r="B174" s="52" t="s">
        <v>347</v>
      </c>
      <c r="C174" s="52" t="s">
        <v>348</v>
      </c>
      <c r="D174" s="52"/>
      <c r="E174" s="52" t="s">
        <v>349</v>
      </c>
      <c r="F174" s="52" t="s">
        <v>349</v>
      </c>
      <c r="G174" s="53">
        <v>4</v>
      </c>
      <c r="H174" s="52" t="s">
        <v>62</v>
      </c>
      <c r="I174" s="53">
        <v>18990</v>
      </c>
      <c r="J174" s="53" t="s">
        <v>63</v>
      </c>
      <c r="K174" s="53" t="s">
        <v>64</v>
      </c>
      <c r="L174" s="53" t="s">
        <v>71</v>
      </c>
      <c r="M174" s="53" t="s">
        <v>66</v>
      </c>
      <c r="N174" s="52" t="str">
        <f ca="1">IF(INDIRECT("M174")="Clásica","15%",IF(INDIRECT("M174")="Premium","19%","-"))</f>
        <v>15%</v>
      </c>
      <c r="O174" s="53" t="s">
        <v>67</v>
      </c>
    </row>
    <row r="175" spans="1:15" ht="49.95" customHeight="1">
      <c r="A175" s="52" t="s">
        <v>350</v>
      </c>
      <c r="B175" s="52" t="s">
        <v>351</v>
      </c>
      <c r="C175" s="52" t="s">
        <v>352</v>
      </c>
      <c r="D175" s="52"/>
      <c r="E175" s="52" t="s">
        <v>353</v>
      </c>
      <c r="F175" s="52" t="s">
        <v>353</v>
      </c>
      <c r="G175" s="53">
        <v>2</v>
      </c>
      <c r="H175" s="52" t="s">
        <v>62</v>
      </c>
      <c r="I175" s="53">
        <v>42990</v>
      </c>
      <c r="J175" s="53" t="s">
        <v>63</v>
      </c>
      <c r="K175" s="53" t="s">
        <v>64</v>
      </c>
      <c r="L175" s="53" t="s">
        <v>65</v>
      </c>
      <c r="M175" s="53" t="s">
        <v>66</v>
      </c>
      <c r="N175" s="52" t="str">
        <f ca="1">IF(INDIRECT("M175")="Clásica","14%",IF(INDIRECT("M175")="Premium","18%","-"))</f>
        <v>14%</v>
      </c>
      <c r="O175" s="53" t="s">
        <v>67</v>
      </c>
    </row>
    <row r="176" spans="1:15" ht="49.95" customHeight="1">
      <c r="A176" s="52" t="s">
        <v>354</v>
      </c>
      <c r="B176" s="52" t="s">
        <v>355</v>
      </c>
      <c r="C176" s="52" t="s">
        <v>356</v>
      </c>
      <c r="D176" s="52"/>
      <c r="E176" s="52" t="s">
        <v>357</v>
      </c>
      <c r="F176" s="52" t="s">
        <v>357</v>
      </c>
      <c r="G176" s="53">
        <v>2</v>
      </c>
      <c r="H176" s="52" t="s">
        <v>62</v>
      </c>
      <c r="I176" s="53">
        <v>19490</v>
      </c>
      <c r="J176" s="53" t="s">
        <v>63</v>
      </c>
      <c r="K176" s="53" t="s">
        <v>64</v>
      </c>
      <c r="L176" s="53" t="s">
        <v>71</v>
      </c>
      <c r="M176" s="53" t="s">
        <v>66</v>
      </c>
      <c r="N176" s="52" t="str">
        <f ca="1">IF(INDIRECT("M176")="Clásica","15%",IF(INDIRECT("M176")="Premium","19%","-"))</f>
        <v>15%</v>
      </c>
      <c r="O176" s="53" t="s">
        <v>67</v>
      </c>
    </row>
    <row r="177" spans="1:15" ht="49.95" customHeight="1">
      <c r="A177" s="52" t="s">
        <v>24</v>
      </c>
      <c r="B177" s="52" t="s">
        <v>358</v>
      </c>
      <c r="C177" s="52"/>
      <c r="D177" s="52"/>
      <c r="E177" s="52" t="s">
        <v>359</v>
      </c>
      <c r="F177" s="52" t="s">
        <v>62</v>
      </c>
      <c r="G177" s="52" t="s">
        <v>82</v>
      </c>
      <c r="H177" s="52" t="s">
        <v>62</v>
      </c>
      <c r="I177" s="53">
        <v>24990</v>
      </c>
      <c r="J177" s="53" t="s">
        <v>63</v>
      </c>
      <c r="K177" s="53" t="s">
        <v>64</v>
      </c>
      <c r="L177" s="53" t="s">
        <v>65</v>
      </c>
      <c r="M177" s="53" t="s">
        <v>66</v>
      </c>
      <c r="N177" s="52" t="str">
        <f ca="1">IF(INDIRECT("M177")="Clásica","14%",IF(INDIRECT("M177")="Premium","18%","-"))</f>
        <v>14%</v>
      </c>
      <c r="O177" s="53" t="s">
        <v>67</v>
      </c>
    </row>
    <row r="178" spans="1:15" ht="49.95" customHeight="1">
      <c r="A178" s="52" t="s">
        <v>24</v>
      </c>
      <c r="B178" s="52" t="s">
        <v>358</v>
      </c>
      <c r="C178" s="52" t="s">
        <v>360</v>
      </c>
      <c r="D178" s="52" t="s">
        <v>360</v>
      </c>
      <c r="E178" s="54" t="str">
        <f>"     "&amp;E177</f>
        <v xml:space="preserve">     Alerón - Winglet Yamaha R15 V4 Colores + Envío Gratis</v>
      </c>
      <c r="F178" s="52" t="s">
        <v>86</v>
      </c>
      <c r="G178" s="53">
        <v>1</v>
      </c>
      <c r="H178" s="52" t="s">
        <v>62</v>
      </c>
      <c r="I178" s="52">
        <f>I177</f>
        <v>24990</v>
      </c>
      <c r="J178" s="52" t="str">
        <f>J177&amp;"     "</f>
        <v xml:space="preserve">$     </v>
      </c>
      <c r="K178" s="52" t="str">
        <f>K177&amp;"     "</f>
        <v xml:space="preserve">Nuevo     </v>
      </c>
      <c r="L178" s="52" t="str">
        <f>L177&amp;"     "</f>
        <v xml:space="preserve">Mercado Envíos gratis     </v>
      </c>
      <c r="M178" s="52" t="str">
        <f>M177&amp;"     "</f>
        <v xml:space="preserve">Clásica     </v>
      </c>
      <c r="N178" s="52" t="str">
        <f ca="1">N177</f>
        <v>14%</v>
      </c>
      <c r="O178" s="52" t="str">
        <f>O177&amp;"     "</f>
        <v xml:space="preserve">Activa     </v>
      </c>
    </row>
    <row r="179" spans="1:15" ht="49.95" customHeight="1">
      <c r="A179" s="52" t="s">
        <v>24</v>
      </c>
      <c r="B179" s="52" t="s">
        <v>358</v>
      </c>
      <c r="C179" s="52" t="s">
        <v>361</v>
      </c>
      <c r="D179" s="52" t="s">
        <v>361</v>
      </c>
      <c r="E179" s="54" t="str">
        <f>"     "&amp;E177</f>
        <v xml:space="preserve">     Alerón - Winglet Yamaha R15 V4 Colores + Envío Gratis</v>
      </c>
      <c r="F179" s="52" t="s">
        <v>84</v>
      </c>
      <c r="G179" s="53">
        <v>2</v>
      </c>
      <c r="H179" s="52" t="s">
        <v>62</v>
      </c>
      <c r="I179" s="52">
        <f>I177</f>
        <v>24990</v>
      </c>
      <c r="J179" s="52" t="str">
        <f>J177&amp;"     "</f>
        <v xml:space="preserve">$     </v>
      </c>
      <c r="K179" s="52" t="str">
        <f>K177&amp;"     "</f>
        <v xml:space="preserve">Nuevo     </v>
      </c>
      <c r="L179" s="52" t="str">
        <f>L177&amp;"     "</f>
        <v xml:space="preserve">Mercado Envíos gratis     </v>
      </c>
      <c r="M179" s="52" t="str">
        <f>M177&amp;"     "</f>
        <v xml:space="preserve">Clásica     </v>
      </c>
      <c r="N179" s="52" t="str">
        <f ca="1">N177</f>
        <v>14%</v>
      </c>
      <c r="O179" s="52" t="str">
        <f>O177&amp;"     "</f>
        <v xml:space="preserve">Activa     </v>
      </c>
    </row>
    <row r="180" spans="1:15" ht="49.95" customHeight="1">
      <c r="A180" s="52" t="s">
        <v>24</v>
      </c>
      <c r="B180" s="52" t="s">
        <v>358</v>
      </c>
      <c r="C180" s="52" t="s">
        <v>362</v>
      </c>
      <c r="D180" s="52" t="s">
        <v>362</v>
      </c>
      <c r="E180" s="54" t="str">
        <f>"     "&amp;E177</f>
        <v xml:space="preserve">     Alerón - Winglet Yamaha R15 V4 Colores + Envío Gratis</v>
      </c>
      <c r="F180" s="52" t="s">
        <v>140</v>
      </c>
      <c r="G180" s="53">
        <v>0</v>
      </c>
      <c r="H180" s="52" t="s">
        <v>62</v>
      </c>
      <c r="I180" s="52">
        <f>I177</f>
        <v>24990</v>
      </c>
      <c r="J180" s="52" t="str">
        <f>J177&amp;"     "</f>
        <v xml:space="preserve">$     </v>
      </c>
      <c r="K180" s="52" t="str">
        <f>K177&amp;"     "</f>
        <v xml:space="preserve">Nuevo     </v>
      </c>
      <c r="L180" s="52" t="str">
        <f>L177&amp;"     "</f>
        <v xml:space="preserve">Mercado Envíos gratis     </v>
      </c>
      <c r="M180" s="52" t="str">
        <f>M177&amp;"     "</f>
        <v xml:space="preserve">Clásica     </v>
      </c>
      <c r="N180" s="52" t="str">
        <f ca="1">N177</f>
        <v>14%</v>
      </c>
      <c r="O180" s="52" t="str">
        <f>O177&amp;"     "</f>
        <v xml:space="preserve">Activa     </v>
      </c>
    </row>
    <row r="181" spans="1:15" ht="49.95" customHeight="1">
      <c r="A181" s="52" t="s">
        <v>24</v>
      </c>
      <c r="B181" s="52" t="s">
        <v>363</v>
      </c>
      <c r="C181" s="52"/>
      <c r="D181" s="52"/>
      <c r="E181" s="52" t="s">
        <v>364</v>
      </c>
      <c r="F181" s="52" t="s">
        <v>62</v>
      </c>
      <c r="G181" s="52" t="s">
        <v>164</v>
      </c>
      <c r="H181" s="52" t="s">
        <v>62</v>
      </c>
      <c r="I181" s="53">
        <v>79990</v>
      </c>
      <c r="J181" s="53" t="s">
        <v>63</v>
      </c>
      <c r="K181" s="53" t="s">
        <v>64</v>
      </c>
      <c r="L181" s="53" t="s">
        <v>65</v>
      </c>
      <c r="M181" s="53" t="s">
        <v>66</v>
      </c>
      <c r="N181" s="52" t="str">
        <f ca="1">IF(INDIRECT("M181")="Clásica","14%",IF(INDIRECT("M181")="Premium","18%","-"))</f>
        <v>14%</v>
      </c>
      <c r="O181" s="53" t="s">
        <v>67</v>
      </c>
    </row>
    <row r="182" spans="1:15" ht="49.95" customHeight="1">
      <c r="A182" s="52" t="s">
        <v>24</v>
      </c>
      <c r="B182" s="52" t="s">
        <v>363</v>
      </c>
      <c r="C182" s="52" t="s">
        <v>365</v>
      </c>
      <c r="D182" s="52" t="s">
        <v>365</v>
      </c>
      <c r="E182" s="54" t="str">
        <f>"     "&amp;E181</f>
        <v xml:space="preserve">     Quilla Cubierta Protector Motor Honda Cb150f Cb190r Colores</v>
      </c>
      <c r="F182" s="52" t="s">
        <v>86</v>
      </c>
      <c r="G182" s="53">
        <v>1</v>
      </c>
      <c r="H182" s="52" t="s">
        <v>62</v>
      </c>
      <c r="I182" s="52">
        <f>I181</f>
        <v>79990</v>
      </c>
      <c r="J182" s="52" t="str">
        <f>J181&amp;"     "</f>
        <v xml:space="preserve">$     </v>
      </c>
      <c r="K182" s="52" t="str">
        <f>K181&amp;"     "</f>
        <v xml:space="preserve">Nuevo     </v>
      </c>
      <c r="L182" s="52" t="str">
        <f>L181&amp;"     "</f>
        <v xml:space="preserve">Mercado Envíos gratis     </v>
      </c>
      <c r="M182" s="52" t="str">
        <f>M181&amp;"     "</f>
        <v xml:space="preserve">Clásica     </v>
      </c>
      <c r="N182" s="52" t="str">
        <f ca="1">N181</f>
        <v>14%</v>
      </c>
      <c r="O182" s="52" t="str">
        <f>O181&amp;"     "</f>
        <v xml:space="preserve">Activa     </v>
      </c>
    </row>
    <row r="183" spans="1:15" ht="49.95" customHeight="1">
      <c r="A183" s="52" t="s">
        <v>24</v>
      </c>
      <c r="B183" s="52" t="s">
        <v>363</v>
      </c>
      <c r="C183" s="52" t="s">
        <v>366</v>
      </c>
      <c r="D183" s="52" t="s">
        <v>366</v>
      </c>
      <c r="E183" s="54" t="str">
        <f>"     "&amp;E181</f>
        <v xml:space="preserve">     Quilla Cubierta Protector Motor Honda Cb150f Cb190r Colores</v>
      </c>
      <c r="F183" s="52" t="s">
        <v>100</v>
      </c>
      <c r="G183" s="53">
        <v>0</v>
      </c>
      <c r="H183" s="52" t="s">
        <v>62</v>
      </c>
      <c r="I183" s="52">
        <f>I181</f>
        <v>79990</v>
      </c>
      <c r="J183" s="52" t="str">
        <f>J181&amp;"     "</f>
        <v xml:space="preserve">$     </v>
      </c>
      <c r="K183" s="52" t="str">
        <f>K181&amp;"     "</f>
        <v xml:space="preserve">Nuevo     </v>
      </c>
      <c r="L183" s="52" t="str">
        <f>L181&amp;"     "</f>
        <v xml:space="preserve">Mercado Envíos gratis     </v>
      </c>
      <c r="M183" s="52" t="str">
        <f>M181&amp;"     "</f>
        <v xml:space="preserve">Clásica     </v>
      </c>
      <c r="N183" s="52" t="str">
        <f ca="1">N181</f>
        <v>14%</v>
      </c>
      <c r="O183" s="52" t="str">
        <f>O181&amp;"     "</f>
        <v xml:space="preserve">Activa     </v>
      </c>
    </row>
    <row r="184" spans="1:15" ht="49.95" customHeight="1">
      <c r="A184" s="52" t="s">
        <v>24</v>
      </c>
      <c r="B184" s="52" t="s">
        <v>363</v>
      </c>
      <c r="C184" s="52" t="s">
        <v>367</v>
      </c>
      <c r="D184" s="52" t="s">
        <v>367</v>
      </c>
      <c r="E184" s="54" t="str">
        <f>"     "&amp;E181</f>
        <v xml:space="preserve">     Quilla Cubierta Protector Motor Honda Cb150f Cb190r Colores</v>
      </c>
      <c r="F184" s="52" t="s">
        <v>90</v>
      </c>
      <c r="G184" s="53">
        <v>0</v>
      </c>
      <c r="H184" s="52" t="s">
        <v>62</v>
      </c>
      <c r="I184" s="52">
        <f>I181</f>
        <v>79990</v>
      </c>
      <c r="J184" s="52" t="str">
        <f>J181&amp;"     "</f>
        <v xml:space="preserve">$     </v>
      </c>
      <c r="K184" s="52" t="str">
        <f>K181&amp;"     "</f>
        <v xml:space="preserve">Nuevo     </v>
      </c>
      <c r="L184" s="52" t="str">
        <f>L181&amp;"     "</f>
        <v xml:space="preserve">Mercado Envíos gratis     </v>
      </c>
      <c r="M184" s="52" t="str">
        <f>M181&amp;"     "</f>
        <v xml:space="preserve">Clásica     </v>
      </c>
      <c r="N184" s="52" t="str">
        <f ca="1">N181</f>
        <v>14%</v>
      </c>
      <c r="O184" s="52" t="str">
        <f>O181&amp;"     "</f>
        <v xml:space="preserve">Activa     </v>
      </c>
    </row>
    <row r="185" spans="1:15" ht="49.95" customHeight="1">
      <c r="A185" s="52" t="s">
        <v>368</v>
      </c>
      <c r="B185" s="52" t="s">
        <v>369</v>
      </c>
      <c r="C185" s="52" t="s">
        <v>370</v>
      </c>
      <c r="D185" s="52"/>
      <c r="E185" s="52" t="s">
        <v>371</v>
      </c>
      <c r="F185" s="52" t="s">
        <v>371</v>
      </c>
      <c r="G185" s="53">
        <v>2</v>
      </c>
      <c r="H185" s="52" t="s">
        <v>62</v>
      </c>
      <c r="I185" s="53">
        <v>69990</v>
      </c>
      <c r="J185" s="53" t="s">
        <v>63</v>
      </c>
      <c r="K185" s="53" t="s">
        <v>64</v>
      </c>
      <c r="L185" s="53" t="s">
        <v>65</v>
      </c>
      <c r="M185" s="53" t="s">
        <v>66</v>
      </c>
      <c r="N185" s="52" t="str">
        <f ca="1">IF(INDIRECT("M185")="Clásica","14%",IF(INDIRECT("M185")="Premium","18%","-"))</f>
        <v>14%</v>
      </c>
      <c r="O185" s="53" t="s">
        <v>67</v>
      </c>
    </row>
    <row r="186" spans="1:15" ht="49.95" customHeight="1">
      <c r="A186" s="52" t="s">
        <v>24</v>
      </c>
      <c r="B186" s="52" t="s">
        <v>372</v>
      </c>
      <c r="C186" s="52"/>
      <c r="D186" s="52"/>
      <c r="E186" s="52" t="s">
        <v>373</v>
      </c>
      <c r="F186" s="52" t="s">
        <v>62</v>
      </c>
      <c r="G186" s="52" t="s">
        <v>164</v>
      </c>
      <c r="H186" s="52" t="s">
        <v>62</v>
      </c>
      <c r="I186" s="53">
        <v>15990</v>
      </c>
      <c r="J186" s="53" t="s">
        <v>63</v>
      </c>
      <c r="K186" s="53" t="s">
        <v>64</v>
      </c>
      <c r="L186" s="53" t="s">
        <v>71</v>
      </c>
      <c r="M186" s="53" t="s">
        <v>66</v>
      </c>
      <c r="N186" s="52" t="str">
        <f ca="1">IF(INDIRECT("M186")="Clásica","14%",IF(INDIRECT("M186")="Premium","18%","-"))</f>
        <v>14%</v>
      </c>
      <c r="O186" s="53" t="s">
        <v>67</v>
      </c>
    </row>
    <row r="187" spans="1:15" ht="49.95" customHeight="1">
      <c r="A187" s="52" t="s">
        <v>24</v>
      </c>
      <c r="B187" s="52" t="s">
        <v>372</v>
      </c>
      <c r="C187" s="52" t="s">
        <v>374</v>
      </c>
      <c r="D187" s="52" t="s">
        <v>374</v>
      </c>
      <c r="E187" s="54" t="str">
        <f>"     "&amp;E186</f>
        <v xml:space="preserve">     Tapas Tornillo Amortiguador Delantero Yamaha R3 R3a R 3 Logo</v>
      </c>
      <c r="F187" s="52" t="s">
        <v>86</v>
      </c>
      <c r="G187" s="53">
        <v>1</v>
      </c>
      <c r="H187" s="52" t="s">
        <v>62</v>
      </c>
      <c r="I187" s="52">
        <f>I186</f>
        <v>15990</v>
      </c>
      <c r="J187" s="52" t="str">
        <f>J186&amp;"     "</f>
        <v xml:space="preserve">$     </v>
      </c>
      <c r="K187" s="52" t="str">
        <f>K186&amp;"     "</f>
        <v xml:space="preserve">Nuevo     </v>
      </c>
      <c r="L187" s="52" t="str">
        <f>L186&amp;"     "</f>
        <v xml:space="preserve">Mercado Envíos a cargo del comprador     </v>
      </c>
      <c r="M187" s="52" t="str">
        <f>M186&amp;"     "</f>
        <v xml:space="preserve">Clásica     </v>
      </c>
      <c r="N187" s="52" t="str">
        <f ca="1">N186</f>
        <v>14%</v>
      </c>
      <c r="O187" s="52" t="str">
        <f>O186&amp;"     "</f>
        <v xml:space="preserve">Activa     </v>
      </c>
    </row>
    <row r="188" spans="1:15" ht="49.95" customHeight="1">
      <c r="A188" s="52" t="s">
        <v>24</v>
      </c>
      <c r="B188" s="52" t="s">
        <v>372</v>
      </c>
      <c r="C188" s="52" t="s">
        <v>375</v>
      </c>
      <c r="D188" s="52" t="s">
        <v>375</v>
      </c>
      <c r="E188" s="54" t="str">
        <f>"     "&amp;E186</f>
        <v xml:space="preserve">     Tapas Tornillo Amortiguador Delantero Yamaha R3 R3a R 3 Logo</v>
      </c>
      <c r="F188" s="52" t="s">
        <v>84</v>
      </c>
      <c r="G188" s="53">
        <v>0</v>
      </c>
      <c r="H188" s="52" t="s">
        <v>62</v>
      </c>
      <c r="I188" s="52">
        <f>I186</f>
        <v>15990</v>
      </c>
      <c r="J188" s="52" t="str">
        <f>J186&amp;"     "</f>
        <v xml:space="preserve">$     </v>
      </c>
      <c r="K188" s="52" t="str">
        <f>K186&amp;"     "</f>
        <v xml:space="preserve">Nuevo     </v>
      </c>
      <c r="L188" s="52" t="str">
        <f>L186&amp;"     "</f>
        <v xml:space="preserve">Mercado Envíos a cargo del comprador     </v>
      </c>
      <c r="M188" s="52" t="str">
        <f>M186&amp;"     "</f>
        <v xml:space="preserve">Clásica     </v>
      </c>
      <c r="N188" s="52" t="str">
        <f ca="1">N186</f>
        <v>14%</v>
      </c>
      <c r="O188" s="52" t="str">
        <f>O186&amp;"     "</f>
        <v xml:space="preserve">Activa     </v>
      </c>
    </row>
    <row r="189" spans="1:15" ht="49.95" customHeight="1">
      <c r="A189" s="52" t="s">
        <v>376</v>
      </c>
      <c r="B189" s="52" t="s">
        <v>377</v>
      </c>
      <c r="C189" s="52" t="s">
        <v>378</v>
      </c>
      <c r="D189" s="52"/>
      <c r="E189" s="52" t="s">
        <v>379</v>
      </c>
      <c r="F189" s="52" t="s">
        <v>379</v>
      </c>
      <c r="G189" s="53">
        <v>2</v>
      </c>
      <c r="H189" s="52" t="s">
        <v>62</v>
      </c>
      <c r="I189" s="53">
        <v>89990</v>
      </c>
      <c r="J189" s="53" t="s">
        <v>63</v>
      </c>
      <c r="K189" s="53" t="s">
        <v>64</v>
      </c>
      <c r="L189" s="53" t="s">
        <v>65</v>
      </c>
      <c r="M189" s="53" t="s">
        <v>66</v>
      </c>
      <c r="N189" s="52" t="str">
        <f ca="1">IF(INDIRECT("M189")="Clásica","14%",IF(INDIRECT("M189")="Premium","18%","-"))</f>
        <v>14%</v>
      </c>
      <c r="O189" s="53" t="s">
        <v>67</v>
      </c>
    </row>
    <row r="190" spans="1:15" ht="49.95" customHeight="1">
      <c r="A190" s="52" t="s">
        <v>380</v>
      </c>
      <c r="B190" s="52" t="s">
        <v>381</v>
      </c>
      <c r="C190" s="52" t="s">
        <v>382</v>
      </c>
      <c r="D190" s="52"/>
      <c r="E190" s="52" t="s">
        <v>383</v>
      </c>
      <c r="F190" s="52" t="s">
        <v>86</v>
      </c>
      <c r="G190" s="53">
        <v>1</v>
      </c>
      <c r="H190" s="52" t="s">
        <v>62</v>
      </c>
      <c r="I190" s="53">
        <v>99990</v>
      </c>
      <c r="J190" s="53" t="s">
        <v>63</v>
      </c>
      <c r="K190" s="53" t="s">
        <v>64</v>
      </c>
      <c r="L190" s="53" t="s">
        <v>65</v>
      </c>
      <c r="M190" s="53" t="s">
        <v>66</v>
      </c>
      <c r="N190" s="52" t="str">
        <f ca="1">IF(INDIRECT("M190")="Clásica","14%",IF(INDIRECT("M190")="Premium","18%","-"))</f>
        <v>14%</v>
      </c>
      <c r="O190" s="53" t="s">
        <v>67</v>
      </c>
    </row>
    <row r="191" spans="1:15" ht="49.95" customHeight="1">
      <c r="A191" s="52" t="s">
        <v>384</v>
      </c>
      <c r="B191" s="52" t="s">
        <v>385</v>
      </c>
      <c r="C191" s="52" t="s">
        <v>386</v>
      </c>
      <c r="D191" s="52"/>
      <c r="E191" s="52" t="s">
        <v>387</v>
      </c>
      <c r="F191" s="52" t="s">
        <v>62</v>
      </c>
      <c r="G191" s="53">
        <v>1</v>
      </c>
      <c r="H191" s="52" t="s">
        <v>62</v>
      </c>
      <c r="I191" s="53">
        <v>89990</v>
      </c>
      <c r="J191" s="53" t="s">
        <v>63</v>
      </c>
      <c r="K191" s="52" t="s">
        <v>64</v>
      </c>
      <c r="L191" s="53" t="s">
        <v>65</v>
      </c>
      <c r="M191" s="53" t="s">
        <v>66</v>
      </c>
      <c r="N191" s="52" t="str">
        <f ca="1">IF(INDIRECT("M191")="Clásica","15%",IF(INDIRECT("M191")="Premium","19%","-"))</f>
        <v>15%</v>
      </c>
      <c r="O191" s="53" t="s">
        <v>67</v>
      </c>
    </row>
    <row r="192" spans="1:15" ht="49.95" customHeight="1">
      <c r="A192" s="52" t="s">
        <v>24</v>
      </c>
      <c r="B192" s="52" t="s">
        <v>388</v>
      </c>
      <c r="C192" s="52"/>
      <c r="D192" s="52"/>
      <c r="E192" s="52" t="s">
        <v>389</v>
      </c>
      <c r="F192" s="52" t="s">
        <v>62</v>
      </c>
      <c r="G192" s="52" t="s">
        <v>164</v>
      </c>
      <c r="H192" s="52" t="s">
        <v>62</v>
      </c>
      <c r="I192" s="53">
        <v>89990</v>
      </c>
      <c r="J192" s="53" t="s">
        <v>63</v>
      </c>
      <c r="K192" s="53" t="s">
        <v>64</v>
      </c>
      <c r="L192" s="53" t="s">
        <v>65</v>
      </c>
      <c r="M192" s="53" t="s">
        <v>66</v>
      </c>
      <c r="N192" s="52" t="str">
        <f ca="1">IF(INDIRECT("M192")="Clásica","15%",IF(INDIRECT("M192")="Premium","19%","-"))</f>
        <v>15%</v>
      </c>
      <c r="O192" s="53" t="s">
        <v>67</v>
      </c>
    </row>
    <row r="193" spans="1:15" ht="49.95" customHeight="1">
      <c r="A193" s="52" t="s">
        <v>24</v>
      </c>
      <c r="B193" s="52" t="s">
        <v>388</v>
      </c>
      <c r="C193" s="52" t="s">
        <v>390</v>
      </c>
      <c r="D193" s="52" t="s">
        <v>390</v>
      </c>
      <c r="E193" s="54" t="str">
        <f>"     "&amp;E192</f>
        <v xml:space="preserve">     Cúpula Parabrisas Ktm Adventure Adv 250 390</v>
      </c>
      <c r="F193" s="52" t="s">
        <v>75</v>
      </c>
      <c r="G193" s="53">
        <v>1</v>
      </c>
      <c r="H193" s="52" t="s">
        <v>62</v>
      </c>
      <c r="I193" s="52">
        <f>I192</f>
        <v>89990</v>
      </c>
      <c r="J193" s="52" t="str">
        <f>J192&amp;"     "</f>
        <v xml:space="preserve">$     </v>
      </c>
      <c r="K193" s="52" t="str">
        <f>K192&amp;"     "</f>
        <v xml:space="preserve">Nuevo     </v>
      </c>
      <c r="L193" s="52" t="str">
        <f>L192&amp;"     "</f>
        <v xml:space="preserve">Mercado Envíos gratis     </v>
      </c>
      <c r="M193" s="52" t="str">
        <f>M192&amp;"     "</f>
        <v xml:space="preserve">Clásica     </v>
      </c>
      <c r="N193" s="52" t="str">
        <f ca="1">N192</f>
        <v>15%</v>
      </c>
      <c r="O193" s="52" t="str">
        <f>O192&amp;"     "</f>
        <v xml:space="preserve">Activa     </v>
      </c>
    </row>
    <row r="194" spans="1:15" ht="49.95" customHeight="1">
      <c r="A194" s="52" t="s">
        <v>24</v>
      </c>
      <c r="B194" s="52" t="s">
        <v>388</v>
      </c>
      <c r="C194" s="52" t="s">
        <v>391</v>
      </c>
      <c r="D194" s="52" t="s">
        <v>391</v>
      </c>
      <c r="E194" s="54" t="str">
        <f>"     "&amp;E192</f>
        <v xml:space="preserve">     Cúpula Parabrisas Ktm Adventure Adv 250 390</v>
      </c>
      <c r="F194" s="52" t="s">
        <v>73</v>
      </c>
      <c r="G194" s="53">
        <v>0</v>
      </c>
      <c r="H194" s="52" t="s">
        <v>62</v>
      </c>
      <c r="I194" s="52">
        <f>I192</f>
        <v>89990</v>
      </c>
      <c r="J194" s="52" t="str">
        <f>J192&amp;"     "</f>
        <v xml:space="preserve">$     </v>
      </c>
      <c r="K194" s="52" t="str">
        <f>K192&amp;"     "</f>
        <v xml:space="preserve">Nuevo     </v>
      </c>
      <c r="L194" s="52" t="str">
        <f>L192&amp;"     "</f>
        <v xml:space="preserve">Mercado Envíos gratis     </v>
      </c>
      <c r="M194" s="52" t="str">
        <f>M192&amp;"     "</f>
        <v xml:space="preserve">Clásica     </v>
      </c>
      <c r="N194" s="52" t="str">
        <f ca="1">N192</f>
        <v>15%</v>
      </c>
      <c r="O194" s="52" t="str">
        <f>O192&amp;"     "</f>
        <v xml:space="preserve">Activa     </v>
      </c>
    </row>
    <row r="195" spans="1:15" ht="49.95" customHeight="1">
      <c r="A195" s="52" t="s">
        <v>392</v>
      </c>
      <c r="B195" s="52" t="s">
        <v>393</v>
      </c>
      <c r="C195" s="52" t="s">
        <v>394</v>
      </c>
      <c r="D195" s="52"/>
      <c r="E195" s="52" t="s">
        <v>395</v>
      </c>
      <c r="F195" s="52" t="s">
        <v>395</v>
      </c>
      <c r="G195" s="53">
        <v>2</v>
      </c>
      <c r="H195" s="52" t="s">
        <v>62</v>
      </c>
      <c r="I195" s="53">
        <v>26990</v>
      </c>
      <c r="J195" s="53" t="s">
        <v>63</v>
      </c>
      <c r="K195" s="53" t="s">
        <v>64</v>
      </c>
      <c r="L195" s="53" t="s">
        <v>65</v>
      </c>
      <c r="M195" s="53" t="s">
        <v>66</v>
      </c>
      <c r="N195" s="52" t="str">
        <f ca="1">IF(INDIRECT("M195")="Clásica","15%",IF(INDIRECT("M195")="Premium","19%","-"))</f>
        <v>15%</v>
      </c>
      <c r="O195" s="53" t="s">
        <v>67</v>
      </c>
    </row>
    <row r="196" spans="1:15" ht="49.95" customHeight="1">
      <c r="A196" s="52" t="s">
        <v>396</v>
      </c>
      <c r="B196" s="52" t="s">
        <v>397</v>
      </c>
      <c r="C196" s="52" t="s">
        <v>398</v>
      </c>
      <c r="D196" s="52"/>
      <c r="E196" s="52" t="s">
        <v>399</v>
      </c>
      <c r="F196" s="52" t="s">
        <v>399</v>
      </c>
      <c r="G196" s="53">
        <v>2</v>
      </c>
      <c r="H196" s="52" t="s">
        <v>62</v>
      </c>
      <c r="I196" s="53">
        <v>69990</v>
      </c>
      <c r="J196" s="53" t="s">
        <v>63</v>
      </c>
      <c r="K196" s="53" t="s">
        <v>64</v>
      </c>
      <c r="L196" s="53" t="s">
        <v>65</v>
      </c>
      <c r="M196" s="53" t="s">
        <v>66</v>
      </c>
      <c r="N196" s="52" t="str">
        <f ca="1">IF(INDIRECT("M196")="Clásica","14%",IF(INDIRECT("M196")="Premium","18%","-"))</f>
        <v>14%</v>
      </c>
      <c r="O196" s="53" t="s">
        <v>67</v>
      </c>
    </row>
    <row r="197" spans="1:15" ht="49.95" customHeight="1">
      <c r="A197" s="52" t="s">
        <v>24</v>
      </c>
      <c r="B197" s="52" t="s">
        <v>400</v>
      </c>
      <c r="C197" s="52"/>
      <c r="D197" s="52"/>
      <c r="E197" s="52" t="s">
        <v>401</v>
      </c>
      <c r="F197" s="52" t="s">
        <v>62</v>
      </c>
      <c r="G197" s="52" t="s">
        <v>164</v>
      </c>
      <c r="H197" s="52" t="s">
        <v>62</v>
      </c>
      <c r="I197" s="53">
        <v>18990</v>
      </c>
      <c r="J197" s="53" t="s">
        <v>63</v>
      </c>
      <c r="K197" s="53" t="s">
        <v>64</v>
      </c>
      <c r="L197" s="53" t="s">
        <v>71</v>
      </c>
      <c r="M197" s="53" t="s">
        <v>66</v>
      </c>
      <c r="N197" s="52" t="str">
        <f ca="1">IF(INDIRECT("M197")="Clásica","14%",IF(INDIRECT("M197")="Premium","18%","-"))</f>
        <v>14%</v>
      </c>
      <c r="O197" s="53" t="s">
        <v>67</v>
      </c>
    </row>
    <row r="198" spans="1:15" ht="49.95" customHeight="1">
      <c r="A198" s="52" t="s">
        <v>24</v>
      </c>
      <c r="B198" s="52" t="s">
        <v>400</v>
      </c>
      <c r="C198" s="52" t="s">
        <v>402</v>
      </c>
      <c r="D198" s="52" t="s">
        <v>402</v>
      </c>
      <c r="E198" s="54" t="str">
        <f>"     "&amp;E197</f>
        <v xml:space="preserve">     Placa Soporte Extensión Pata Apoyo Honda Cb500x Cb500 X</v>
      </c>
      <c r="F198" s="52" t="s">
        <v>90</v>
      </c>
      <c r="G198" s="53">
        <v>1</v>
      </c>
      <c r="H198" s="52" t="s">
        <v>62</v>
      </c>
      <c r="I198" s="52">
        <f>I197</f>
        <v>18990</v>
      </c>
      <c r="J198" s="52" t="str">
        <f>J197&amp;"     "</f>
        <v xml:space="preserve">$     </v>
      </c>
      <c r="K198" s="52" t="str">
        <f>K197&amp;"     "</f>
        <v xml:space="preserve">Nuevo     </v>
      </c>
      <c r="L198" s="52" t="str">
        <f>L197&amp;"     "</f>
        <v xml:space="preserve">Mercado Envíos a cargo del comprador     </v>
      </c>
      <c r="M198" s="52" t="str">
        <f>M197&amp;"     "</f>
        <v xml:space="preserve">Clásica     </v>
      </c>
      <c r="N198" s="52" t="str">
        <f ca="1">N197</f>
        <v>14%</v>
      </c>
      <c r="O198" s="52" t="str">
        <f>O197&amp;"     "</f>
        <v xml:space="preserve">Activa     </v>
      </c>
    </row>
    <row r="199" spans="1:15" ht="49.95" customHeight="1">
      <c r="A199" s="52" t="s">
        <v>24</v>
      </c>
      <c r="B199" s="52" t="s">
        <v>400</v>
      </c>
      <c r="C199" s="52" t="s">
        <v>403</v>
      </c>
      <c r="D199" s="52" t="s">
        <v>403</v>
      </c>
      <c r="E199" s="54" t="str">
        <f>"     "&amp;E197</f>
        <v xml:space="preserve">     Placa Soporte Extensión Pata Apoyo Honda Cb500x Cb500 X</v>
      </c>
      <c r="F199" s="52" t="s">
        <v>86</v>
      </c>
      <c r="G199" s="53">
        <v>0</v>
      </c>
      <c r="H199" s="52" t="s">
        <v>62</v>
      </c>
      <c r="I199" s="52">
        <f>I197</f>
        <v>18990</v>
      </c>
      <c r="J199" s="52" t="str">
        <f>J197&amp;"     "</f>
        <v xml:space="preserve">$     </v>
      </c>
      <c r="K199" s="52" t="str">
        <f>K197&amp;"     "</f>
        <v xml:space="preserve">Nuevo     </v>
      </c>
      <c r="L199" s="52" t="str">
        <f>L197&amp;"     "</f>
        <v xml:space="preserve">Mercado Envíos a cargo del comprador     </v>
      </c>
      <c r="M199" s="52" t="str">
        <f>M197&amp;"     "</f>
        <v xml:space="preserve">Clásica     </v>
      </c>
      <c r="N199" s="52" t="str">
        <f ca="1">N197</f>
        <v>14%</v>
      </c>
      <c r="O199" s="52" t="str">
        <f>O197&amp;"     "</f>
        <v xml:space="preserve">Activa     </v>
      </c>
    </row>
    <row r="200" spans="1:15" ht="49.95" customHeight="1">
      <c r="A200" s="52" t="s">
        <v>404</v>
      </c>
      <c r="B200" s="52" t="s">
        <v>405</v>
      </c>
      <c r="C200" s="52" t="s">
        <v>406</v>
      </c>
      <c r="D200" s="52"/>
      <c r="E200" s="52" t="s">
        <v>407</v>
      </c>
      <c r="F200" s="52" t="s">
        <v>407</v>
      </c>
      <c r="G200" s="53">
        <v>6</v>
      </c>
      <c r="H200" s="52" t="s">
        <v>62</v>
      </c>
      <c r="I200" s="53">
        <v>22990</v>
      </c>
      <c r="J200" s="53" t="s">
        <v>63</v>
      </c>
      <c r="K200" s="53" t="s">
        <v>64</v>
      </c>
      <c r="L200" s="53" t="s">
        <v>65</v>
      </c>
      <c r="M200" s="53" t="s">
        <v>66</v>
      </c>
      <c r="N200" s="52" t="str">
        <f ca="1">IF(INDIRECT("M200")="Clásica","15%",IF(INDIRECT("M200")="Premium","19%","-"))</f>
        <v>15%</v>
      </c>
      <c r="O200" s="53" t="s">
        <v>67</v>
      </c>
    </row>
    <row r="201" spans="1:15" ht="49.95" customHeight="1">
      <c r="A201" s="52" t="s">
        <v>408</v>
      </c>
      <c r="B201" s="52" t="s">
        <v>409</v>
      </c>
      <c r="C201" s="52" t="s">
        <v>410</v>
      </c>
      <c r="D201" s="52"/>
      <c r="E201" s="52" t="s">
        <v>411</v>
      </c>
      <c r="F201" s="52" t="s">
        <v>411</v>
      </c>
      <c r="G201" s="53">
        <v>2</v>
      </c>
      <c r="H201" s="52" t="s">
        <v>62</v>
      </c>
      <c r="I201" s="53">
        <v>34990</v>
      </c>
      <c r="J201" s="53" t="s">
        <v>63</v>
      </c>
      <c r="K201" s="53" t="s">
        <v>64</v>
      </c>
      <c r="L201" s="53" t="s">
        <v>65</v>
      </c>
      <c r="M201" s="53" t="s">
        <v>66</v>
      </c>
      <c r="N201" s="52" t="str">
        <f ca="1">IF(INDIRECT("M201")="Clásica","14%",IF(INDIRECT("M201")="Premium","18%","-"))</f>
        <v>14%</v>
      </c>
      <c r="O201" s="53" t="s">
        <v>67</v>
      </c>
    </row>
    <row r="202" spans="1:15" ht="49.95" customHeight="1">
      <c r="A202" s="52" t="s">
        <v>412</v>
      </c>
      <c r="B202" s="52" t="s">
        <v>413</v>
      </c>
      <c r="C202" s="52" t="s">
        <v>414</v>
      </c>
      <c r="D202" s="52"/>
      <c r="E202" s="52" t="s">
        <v>415</v>
      </c>
      <c r="F202" s="52" t="s">
        <v>75</v>
      </c>
      <c r="G202" s="53">
        <v>2</v>
      </c>
      <c r="H202" s="52" t="s">
        <v>62</v>
      </c>
      <c r="I202" s="53">
        <v>44990</v>
      </c>
      <c r="J202" s="53" t="s">
        <v>63</v>
      </c>
      <c r="K202" s="53" t="s">
        <v>64</v>
      </c>
      <c r="L202" s="53" t="s">
        <v>65</v>
      </c>
      <c r="M202" s="53" t="s">
        <v>66</v>
      </c>
      <c r="N202" s="52" t="str">
        <f ca="1">IF(INDIRECT("M202")="Clásica","15%",IF(INDIRECT("M202")="Premium","19%","-"))</f>
        <v>15%</v>
      </c>
      <c r="O202" s="53" t="s">
        <v>67</v>
      </c>
    </row>
    <row r="203" spans="1:15" ht="49.95" customHeight="1">
      <c r="A203" s="52" t="s">
        <v>416</v>
      </c>
      <c r="B203" s="52" t="s">
        <v>417</v>
      </c>
      <c r="C203" s="52" t="s">
        <v>418</v>
      </c>
      <c r="D203" s="52"/>
      <c r="E203" s="52" t="s">
        <v>419</v>
      </c>
      <c r="F203" s="52" t="s">
        <v>419</v>
      </c>
      <c r="G203" s="53">
        <v>2</v>
      </c>
      <c r="H203" s="52" t="s">
        <v>62</v>
      </c>
      <c r="I203" s="53">
        <v>39990</v>
      </c>
      <c r="J203" s="53" t="s">
        <v>63</v>
      </c>
      <c r="K203" s="53" t="s">
        <v>64</v>
      </c>
      <c r="L203" s="53" t="s">
        <v>65</v>
      </c>
      <c r="M203" s="53" t="s">
        <v>66</v>
      </c>
      <c r="N203" s="52" t="str">
        <f ca="1">IF(INDIRECT("M203")="Clásica","14%",IF(INDIRECT("M203")="Premium","18%","-"))</f>
        <v>14%</v>
      </c>
      <c r="O203" s="53" t="s">
        <v>67</v>
      </c>
    </row>
    <row r="204" spans="1:15" ht="49.95" customHeight="1">
      <c r="A204" s="52" t="s">
        <v>24</v>
      </c>
      <c r="B204" s="52" t="s">
        <v>420</v>
      </c>
      <c r="C204" s="52"/>
      <c r="D204" s="52"/>
      <c r="E204" s="52" t="s">
        <v>421</v>
      </c>
      <c r="F204" s="52" t="s">
        <v>62</v>
      </c>
      <c r="G204" s="52" t="s">
        <v>143</v>
      </c>
      <c r="H204" s="52" t="s">
        <v>62</v>
      </c>
      <c r="I204" s="53">
        <v>64990</v>
      </c>
      <c r="J204" s="53" t="s">
        <v>63</v>
      </c>
      <c r="K204" s="53" t="s">
        <v>64</v>
      </c>
      <c r="L204" s="53" t="s">
        <v>65</v>
      </c>
      <c r="M204" s="53" t="s">
        <v>66</v>
      </c>
      <c r="N204" s="52" t="str">
        <f ca="1">IF(INDIRECT("M204")="Clásica","14%",IF(INDIRECT("M204")="Premium","18%","-"))</f>
        <v>14%</v>
      </c>
      <c r="O204" s="53" t="s">
        <v>67</v>
      </c>
    </row>
    <row r="205" spans="1:15" ht="49.95" customHeight="1">
      <c r="A205" s="52" t="s">
        <v>24</v>
      </c>
      <c r="B205" s="52" t="s">
        <v>420</v>
      </c>
      <c r="C205" s="52" t="s">
        <v>422</v>
      </c>
      <c r="D205" s="52" t="s">
        <v>422</v>
      </c>
      <c r="E205" s="54" t="str">
        <f>"     "&amp;E204</f>
        <v xml:space="preserve">     Set Manillas Palancas + Protector Ktm Rc 200 250 390 Logo</v>
      </c>
      <c r="F205" s="52" t="s">
        <v>423</v>
      </c>
      <c r="G205" s="53">
        <v>2</v>
      </c>
      <c r="H205" s="52" t="s">
        <v>62</v>
      </c>
      <c r="I205" s="52">
        <f>I204</f>
        <v>64990</v>
      </c>
      <c r="J205" s="52" t="str">
        <f>J204&amp;"     "</f>
        <v xml:space="preserve">$     </v>
      </c>
      <c r="K205" s="52" t="str">
        <f>K204&amp;"     "</f>
        <v xml:space="preserve">Nuevo     </v>
      </c>
      <c r="L205" s="52" t="str">
        <f>L204&amp;"     "</f>
        <v xml:space="preserve">Mercado Envíos gratis     </v>
      </c>
      <c r="M205" s="52" t="str">
        <f>M204&amp;"     "</f>
        <v xml:space="preserve">Clásica     </v>
      </c>
      <c r="N205" s="52" t="str">
        <f ca="1">N204</f>
        <v>14%</v>
      </c>
      <c r="O205" s="52" t="str">
        <f>O204&amp;"     "</f>
        <v xml:space="preserve">Activa     </v>
      </c>
    </row>
    <row r="206" spans="1:15" ht="49.95" customHeight="1">
      <c r="A206" s="52" t="s">
        <v>24</v>
      </c>
      <c r="B206" s="52" t="s">
        <v>420</v>
      </c>
      <c r="C206" s="52" t="s">
        <v>424</v>
      </c>
      <c r="D206" s="52" t="s">
        <v>424</v>
      </c>
      <c r="E206" s="54" t="str">
        <f>"     "&amp;E204</f>
        <v xml:space="preserve">     Set Manillas Palancas + Protector Ktm Rc 200 250 390 Logo</v>
      </c>
      <c r="F206" s="52" t="s">
        <v>425</v>
      </c>
      <c r="G206" s="53">
        <v>2</v>
      </c>
      <c r="H206" s="52" t="s">
        <v>62</v>
      </c>
      <c r="I206" s="52">
        <f>I204</f>
        <v>64990</v>
      </c>
      <c r="J206" s="52" t="str">
        <f>J204&amp;"     "</f>
        <v xml:space="preserve">$     </v>
      </c>
      <c r="K206" s="52" t="str">
        <f>K204&amp;"     "</f>
        <v xml:space="preserve">Nuevo     </v>
      </c>
      <c r="L206" s="52" t="str">
        <f>L204&amp;"     "</f>
        <v xml:space="preserve">Mercado Envíos gratis     </v>
      </c>
      <c r="M206" s="52" t="str">
        <f>M204&amp;"     "</f>
        <v xml:space="preserve">Clásica     </v>
      </c>
      <c r="N206" s="52" t="str">
        <f ca="1">N204</f>
        <v>14%</v>
      </c>
      <c r="O206" s="52" t="str">
        <f>O204&amp;"     "</f>
        <v xml:space="preserve">Activa     </v>
      </c>
    </row>
    <row r="207" spans="1:15" ht="49.95" customHeight="1">
      <c r="A207" s="52" t="s">
        <v>426</v>
      </c>
      <c r="B207" s="52" t="s">
        <v>427</v>
      </c>
      <c r="C207" s="52" t="s">
        <v>428</v>
      </c>
      <c r="D207" s="52"/>
      <c r="E207" s="52" t="s">
        <v>429</v>
      </c>
      <c r="F207" s="52" t="s">
        <v>429</v>
      </c>
      <c r="G207" s="53">
        <v>2</v>
      </c>
      <c r="H207" s="52" t="s">
        <v>62</v>
      </c>
      <c r="I207" s="53">
        <v>39990</v>
      </c>
      <c r="J207" s="53" t="s">
        <v>63</v>
      </c>
      <c r="K207" s="53" t="s">
        <v>64</v>
      </c>
      <c r="L207" s="53" t="s">
        <v>65</v>
      </c>
      <c r="M207" s="53" t="s">
        <v>66</v>
      </c>
      <c r="N207" s="52" t="str">
        <f ca="1">IF(INDIRECT("M207")="Clásica","14%",IF(INDIRECT("M207")="Premium","18%","-"))</f>
        <v>14%</v>
      </c>
      <c r="O207" s="53" t="s">
        <v>67</v>
      </c>
    </row>
    <row r="208" spans="1:15" ht="49.95" customHeight="1">
      <c r="A208" s="52" t="s">
        <v>24</v>
      </c>
      <c r="B208" s="52" t="s">
        <v>430</v>
      </c>
      <c r="C208" s="52"/>
      <c r="D208" s="52"/>
      <c r="E208" s="52" t="s">
        <v>431</v>
      </c>
      <c r="F208" s="52" t="s">
        <v>62</v>
      </c>
      <c r="G208" s="52" t="s">
        <v>143</v>
      </c>
      <c r="H208" s="52" t="s">
        <v>62</v>
      </c>
      <c r="I208" s="53">
        <v>24990</v>
      </c>
      <c r="J208" s="53" t="s">
        <v>63</v>
      </c>
      <c r="K208" s="53" t="s">
        <v>64</v>
      </c>
      <c r="L208" s="53" t="s">
        <v>65</v>
      </c>
      <c r="M208" s="53" t="s">
        <v>66</v>
      </c>
      <c r="N208" s="52" t="str">
        <f ca="1">IF(INDIRECT("M208")="Clásica","15%",IF(INDIRECT("M208")="Premium","19%","-"))</f>
        <v>15%</v>
      </c>
      <c r="O208" s="53" t="s">
        <v>67</v>
      </c>
    </row>
    <row r="209" spans="1:15" ht="49.95" customHeight="1">
      <c r="A209" s="52" t="s">
        <v>24</v>
      </c>
      <c r="B209" s="52" t="s">
        <v>430</v>
      </c>
      <c r="C209" s="52" t="s">
        <v>432</v>
      </c>
      <c r="D209" s="52" t="s">
        <v>432</v>
      </c>
      <c r="E209" s="54" t="str">
        <f>"     "&amp;E208</f>
        <v xml:space="preserve">     Par Intermitentes Yamaha R15 R3 R6 Mt03 Etc</v>
      </c>
      <c r="F209" s="52" t="s">
        <v>73</v>
      </c>
      <c r="G209" s="53">
        <v>2</v>
      </c>
      <c r="H209" s="52" t="s">
        <v>62</v>
      </c>
      <c r="I209" s="52">
        <f>I208</f>
        <v>24990</v>
      </c>
      <c r="J209" s="52" t="str">
        <f>J208&amp;"     "</f>
        <v xml:space="preserve">$     </v>
      </c>
      <c r="K209" s="52" t="str">
        <f>K208&amp;"     "</f>
        <v xml:space="preserve">Nuevo     </v>
      </c>
      <c r="L209" s="52" t="str">
        <f>L208&amp;"     "</f>
        <v xml:space="preserve">Mercado Envíos gratis     </v>
      </c>
      <c r="M209" s="52" t="str">
        <f>M208&amp;"     "</f>
        <v xml:space="preserve">Clásica     </v>
      </c>
      <c r="N209" s="52" t="str">
        <f ca="1">N208</f>
        <v>15%</v>
      </c>
      <c r="O209" s="52" t="str">
        <f>O208&amp;"     "</f>
        <v xml:space="preserve">Activa     </v>
      </c>
    </row>
    <row r="210" spans="1:15" ht="49.95" customHeight="1">
      <c r="A210" s="52" t="s">
        <v>24</v>
      </c>
      <c r="B210" s="52" t="s">
        <v>430</v>
      </c>
      <c r="C210" s="52" t="s">
        <v>433</v>
      </c>
      <c r="D210" s="52" t="s">
        <v>433</v>
      </c>
      <c r="E210" s="54" t="str">
        <f>"     "&amp;E208</f>
        <v xml:space="preserve">     Par Intermitentes Yamaha R15 R3 R6 Mt03 Etc</v>
      </c>
      <c r="F210" s="52" t="s">
        <v>100</v>
      </c>
      <c r="G210" s="53">
        <v>2</v>
      </c>
      <c r="H210" s="52" t="s">
        <v>62</v>
      </c>
      <c r="I210" s="52">
        <f>I208</f>
        <v>24990</v>
      </c>
      <c r="J210" s="52" t="str">
        <f>J208&amp;"     "</f>
        <v xml:space="preserve">$     </v>
      </c>
      <c r="K210" s="52" t="str">
        <f>K208&amp;"     "</f>
        <v xml:space="preserve">Nuevo     </v>
      </c>
      <c r="L210" s="52" t="str">
        <f>L208&amp;"     "</f>
        <v xml:space="preserve">Mercado Envíos gratis     </v>
      </c>
      <c r="M210" s="52" t="str">
        <f>M208&amp;"     "</f>
        <v xml:space="preserve">Clásica     </v>
      </c>
      <c r="N210" s="52" t="str">
        <f ca="1">N208</f>
        <v>15%</v>
      </c>
      <c r="O210" s="52" t="str">
        <f>O208&amp;"     "</f>
        <v xml:space="preserve">Activa     </v>
      </c>
    </row>
    <row r="211" spans="1:15" ht="49.95" customHeight="1">
      <c r="A211" s="52" t="s">
        <v>434</v>
      </c>
      <c r="B211" s="52" t="s">
        <v>435</v>
      </c>
      <c r="C211" s="52" t="s">
        <v>436</v>
      </c>
      <c r="D211" s="52"/>
      <c r="E211" s="52" t="s">
        <v>437</v>
      </c>
      <c r="F211" s="52" t="s">
        <v>437</v>
      </c>
      <c r="G211" s="53">
        <v>2</v>
      </c>
      <c r="H211" s="52" t="s">
        <v>62</v>
      </c>
      <c r="I211" s="53">
        <v>38990</v>
      </c>
      <c r="J211" s="53" t="s">
        <v>63</v>
      </c>
      <c r="K211" s="53" t="s">
        <v>64</v>
      </c>
      <c r="L211" s="53" t="s">
        <v>65</v>
      </c>
      <c r="M211" s="53" t="s">
        <v>66</v>
      </c>
      <c r="N211" s="52" t="str">
        <f ca="1">IF(INDIRECT("M211")="Clásica","15%",IF(INDIRECT("M211")="Premium","19%","-"))</f>
        <v>15%</v>
      </c>
      <c r="O211" s="53" t="s">
        <v>67</v>
      </c>
    </row>
    <row r="212" spans="1:15" ht="49.95" customHeight="1">
      <c r="A212" s="52" t="s">
        <v>24</v>
      </c>
      <c r="B212" s="52" t="s">
        <v>438</v>
      </c>
      <c r="C212" s="52"/>
      <c r="D212" s="52"/>
      <c r="E212" s="52" t="s">
        <v>439</v>
      </c>
      <c r="F212" s="52" t="s">
        <v>62</v>
      </c>
      <c r="G212" s="52" t="s">
        <v>112</v>
      </c>
      <c r="H212" s="52" t="s">
        <v>62</v>
      </c>
      <c r="I212" s="53">
        <v>9990</v>
      </c>
      <c r="J212" s="53" t="s">
        <v>63</v>
      </c>
      <c r="K212" s="53" t="s">
        <v>64</v>
      </c>
      <c r="L212" s="53" t="s">
        <v>71</v>
      </c>
      <c r="M212" s="53" t="s">
        <v>66</v>
      </c>
      <c r="N212" s="52" t="str">
        <f ca="1">IF(INDIRECT("M212")="Clásica","14%",IF(INDIRECT("M212")="Premium","18%","-"))</f>
        <v>14%</v>
      </c>
      <c r="O212" s="53" t="s">
        <v>67</v>
      </c>
    </row>
    <row r="213" spans="1:15" ht="49.95" customHeight="1">
      <c r="A213" s="52" t="s">
        <v>24</v>
      </c>
      <c r="B213" s="52" t="s">
        <v>438</v>
      </c>
      <c r="C213" s="52" t="s">
        <v>440</v>
      </c>
      <c r="D213" s="52" t="s">
        <v>440</v>
      </c>
      <c r="E213" s="54" t="str">
        <f>"     "&amp;E212</f>
        <v xml:space="preserve">     Protector De Manillas Bajaj Pulsar Ns Rs Con Logo Colores</v>
      </c>
      <c r="F213" s="52" t="s">
        <v>88</v>
      </c>
      <c r="G213" s="53">
        <v>2</v>
      </c>
      <c r="H213" s="52" t="s">
        <v>62</v>
      </c>
      <c r="I213" s="52">
        <f>I212</f>
        <v>9990</v>
      </c>
      <c r="J213" s="52" t="str">
        <f>J212&amp;"     "</f>
        <v xml:space="preserve">$     </v>
      </c>
      <c r="K213" s="52" t="str">
        <f>K212&amp;"     "</f>
        <v xml:space="preserve">Nuevo     </v>
      </c>
      <c r="L213" s="52" t="str">
        <f>L212&amp;"     "</f>
        <v xml:space="preserve">Mercado Envíos a cargo del comprador     </v>
      </c>
      <c r="M213" s="52" t="str">
        <f>M212&amp;"     "</f>
        <v xml:space="preserve">Clásica     </v>
      </c>
      <c r="N213" s="52" t="str">
        <f ca="1">N212</f>
        <v>14%</v>
      </c>
      <c r="O213" s="52" t="str">
        <f>O212&amp;"     "</f>
        <v xml:space="preserve">Activa     </v>
      </c>
    </row>
    <row r="214" spans="1:15" ht="49.95" customHeight="1">
      <c r="A214" s="52" t="s">
        <v>24</v>
      </c>
      <c r="B214" s="52" t="s">
        <v>438</v>
      </c>
      <c r="C214" s="52" t="s">
        <v>441</v>
      </c>
      <c r="D214" s="52" t="s">
        <v>441</v>
      </c>
      <c r="E214" s="54" t="str">
        <f>"     "&amp;E212</f>
        <v xml:space="preserve">     Protector De Manillas Bajaj Pulsar Ns Rs Con Logo Colores</v>
      </c>
      <c r="F214" s="52" t="s">
        <v>97</v>
      </c>
      <c r="G214" s="53">
        <v>0</v>
      </c>
      <c r="H214" s="52" t="s">
        <v>62</v>
      </c>
      <c r="I214" s="52">
        <f>I212</f>
        <v>9990</v>
      </c>
      <c r="J214" s="52" t="str">
        <f>J212&amp;"     "</f>
        <v xml:space="preserve">$     </v>
      </c>
      <c r="K214" s="52" t="str">
        <f>K212&amp;"     "</f>
        <v xml:space="preserve">Nuevo     </v>
      </c>
      <c r="L214" s="52" t="str">
        <f>L212&amp;"     "</f>
        <v xml:space="preserve">Mercado Envíos a cargo del comprador     </v>
      </c>
      <c r="M214" s="52" t="str">
        <f>M212&amp;"     "</f>
        <v xml:space="preserve">Clásica     </v>
      </c>
      <c r="N214" s="52" t="str">
        <f ca="1">N212</f>
        <v>14%</v>
      </c>
      <c r="O214" s="52" t="str">
        <f>O212&amp;"     "</f>
        <v xml:space="preserve">Activa     </v>
      </c>
    </row>
    <row r="215" spans="1:15" ht="49.95" customHeight="1">
      <c r="A215" s="52" t="s">
        <v>24</v>
      </c>
      <c r="B215" s="52" t="s">
        <v>442</v>
      </c>
      <c r="C215" s="52"/>
      <c r="D215" s="52"/>
      <c r="E215" s="52" t="s">
        <v>443</v>
      </c>
      <c r="F215" s="52" t="s">
        <v>62</v>
      </c>
      <c r="G215" s="52" t="s">
        <v>112</v>
      </c>
      <c r="H215" s="52" t="s">
        <v>62</v>
      </c>
      <c r="I215" s="53">
        <v>18990</v>
      </c>
      <c r="J215" s="53" t="s">
        <v>63</v>
      </c>
      <c r="K215" s="53" t="s">
        <v>64</v>
      </c>
      <c r="L215" s="53" t="s">
        <v>71</v>
      </c>
      <c r="M215" s="53" t="s">
        <v>66</v>
      </c>
      <c r="N215" s="52" t="str">
        <f ca="1">IF(INDIRECT("M215")="Clásica","14%",IF(INDIRECT("M215")="Premium","18%","-"))</f>
        <v>14%</v>
      </c>
      <c r="O215" s="53" t="s">
        <v>67</v>
      </c>
    </row>
    <row r="216" spans="1:15" ht="49.95" customHeight="1">
      <c r="A216" s="52" t="s">
        <v>24</v>
      </c>
      <c r="B216" s="52" t="s">
        <v>442</v>
      </c>
      <c r="C216" s="52" t="s">
        <v>444</v>
      </c>
      <c r="D216" s="52" t="s">
        <v>444</v>
      </c>
      <c r="E216" s="54" t="str">
        <f>"     "&amp;E215</f>
        <v xml:space="preserve">     Alerón Winglet Ninja 250 300 400 Desde Año 2018</v>
      </c>
      <c r="F216" s="52" t="s">
        <v>445</v>
      </c>
      <c r="G216" s="53">
        <v>2</v>
      </c>
      <c r="H216" s="52" t="s">
        <v>62</v>
      </c>
      <c r="I216" s="52">
        <f>I215</f>
        <v>18990</v>
      </c>
      <c r="J216" s="52" t="str">
        <f>J215&amp;"     "</f>
        <v xml:space="preserve">$     </v>
      </c>
      <c r="K216" s="52" t="str">
        <f>K215&amp;"     "</f>
        <v xml:space="preserve">Nuevo     </v>
      </c>
      <c r="L216" s="52" t="str">
        <f>L215&amp;"     "</f>
        <v xml:space="preserve">Mercado Envíos a cargo del comprador     </v>
      </c>
      <c r="M216" s="52" t="str">
        <f>M215&amp;"     "</f>
        <v xml:space="preserve">Clásica     </v>
      </c>
      <c r="N216" s="52" t="str">
        <f ca="1">N215</f>
        <v>14%</v>
      </c>
      <c r="O216" s="52" t="str">
        <f>O215&amp;"     "</f>
        <v xml:space="preserve">Activa     </v>
      </c>
    </row>
    <row r="217" spans="1:15" ht="49.95" customHeight="1">
      <c r="A217" s="52" t="s">
        <v>24</v>
      </c>
      <c r="B217" s="52" t="s">
        <v>442</v>
      </c>
      <c r="C217" s="52" t="s">
        <v>446</v>
      </c>
      <c r="D217" s="52" t="s">
        <v>446</v>
      </c>
      <c r="E217" s="54" t="str">
        <f>"     "&amp;E215</f>
        <v xml:space="preserve">     Alerón Winglet Ninja 250 300 400 Desde Año 2018</v>
      </c>
      <c r="F217" s="52" t="s">
        <v>237</v>
      </c>
      <c r="G217" s="53">
        <v>0</v>
      </c>
      <c r="H217" s="52" t="s">
        <v>62</v>
      </c>
      <c r="I217" s="52">
        <f>I215</f>
        <v>18990</v>
      </c>
      <c r="J217" s="52" t="str">
        <f>J215&amp;"     "</f>
        <v xml:space="preserve">$     </v>
      </c>
      <c r="K217" s="52" t="str">
        <f>K215&amp;"     "</f>
        <v xml:space="preserve">Nuevo     </v>
      </c>
      <c r="L217" s="52" t="str">
        <f>L215&amp;"     "</f>
        <v xml:space="preserve">Mercado Envíos a cargo del comprador     </v>
      </c>
      <c r="M217" s="52" t="str">
        <f>M215&amp;"     "</f>
        <v xml:space="preserve">Clásica     </v>
      </c>
      <c r="N217" s="52" t="str">
        <f ca="1">N215</f>
        <v>14%</v>
      </c>
      <c r="O217" s="52" t="str">
        <f>O215&amp;"     "</f>
        <v xml:space="preserve">Activa     </v>
      </c>
    </row>
    <row r="218" spans="1:15" ht="49.95" customHeight="1">
      <c r="A218" s="52" t="s">
        <v>24</v>
      </c>
      <c r="B218" s="52" t="s">
        <v>447</v>
      </c>
      <c r="C218" s="52"/>
      <c r="D218" s="52"/>
      <c r="E218" s="52" t="s">
        <v>448</v>
      </c>
      <c r="F218" s="52" t="s">
        <v>62</v>
      </c>
      <c r="G218" s="52" t="s">
        <v>112</v>
      </c>
      <c r="H218" s="52" t="s">
        <v>62</v>
      </c>
      <c r="I218" s="53">
        <v>44990</v>
      </c>
      <c r="J218" s="53" t="s">
        <v>63</v>
      </c>
      <c r="K218" s="53" t="s">
        <v>64</v>
      </c>
      <c r="L218" s="53" t="s">
        <v>65</v>
      </c>
      <c r="M218" s="53" t="s">
        <v>66</v>
      </c>
      <c r="N218" s="52" t="str">
        <f ca="1">IF(INDIRECT("M218")="Clásica","14%",IF(INDIRECT("M218")="Premium","18%","-"))</f>
        <v>14%</v>
      </c>
      <c r="O218" s="53" t="s">
        <v>67</v>
      </c>
    </row>
    <row r="219" spans="1:15" ht="49.95" customHeight="1">
      <c r="A219" s="52" t="s">
        <v>24</v>
      </c>
      <c r="B219" s="52" t="s">
        <v>447</v>
      </c>
      <c r="C219" s="52" t="s">
        <v>449</v>
      </c>
      <c r="D219" s="52" t="s">
        <v>449</v>
      </c>
      <c r="E219" s="54" t="str">
        <f>"     "&amp;E218</f>
        <v xml:space="preserve">     Manillas Palancas Honda Cb500x Cb500 X (h. 2021) Logo</v>
      </c>
      <c r="F219" s="52" t="s">
        <v>90</v>
      </c>
      <c r="G219" s="53">
        <v>1</v>
      </c>
      <c r="H219" s="52" t="s">
        <v>62</v>
      </c>
      <c r="I219" s="52">
        <f>I218</f>
        <v>44990</v>
      </c>
      <c r="J219" s="52" t="str">
        <f>J218&amp;"     "</f>
        <v xml:space="preserve">$     </v>
      </c>
      <c r="K219" s="52" t="str">
        <f>K218&amp;"     "</f>
        <v xml:space="preserve">Nuevo     </v>
      </c>
      <c r="L219" s="52" t="str">
        <f>L218&amp;"     "</f>
        <v xml:space="preserve">Mercado Envíos gratis     </v>
      </c>
      <c r="M219" s="52" t="str">
        <f>M218&amp;"     "</f>
        <v xml:space="preserve">Clásica     </v>
      </c>
      <c r="N219" s="52" t="str">
        <f ca="1">N218</f>
        <v>14%</v>
      </c>
      <c r="O219" s="52" t="str">
        <f>O218&amp;"     "</f>
        <v xml:space="preserve">Activa     </v>
      </c>
    </row>
    <row r="220" spans="1:15" ht="49.95" customHeight="1">
      <c r="A220" s="52" t="s">
        <v>24</v>
      </c>
      <c r="B220" s="52" t="s">
        <v>447</v>
      </c>
      <c r="C220" s="52" t="s">
        <v>450</v>
      </c>
      <c r="D220" s="52" t="s">
        <v>450</v>
      </c>
      <c r="E220" s="54" t="str">
        <f>"     "&amp;E218</f>
        <v xml:space="preserve">     Manillas Palancas Honda Cb500x Cb500 X (h. 2021) Logo</v>
      </c>
      <c r="F220" s="52" t="s">
        <v>86</v>
      </c>
      <c r="G220" s="53">
        <v>1</v>
      </c>
      <c r="H220" s="52" t="s">
        <v>62</v>
      </c>
      <c r="I220" s="52">
        <f>I218</f>
        <v>44990</v>
      </c>
      <c r="J220" s="52" t="str">
        <f>J218&amp;"     "</f>
        <v xml:space="preserve">$     </v>
      </c>
      <c r="K220" s="52" t="str">
        <f>K218&amp;"     "</f>
        <v xml:space="preserve">Nuevo     </v>
      </c>
      <c r="L220" s="52" t="str">
        <f>L218&amp;"     "</f>
        <v xml:space="preserve">Mercado Envíos gratis     </v>
      </c>
      <c r="M220" s="52" t="str">
        <f>M218&amp;"     "</f>
        <v xml:space="preserve">Clásica     </v>
      </c>
      <c r="N220" s="52" t="str">
        <f ca="1">N218</f>
        <v>14%</v>
      </c>
      <c r="O220" s="52" t="str">
        <f>O218&amp;"     "</f>
        <v xml:space="preserve">Activa     </v>
      </c>
    </row>
    <row r="221" spans="1:15" ht="49.95" customHeight="1">
      <c r="A221" s="52" t="s">
        <v>24</v>
      </c>
      <c r="B221" s="52" t="s">
        <v>451</v>
      </c>
      <c r="C221" s="52"/>
      <c r="D221" s="52"/>
      <c r="E221" s="52" t="s">
        <v>452</v>
      </c>
      <c r="F221" s="52" t="s">
        <v>62</v>
      </c>
      <c r="G221" s="52" t="s">
        <v>112</v>
      </c>
      <c r="H221" s="52" t="s">
        <v>62</v>
      </c>
      <c r="I221" s="53">
        <v>29990</v>
      </c>
      <c r="J221" s="53" t="s">
        <v>63</v>
      </c>
      <c r="K221" s="53" t="s">
        <v>64</v>
      </c>
      <c r="L221" s="53" t="s">
        <v>65</v>
      </c>
      <c r="M221" s="53" t="s">
        <v>66</v>
      </c>
      <c r="N221" s="52" t="str">
        <f ca="1">IF(INDIRECT("M221")="Clásica","15%",IF(INDIRECT("M221")="Premium","19%","-"))</f>
        <v>15%</v>
      </c>
      <c r="O221" s="53" t="s">
        <v>67</v>
      </c>
    </row>
    <row r="222" spans="1:15" ht="49.95" customHeight="1">
      <c r="A222" s="52" t="s">
        <v>24</v>
      </c>
      <c r="B222" s="52" t="s">
        <v>451</v>
      </c>
      <c r="C222" s="52" t="s">
        <v>453</v>
      </c>
      <c r="D222" s="52" t="s">
        <v>453</v>
      </c>
      <c r="E222" s="54" t="str">
        <f>"     "&amp;E221</f>
        <v xml:space="preserve">     Set 3 Tapas Depósito Líquido Freno Protector Yamaha R3 R3a</v>
      </c>
      <c r="F222" s="52" t="s">
        <v>84</v>
      </c>
      <c r="G222" s="53">
        <v>2</v>
      </c>
      <c r="H222" s="52" t="s">
        <v>62</v>
      </c>
      <c r="I222" s="52">
        <f>I221</f>
        <v>29990</v>
      </c>
      <c r="J222" s="52" t="str">
        <f>J221&amp;"     "</f>
        <v xml:space="preserve">$     </v>
      </c>
      <c r="K222" s="52" t="str">
        <f>K221&amp;"     "</f>
        <v xml:space="preserve">Nuevo     </v>
      </c>
      <c r="L222" s="52" t="str">
        <f>L221&amp;"     "</f>
        <v xml:space="preserve">Mercado Envíos gratis     </v>
      </c>
      <c r="M222" s="52" t="str">
        <f>M221&amp;"     "</f>
        <v xml:space="preserve">Clásica     </v>
      </c>
      <c r="N222" s="52" t="str">
        <f ca="1">N221</f>
        <v>15%</v>
      </c>
      <c r="O222" s="52" t="str">
        <f>O221&amp;"     "</f>
        <v xml:space="preserve">Activa     </v>
      </c>
    </row>
    <row r="223" spans="1:15" ht="49.95" customHeight="1">
      <c r="A223" s="52" t="s">
        <v>24</v>
      </c>
      <c r="B223" s="52" t="s">
        <v>451</v>
      </c>
      <c r="C223" s="52" t="s">
        <v>454</v>
      </c>
      <c r="D223" s="52" t="s">
        <v>454</v>
      </c>
      <c r="E223" s="54" t="str">
        <f>"     "&amp;E221</f>
        <v xml:space="preserve">     Set 3 Tapas Depósito Líquido Freno Protector Yamaha R3 R3a</v>
      </c>
      <c r="F223" s="52" t="s">
        <v>86</v>
      </c>
      <c r="G223" s="53">
        <v>0</v>
      </c>
      <c r="H223" s="52" t="s">
        <v>62</v>
      </c>
      <c r="I223" s="52">
        <f>I221</f>
        <v>29990</v>
      </c>
      <c r="J223" s="52" t="str">
        <f>J221&amp;"     "</f>
        <v xml:space="preserve">$     </v>
      </c>
      <c r="K223" s="52" t="str">
        <f>K221&amp;"     "</f>
        <v xml:space="preserve">Nuevo     </v>
      </c>
      <c r="L223" s="52" t="str">
        <f>L221&amp;"     "</f>
        <v xml:space="preserve">Mercado Envíos gratis     </v>
      </c>
      <c r="M223" s="52" t="str">
        <f>M221&amp;"     "</f>
        <v xml:space="preserve">Clásica     </v>
      </c>
      <c r="N223" s="52" t="str">
        <f ca="1">N221</f>
        <v>15%</v>
      </c>
      <c r="O223" s="52" t="str">
        <f>O221&amp;"     "</f>
        <v xml:space="preserve">Activa     </v>
      </c>
    </row>
    <row r="224" spans="1:15" ht="49.95" customHeight="1">
      <c r="A224" s="52" t="s">
        <v>24</v>
      </c>
      <c r="B224" s="52" t="s">
        <v>451</v>
      </c>
      <c r="C224" s="52" t="s">
        <v>455</v>
      </c>
      <c r="D224" s="52" t="s">
        <v>455</v>
      </c>
      <c r="E224" s="54" t="str">
        <f>"     "&amp;E221</f>
        <v xml:space="preserve">     Set 3 Tapas Depósito Líquido Freno Protector Yamaha R3 R3a</v>
      </c>
      <c r="F224" s="52" t="s">
        <v>90</v>
      </c>
      <c r="G224" s="53">
        <v>0</v>
      </c>
      <c r="H224" s="52" t="s">
        <v>62</v>
      </c>
      <c r="I224" s="52">
        <f>I221</f>
        <v>29990</v>
      </c>
      <c r="J224" s="52" t="str">
        <f>J221&amp;"     "</f>
        <v xml:space="preserve">$     </v>
      </c>
      <c r="K224" s="52" t="str">
        <f>K221&amp;"     "</f>
        <v xml:space="preserve">Nuevo     </v>
      </c>
      <c r="L224" s="52" t="str">
        <f>L221&amp;"     "</f>
        <v xml:space="preserve">Mercado Envíos gratis     </v>
      </c>
      <c r="M224" s="52" t="str">
        <f>M221&amp;"     "</f>
        <v xml:space="preserve">Clásica     </v>
      </c>
      <c r="N224" s="52" t="str">
        <f ca="1">N221</f>
        <v>15%</v>
      </c>
      <c r="O224" s="52" t="str">
        <f>O221&amp;"     "</f>
        <v xml:space="preserve">Activa     </v>
      </c>
    </row>
    <row r="225" spans="1:15" ht="49.95" customHeight="1">
      <c r="A225" s="52" t="s">
        <v>24</v>
      </c>
      <c r="B225" s="52" t="s">
        <v>456</v>
      </c>
      <c r="C225" s="52"/>
      <c r="D225" s="52"/>
      <c r="E225" s="52" t="s">
        <v>457</v>
      </c>
      <c r="F225" s="52" t="s">
        <v>62</v>
      </c>
      <c r="G225" s="52" t="s">
        <v>164</v>
      </c>
      <c r="H225" s="52" t="s">
        <v>62</v>
      </c>
      <c r="I225" s="53">
        <v>84990</v>
      </c>
      <c r="J225" s="53" t="s">
        <v>63</v>
      </c>
      <c r="K225" s="53" t="s">
        <v>64</v>
      </c>
      <c r="L225" s="53" t="s">
        <v>65</v>
      </c>
      <c r="M225" s="53" t="s">
        <v>66</v>
      </c>
      <c r="N225" s="52" t="str">
        <f ca="1">IF(INDIRECT("M225")="Clásica","15%",IF(INDIRECT("M225")="Premium","19%","-"))</f>
        <v>15%</v>
      </c>
      <c r="O225" s="53" t="s">
        <v>67</v>
      </c>
    </row>
    <row r="226" spans="1:15" ht="49.95" customHeight="1">
      <c r="A226" s="52" t="s">
        <v>24</v>
      </c>
      <c r="B226" s="52" t="s">
        <v>456</v>
      </c>
      <c r="C226" s="52" t="s">
        <v>458</v>
      </c>
      <c r="D226" s="52" t="s">
        <v>458</v>
      </c>
      <c r="E226" s="54" t="str">
        <f>"     "&amp;E225</f>
        <v xml:space="preserve">     Foco Integrado + Soporte Patente Elimina Cola Honda Crf 250l</v>
      </c>
      <c r="F226" s="52" t="s">
        <v>90</v>
      </c>
      <c r="G226" s="53">
        <v>1</v>
      </c>
      <c r="H226" s="52" t="s">
        <v>62</v>
      </c>
      <c r="I226" s="52">
        <f>I225</f>
        <v>84990</v>
      </c>
      <c r="J226" s="52" t="str">
        <f>J225&amp;"     "</f>
        <v xml:space="preserve">$     </v>
      </c>
      <c r="K226" s="52" t="str">
        <f>K225&amp;"     "</f>
        <v xml:space="preserve">Nuevo     </v>
      </c>
      <c r="L226" s="52" t="str">
        <f>L225&amp;"     "</f>
        <v xml:space="preserve">Mercado Envíos gratis     </v>
      </c>
      <c r="M226" s="52" t="str">
        <f>M225&amp;"     "</f>
        <v xml:space="preserve">Clásica     </v>
      </c>
      <c r="N226" s="52" t="str">
        <f ca="1">N225</f>
        <v>15%</v>
      </c>
      <c r="O226" s="52" t="str">
        <f>O225&amp;"     "</f>
        <v xml:space="preserve">Activa     </v>
      </c>
    </row>
    <row r="227" spans="1:15" ht="49.95" customHeight="1">
      <c r="A227" s="52" t="s">
        <v>24</v>
      </c>
      <c r="B227" s="52" t="s">
        <v>456</v>
      </c>
      <c r="C227" s="52" t="s">
        <v>459</v>
      </c>
      <c r="D227" s="52" t="s">
        <v>459</v>
      </c>
      <c r="E227" s="54" t="str">
        <f>"     "&amp;E225</f>
        <v xml:space="preserve">     Foco Integrado + Soporte Patente Elimina Cola Honda Crf 250l</v>
      </c>
      <c r="F227" s="52" t="s">
        <v>73</v>
      </c>
      <c r="G227" s="53">
        <v>0</v>
      </c>
      <c r="H227" s="52" t="s">
        <v>62</v>
      </c>
      <c r="I227" s="52">
        <f>I225</f>
        <v>84990</v>
      </c>
      <c r="J227" s="52" t="str">
        <f>J225&amp;"     "</f>
        <v xml:space="preserve">$     </v>
      </c>
      <c r="K227" s="52" t="str">
        <f>K225&amp;"     "</f>
        <v xml:space="preserve">Nuevo     </v>
      </c>
      <c r="L227" s="52" t="str">
        <f>L225&amp;"     "</f>
        <v xml:space="preserve">Mercado Envíos gratis     </v>
      </c>
      <c r="M227" s="52" t="str">
        <f>M225&amp;"     "</f>
        <v xml:space="preserve">Clásica     </v>
      </c>
      <c r="N227" s="52" t="str">
        <f ca="1">N225</f>
        <v>15%</v>
      </c>
      <c r="O227" s="52" t="str">
        <f>O225&amp;"     "</f>
        <v xml:space="preserve">Activa     </v>
      </c>
    </row>
    <row r="228" spans="1:15" ht="49.95" customHeight="1">
      <c r="A228" s="52" t="s">
        <v>24</v>
      </c>
      <c r="B228" s="52" t="s">
        <v>460</v>
      </c>
      <c r="C228" s="52"/>
      <c r="D228" s="52"/>
      <c r="E228" s="52" t="s">
        <v>461</v>
      </c>
      <c r="F228" s="52" t="s">
        <v>62</v>
      </c>
      <c r="G228" s="52" t="s">
        <v>164</v>
      </c>
      <c r="H228" s="52" t="s">
        <v>62</v>
      </c>
      <c r="I228" s="53">
        <v>18990</v>
      </c>
      <c r="J228" s="53" t="s">
        <v>63</v>
      </c>
      <c r="K228" s="53" t="s">
        <v>64</v>
      </c>
      <c r="L228" s="53" t="s">
        <v>71</v>
      </c>
      <c r="M228" s="53" t="s">
        <v>66</v>
      </c>
      <c r="N228" s="52" t="str">
        <f ca="1">IF(INDIRECT("M228")="Clásica","14%",IF(INDIRECT("M228")="Premium","18%","-"))</f>
        <v>14%</v>
      </c>
      <c r="O228" s="53" t="s">
        <v>67</v>
      </c>
    </row>
    <row r="229" spans="1:15" ht="49.95" customHeight="1">
      <c r="A229" s="52" t="s">
        <v>24</v>
      </c>
      <c r="B229" s="52" t="s">
        <v>460</v>
      </c>
      <c r="C229" s="52" t="s">
        <v>462</v>
      </c>
      <c r="D229" s="52" t="s">
        <v>462</v>
      </c>
      <c r="E229" s="54" t="str">
        <f>"     "&amp;E228</f>
        <v xml:space="preserve">     Alerón Winglet Bajaj Rs200 Rs 200 Colores</v>
      </c>
      <c r="F229" s="52" t="s">
        <v>166</v>
      </c>
      <c r="G229" s="53">
        <v>1</v>
      </c>
      <c r="H229" s="52" t="s">
        <v>62</v>
      </c>
      <c r="I229" s="52">
        <f>I228</f>
        <v>18990</v>
      </c>
      <c r="J229" s="52" t="str">
        <f>J228&amp;"     "</f>
        <v xml:space="preserve">$     </v>
      </c>
      <c r="K229" s="52" t="str">
        <f>K228&amp;"     "</f>
        <v xml:space="preserve">Nuevo     </v>
      </c>
      <c r="L229" s="52" t="str">
        <f>L228&amp;"     "</f>
        <v xml:space="preserve">Mercado Envíos a cargo del comprador     </v>
      </c>
      <c r="M229" s="52" t="str">
        <f>M228&amp;"     "</f>
        <v xml:space="preserve">Clásica     </v>
      </c>
      <c r="N229" s="52" t="str">
        <f ca="1">N228</f>
        <v>14%</v>
      </c>
      <c r="O229" s="52" t="str">
        <f>O228&amp;"     "</f>
        <v xml:space="preserve">Activa     </v>
      </c>
    </row>
    <row r="230" spans="1:15" ht="49.95" customHeight="1">
      <c r="A230" s="52" t="s">
        <v>24</v>
      </c>
      <c r="B230" s="52" t="s">
        <v>460</v>
      </c>
      <c r="C230" s="52" t="s">
        <v>463</v>
      </c>
      <c r="D230" s="52" t="s">
        <v>463</v>
      </c>
      <c r="E230" s="54" t="str">
        <f>"     "&amp;E228</f>
        <v xml:space="preserve">     Alerón Winglet Bajaj Rs200 Rs 200 Colores</v>
      </c>
      <c r="F230" s="52" t="s">
        <v>86</v>
      </c>
      <c r="G230" s="53">
        <v>0</v>
      </c>
      <c r="H230" s="52" t="s">
        <v>62</v>
      </c>
      <c r="I230" s="52">
        <f>I228</f>
        <v>18990</v>
      </c>
      <c r="J230" s="52" t="str">
        <f>J228&amp;"     "</f>
        <v xml:space="preserve">$     </v>
      </c>
      <c r="K230" s="52" t="str">
        <f>K228&amp;"     "</f>
        <v xml:space="preserve">Nuevo     </v>
      </c>
      <c r="L230" s="52" t="str">
        <f>L228&amp;"     "</f>
        <v xml:space="preserve">Mercado Envíos a cargo del comprador     </v>
      </c>
      <c r="M230" s="52" t="str">
        <f>M228&amp;"     "</f>
        <v xml:space="preserve">Clásica     </v>
      </c>
      <c r="N230" s="52" t="str">
        <f ca="1">N228</f>
        <v>14%</v>
      </c>
      <c r="O230" s="52" t="str">
        <f>O228&amp;"     "</f>
        <v xml:space="preserve">Activa     </v>
      </c>
    </row>
    <row r="231" spans="1:15" ht="49.95" customHeight="1">
      <c r="A231" s="52" t="s">
        <v>24</v>
      </c>
      <c r="B231" s="52" t="s">
        <v>460</v>
      </c>
      <c r="C231" s="52" t="s">
        <v>464</v>
      </c>
      <c r="D231" s="52" t="s">
        <v>464</v>
      </c>
      <c r="E231" s="54" t="str">
        <f>"     "&amp;E228</f>
        <v xml:space="preserve">     Alerón Winglet Bajaj Rs200 Rs 200 Colores</v>
      </c>
      <c r="F231" s="52" t="s">
        <v>90</v>
      </c>
      <c r="G231" s="53">
        <v>0</v>
      </c>
      <c r="H231" s="52" t="s">
        <v>62</v>
      </c>
      <c r="I231" s="52">
        <f>I228</f>
        <v>18990</v>
      </c>
      <c r="J231" s="52" t="str">
        <f>J228&amp;"     "</f>
        <v xml:space="preserve">$     </v>
      </c>
      <c r="K231" s="52" t="str">
        <f>K228&amp;"     "</f>
        <v xml:space="preserve">Nuevo     </v>
      </c>
      <c r="L231" s="52" t="str">
        <f>L228&amp;"     "</f>
        <v xml:space="preserve">Mercado Envíos a cargo del comprador     </v>
      </c>
      <c r="M231" s="52" t="str">
        <f>M228&amp;"     "</f>
        <v xml:space="preserve">Clásica     </v>
      </c>
      <c r="N231" s="52" t="str">
        <f ca="1">N228</f>
        <v>14%</v>
      </c>
      <c r="O231" s="52" t="str">
        <f>O228&amp;"     "</f>
        <v xml:space="preserve">Activa     </v>
      </c>
    </row>
    <row r="232" spans="1:15" ht="49.95" customHeight="1">
      <c r="A232" s="52" t="s">
        <v>24</v>
      </c>
      <c r="B232" s="52" t="s">
        <v>460</v>
      </c>
      <c r="C232" s="52" t="s">
        <v>465</v>
      </c>
      <c r="D232" s="52" t="s">
        <v>465</v>
      </c>
      <c r="E232" s="54" t="str">
        <f>"     "&amp;E228</f>
        <v xml:space="preserve">     Alerón Winglet Bajaj Rs200 Rs 200 Colores</v>
      </c>
      <c r="F232" s="52" t="s">
        <v>84</v>
      </c>
      <c r="G232" s="53">
        <v>0</v>
      </c>
      <c r="H232" s="52" t="s">
        <v>62</v>
      </c>
      <c r="I232" s="52">
        <f>I228</f>
        <v>18990</v>
      </c>
      <c r="J232" s="52" t="str">
        <f>J228&amp;"     "</f>
        <v xml:space="preserve">$     </v>
      </c>
      <c r="K232" s="52" t="str">
        <f>K228&amp;"     "</f>
        <v xml:space="preserve">Nuevo     </v>
      </c>
      <c r="L232" s="52" t="str">
        <f>L228&amp;"     "</f>
        <v xml:space="preserve">Mercado Envíos a cargo del comprador     </v>
      </c>
      <c r="M232" s="52" t="str">
        <f>M228&amp;"     "</f>
        <v xml:space="preserve">Clásica     </v>
      </c>
      <c r="N232" s="52" t="str">
        <f ca="1">N228</f>
        <v>14%</v>
      </c>
      <c r="O232" s="52" t="str">
        <f>O228&amp;"     "</f>
        <v xml:space="preserve">Activa     </v>
      </c>
    </row>
    <row r="233" spans="1:15" ht="49.95" customHeight="1">
      <c r="A233" s="52" t="s">
        <v>466</v>
      </c>
      <c r="B233" s="52" t="s">
        <v>467</v>
      </c>
      <c r="C233" s="52" t="s">
        <v>468</v>
      </c>
      <c r="D233" s="52"/>
      <c r="E233" s="52" t="s">
        <v>469</v>
      </c>
      <c r="F233" s="52" t="s">
        <v>469</v>
      </c>
      <c r="G233" s="53">
        <v>2</v>
      </c>
      <c r="H233" s="52" t="s">
        <v>62</v>
      </c>
      <c r="I233" s="53">
        <v>30990</v>
      </c>
      <c r="J233" s="53" t="s">
        <v>63</v>
      </c>
      <c r="K233" s="53" t="s">
        <v>64</v>
      </c>
      <c r="L233" s="53" t="s">
        <v>65</v>
      </c>
      <c r="M233" s="53" t="s">
        <v>66</v>
      </c>
      <c r="N233" s="52" t="str">
        <f ca="1">IF(INDIRECT("M233")="Clásica","15%",IF(INDIRECT("M233")="Premium","19%","-"))</f>
        <v>15%</v>
      </c>
      <c r="O233" s="53" t="s">
        <v>67</v>
      </c>
    </row>
    <row r="234" spans="1:15" ht="49.95" customHeight="1">
      <c r="A234" s="52" t="s">
        <v>470</v>
      </c>
      <c r="B234" s="52" t="s">
        <v>471</v>
      </c>
      <c r="C234" s="52" t="s">
        <v>472</v>
      </c>
      <c r="D234" s="52"/>
      <c r="E234" s="52" t="s">
        <v>473</v>
      </c>
      <c r="F234" s="52" t="s">
        <v>473</v>
      </c>
      <c r="G234" s="53">
        <v>2</v>
      </c>
      <c r="H234" s="52" t="s">
        <v>62</v>
      </c>
      <c r="I234" s="53">
        <v>10990</v>
      </c>
      <c r="J234" s="53" t="s">
        <v>63</v>
      </c>
      <c r="K234" s="53" t="s">
        <v>64</v>
      </c>
      <c r="L234" s="53" t="s">
        <v>71</v>
      </c>
      <c r="M234" s="53" t="s">
        <v>66</v>
      </c>
      <c r="N234" s="52" t="str">
        <f ca="1">IF(INDIRECT("M234")="Clásica","14%",IF(INDIRECT("M234")="Premium","18%","-"))</f>
        <v>14%</v>
      </c>
      <c r="O234" s="53" t="s">
        <v>67</v>
      </c>
    </row>
    <row r="235" spans="1:15" ht="49.95" customHeight="1">
      <c r="A235" s="52" t="s">
        <v>24</v>
      </c>
      <c r="B235" s="52" t="s">
        <v>474</v>
      </c>
      <c r="C235" s="52"/>
      <c r="D235" s="52"/>
      <c r="E235" s="52" t="s">
        <v>475</v>
      </c>
      <c r="F235" s="52" t="s">
        <v>62</v>
      </c>
      <c r="G235" s="52" t="s">
        <v>82</v>
      </c>
      <c r="H235" s="52" t="s">
        <v>62</v>
      </c>
      <c r="I235" s="53">
        <v>18990</v>
      </c>
      <c r="J235" s="53" t="s">
        <v>63</v>
      </c>
      <c r="K235" s="53" t="s">
        <v>64</v>
      </c>
      <c r="L235" s="53" t="s">
        <v>71</v>
      </c>
      <c r="M235" s="53" t="s">
        <v>66</v>
      </c>
      <c r="N235" s="52" t="str">
        <f ca="1">IF(INDIRECT("M235")="Clásica","14%",IF(INDIRECT("M235")="Premium","18%","-"))</f>
        <v>14%</v>
      </c>
      <c r="O235" s="53" t="s">
        <v>67</v>
      </c>
    </row>
    <row r="236" spans="1:15" ht="49.95" customHeight="1">
      <c r="A236" s="52" t="s">
        <v>24</v>
      </c>
      <c r="B236" s="52" t="s">
        <v>474</v>
      </c>
      <c r="C236" s="52" t="s">
        <v>476</v>
      </c>
      <c r="D236" s="52" t="s">
        <v>476</v>
      </c>
      <c r="E236" s="54" t="str">
        <f>"     "&amp;E235</f>
        <v xml:space="preserve">     Manillas Abatibles Regulables Bajaj Dominar Con Logo Colores</v>
      </c>
      <c r="F236" s="52" t="s">
        <v>97</v>
      </c>
      <c r="G236" s="53">
        <v>2</v>
      </c>
      <c r="H236" s="52" t="s">
        <v>62</v>
      </c>
      <c r="I236" s="52">
        <f>I235</f>
        <v>18990</v>
      </c>
      <c r="J236" s="52" t="str">
        <f>J235&amp;"     "</f>
        <v xml:space="preserve">$     </v>
      </c>
      <c r="K236" s="52" t="str">
        <f>K235&amp;"     "</f>
        <v xml:space="preserve">Nuevo     </v>
      </c>
      <c r="L236" s="52" t="str">
        <f>L235&amp;"     "</f>
        <v xml:space="preserve">Mercado Envíos a cargo del comprador     </v>
      </c>
      <c r="M236" s="52" t="str">
        <f>M235&amp;"     "</f>
        <v xml:space="preserve">Clásica     </v>
      </c>
      <c r="N236" s="52" t="str">
        <f ca="1">N235</f>
        <v>14%</v>
      </c>
      <c r="O236" s="52" t="str">
        <f>O235&amp;"     "</f>
        <v xml:space="preserve">Activa     </v>
      </c>
    </row>
    <row r="237" spans="1:15" ht="49.95" customHeight="1">
      <c r="A237" s="52" t="s">
        <v>24</v>
      </c>
      <c r="B237" s="52" t="s">
        <v>474</v>
      </c>
      <c r="C237" s="52" t="s">
        <v>477</v>
      </c>
      <c r="D237" s="52" t="s">
        <v>477</v>
      </c>
      <c r="E237" s="54" t="str">
        <f>"     "&amp;E235</f>
        <v xml:space="preserve">     Manillas Abatibles Regulables Bajaj Dominar Con Logo Colores</v>
      </c>
      <c r="F237" s="52" t="s">
        <v>90</v>
      </c>
      <c r="G237" s="53">
        <v>1</v>
      </c>
      <c r="H237" s="52" t="s">
        <v>62</v>
      </c>
      <c r="I237" s="52">
        <f>I235</f>
        <v>18990</v>
      </c>
      <c r="J237" s="52" t="str">
        <f>J235&amp;"     "</f>
        <v xml:space="preserve">$     </v>
      </c>
      <c r="K237" s="52" t="str">
        <f>K235&amp;"     "</f>
        <v xml:space="preserve">Nuevo     </v>
      </c>
      <c r="L237" s="52" t="str">
        <f>L235&amp;"     "</f>
        <v xml:space="preserve">Mercado Envíos a cargo del comprador     </v>
      </c>
      <c r="M237" s="52" t="str">
        <f>M235&amp;"     "</f>
        <v xml:space="preserve">Clásica     </v>
      </c>
      <c r="N237" s="52" t="str">
        <f ca="1">N235</f>
        <v>14%</v>
      </c>
      <c r="O237" s="52" t="str">
        <f>O235&amp;"     "</f>
        <v xml:space="preserve">Activa     </v>
      </c>
    </row>
    <row r="238" spans="1:15" ht="49.95" customHeight="1">
      <c r="A238" s="52" t="s">
        <v>24</v>
      </c>
      <c r="B238" s="52" t="s">
        <v>474</v>
      </c>
      <c r="C238" s="52" t="s">
        <v>478</v>
      </c>
      <c r="D238" s="52" t="s">
        <v>478</v>
      </c>
      <c r="E238" s="54" t="str">
        <f>"     "&amp;E235</f>
        <v xml:space="preserve">     Manillas Abatibles Regulables Bajaj Dominar Con Logo Colores</v>
      </c>
      <c r="F238" s="52" t="s">
        <v>445</v>
      </c>
      <c r="G238" s="53">
        <v>0</v>
      </c>
      <c r="H238" s="52" t="s">
        <v>62</v>
      </c>
      <c r="I238" s="52">
        <f>I235</f>
        <v>18990</v>
      </c>
      <c r="J238" s="52" t="str">
        <f>J235&amp;"     "</f>
        <v xml:space="preserve">$     </v>
      </c>
      <c r="K238" s="52" t="str">
        <f>K235&amp;"     "</f>
        <v xml:space="preserve">Nuevo     </v>
      </c>
      <c r="L238" s="52" t="str">
        <f>L235&amp;"     "</f>
        <v xml:space="preserve">Mercado Envíos a cargo del comprador     </v>
      </c>
      <c r="M238" s="52" t="str">
        <f>M235&amp;"     "</f>
        <v xml:space="preserve">Clásica     </v>
      </c>
      <c r="N238" s="52" t="str">
        <f ca="1">N235</f>
        <v>14%</v>
      </c>
      <c r="O238" s="52" t="str">
        <f>O235&amp;"     "</f>
        <v xml:space="preserve">Activa     </v>
      </c>
    </row>
    <row r="239" spans="1:15" ht="49.95" customHeight="1">
      <c r="A239" s="52" t="s">
        <v>479</v>
      </c>
      <c r="B239" s="52" t="s">
        <v>480</v>
      </c>
      <c r="C239" s="52" t="s">
        <v>481</v>
      </c>
      <c r="D239" s="52"/>
      <c r="E239" s="52" t="s">
        <v>482</v>
      </c>
      <c r="F239" s="52" t="s">
        <v>482</v>
      </c>
      <c r="G239" s="53">
        <v>2</v>
      </c>
      <c r="H239" s="52" t="s">
        <v>62</v>
      </c>
      <c r="I239" s="53">
        <v>69990</v>
      </c>
      <c r="J239" s="53" t="s">
        <v>63</v>
      </c>
      <c r="K239" s="53" t="s">
        <v>64</v>
      </c>
      <c r="L239" s="53" t="s">
        <v>65</v>
      </c>
      <c r="M239" s="53" t="s">
        <v>66</v>
      </c>
      <c r="N239" s="52" t="str">
        <f ca="1">IF(INDIRECT("M239")="Clásica","14%",IF(INDIRECT("M239")="Premium","18%","-"))</f>
        <v>14%</v>
      </c>
      <c r="O239" s="53" t="s">
        <v>67</v>
      </c>
    </row>
    <row r="240" spans="1:15" ht="49.95" customHeight="1">
      <c r="A240" s="52" t="s">
        <v>24</v>
      </c>
      <c r="B240" s="52" t="s">
        <v>483</v>
      </c>
      <c r="C240" s="52"/>
      <c r="D240" s="52"/>
      <c r="E240" s="52" t="s">
        <v>484</v>
      </c>
      <c r="F240" s="52" t="s">
        <v>62</v>
      </c>
      <c r="G240" s="52" t="s">
        <v>164</v>
      </c>
      <c r="H240" s="52" t="s">
        <v>62</v>
      </c>
      <c r="I240" s="53">
        <v>37990</v>
      </c>
      <c r="J240" s="53" t="s">
        <v>63</v>
      </c>
      <c r="K240" s="53" t="s">
        <v>64</v>
      </c>
      <c r="L240" s="53" t="s">
        <v>65</v>
      </c>
      <c r="M240" s="53" t="s">
        <v>66</v>
      </c>
      <c r="N240" s="52" t="str">
        <f ca="1">IF(INDIRECT("M240")="Clásica","14%",IF(INDIRECT("M240")="Premium","18%","-"))</f>
        <v>14%</v>
      </c>
      <c r="O240" s="53" t="s">
        <v>67</v>
      </c>
    </row>
    <row r="241" spans="1:15" ht="49.95" customHeight="1">
      <c r="A241" s="52" t="s">
        <v>24</v>
      </c>
      <c r="B241" s="52" t="s">
        <v>483</v>
      </c>
      <c r="C241" s="52" t="s">
        <v>485</v>
      </c>
      <c r="D241" s="52" t="s">
        <v>485</v>
      </c>
      <c r="E241" s="54" t="str">
        <f>"     "&amp;E240</f>
        <v xml:space="preserve">     Espejos Tipo Rizoma Yamaha Mt03 Mt 03 Mt-03 Logo Colores</v>
      </c>
      <c r="F241" s="52" t="s">
        <v>90</v>
      </c>
      <c r="G241" s="53">
        <v>1</v>
      </c>
      <c r="H241" s="52" t="s">
        <v>62</v>
      </c>
      <c r="I241" s="52">
        <f>I240</f>
        <v>37990</v>
      </c>
      <c r="J241" s="52" t="str">
        <f>J240&amp;"     "</f>
        <v xml:space="preserve">$     </v>
      </c>
      <c r="K241" s="52" t="str">
        <f>K240&amp;"     "</f>
        <v xml:space="preserve">Nuevo     </v>
      </c>
      <c r="L241" s="52" t="str">
        <f>L240&amp;"     "</f>
        <v xml:space="preserve">Mercado Envíos gratis     </v>
      </c>
      <c r="M241" s="52" t="str">
        <f>M240&amp;"     "</f>
        <v xml:space="preserve">Clásica     </v>
      </c>
      <c r="N241" s="52" t="str">
        <f ca="1">N240</f>
        <v>14%</v>
      </c>
      <c r="O241" s="52" t="str">
        <f>O240&amp;"     "</f>
        <v xml:space="preserve">Activa     </v>
      </c>
    </row>
    <row r="242" spans="1:15" ht="49.95" customHeight="1">
      <c r="A242" s="52" t="s">
        <v>24</v>
      </c>
      <c r="B242" s="52" t="s">
        <v>483</v>
      </c>
      <c r="C242" s="52" t="s">
        <v>486</v>
      </c>
      <c r="D242" s="52" t="s">
        <v>486</v>
      </c>
      <c r="E242" s="54" t="str">
        <f>"     "&amp;E240</f>
        <v xml:space="preserve">     Espejos Tipo Rizoma Yamaha Mt03 Mt 03 Mt-03 Logo Colores</v>
      </c>
      <c r="F242" s="52" t="s">
        <v>84</v>
      </c>
      <c r="G242" s="53">
        <v>0</v>
      </c>
      <c r="H242" s="52" t="s">
        <v>62</v>
      </c>
      <c r="I242" s="52">
        <f>I240</f>
        <v>37990</v>
      </c>
      <c r="J242" s="52" t="str">
        <f>J240&amp;"     "</f>
        <v xml:space="preserve">$     </v>
      </c>
      <c r="K242" s="52" t="str">
        <f>K240&amp;"     "</f>
        <v xml:space="preserve">Nuevo     </v>
      </c>
      <c r="L242" s="52" t="str">
        <f>L240&amp;"     "</f>
        <v xml:space="preserve">Mercado Envíos gratis     </v>
      </c>
      <c r="M242" s="52" t="str">
        <f>M240&amp;"     "</f>
        <v xml:space="preserve">Clásica     </v>
      </c>
      <c r="N242" s="52" t="str">
        <f ca="1">N240</f>
        <v>14%</v>
      </c>
      <c r="O242" s="52" t="str">
        <f>O240&amp;"     "</f>
        <v xml:space="preserve">Activa     </v>
      </c>
    </row>
    <row r="243" spans="1:15" ht="49.95" customHeight="1">
      <c r="A243" s="52" t="s">
        <v>24</v>
      </c>
      <c r="B243" s="52" t="s">
        <v>483</v>
      </c>
      <c r="C243" s="52" t="s">
        <v>487</v>
      </c>
      <c r="D243" s="52" t="s">
        <v>487</v>
      </c>
      <c r="E243" s="54" t="str">
        <f>"     "&amp;E240</f>
        <v xml:space="preserve">     Espejos Tipo Rizoma Yamaha Mt03 Mt 03 Mt-03 Logo Colores</v>
      </c>
      <c r="F243" s="52" t="s">
        <v>86</v>
      </c>
      <c r="G243" s="53">
        <v>0</v>
      </c>
      <c r="H243" s="52" t="s">
        <v>62</v>
      </c>
      <c r="I243" s="52">
        <f>I240</f>
        <v>37990</v>
      </c>
      <c r="J243" s="52" t="str">
        <f>J240&amp;"     "</f>
        <v xml:space="preserve">$     </v>
      </c>
      <c r="K243" s="52" t="str">
        <f>K240&amp;"     "</f>
        <v xml:space="preserve">Nuevo     </v>
      </c>
      <c r="L243" s="52" t="str">
        <f>L240&amp;"     "</f>
        <v xml:space="preserve">Mercado Envíos gratis     </v>
      </c>
      <c r="M243" s="52" t="str">
        <f>M240&amp;"     "</f>
        <v xml:space="preserve">Clásica     </v>
      </c>
      <c r="N243" s="52" t="str">
        <f ca="1">N240</f>
        <v>14%</v>
      </c>
      <c r="O243" s="52" t="str">
        <f>O240&amp;"     "</f>
        <v xml:space="preserve">Activa     </v>
      </c>
    </row>
    <row r="244" spans="1:15" ht="49.95" customHeight="1">
      <c r="A244" s="52" t="s">
        <v>24</v>
      </c>
      <c r="B244" s="52" t="s">
        <v>488</v>
      </c>
      <c r="C244" s="52"/>
      <c r="D244" s="52"/>
      <c r="E244" s="52" t="s">
        <v>489</v>
      </c>
      <c r="F244" s="52" t="s">
        <v>62</v>
      </c>
      <c r="G244" s="52" t="s">
        <v>112</v>
      </c>
      <c r="H244" s="52" t="s">
        <v>62</v>
      </c>
      <c r="I244" s="53">
        <v>44990</v>
      </c>
      <c r="J244" s="53" t="s">
        <v>63</v>
      </c>
      <c r="K244" s="53" t="s">
        <v>64</v>
      </c>
      <c r="L244" s="53" t="s">
        <v>65</v>
      </c>
      <c r="M244" s="53" t="s">
        <v>66</v>
      </c>
      <c r="N244" s="52" t="str">
        <f ca="1">IF(INDIRECT("M244")="Clásica","14%",IF(INDIRECT("M244")="Premium","18%","-"))</f>
        <v>14%</v>
      </c>
      <c r="O244" s="53" t="s">
        <v>67</v>
      </c>
    </row>
    <row r="245" spans="1:15" ht="49.95" customHeight="1">
      <c r="A245" s="52" t="s">
        <v>24</v>
      </c>
      <c r="B245" s="52" t="s">
        <v>488</v>
      </c>
      <c r="C245" s="52" t="s">
        <v>490</v>
      </c>
      <c r="D245" s="52" t="s">
        <v>490</v>
      </c>
      <c r="E245" s="54" t="str">
        <f>"     "&amp;E244</f>
        <v xml:space="preserve">     Set Protector Estanque Kawasaki Ninja400 Z400 Ninja Z Goma</v>
      </c>
      <c r="F245" s="52" t="s">
        <v>445</v>
      </c>
      <c r="G245" s="53">
        <v>2</v>
      </c>
      <c r="H245" s="52" t="s">
        <v>62</v>
      </c>
      <c r="I245" s="52">
        <f>I244</f>
        <v>44990</v>
      </c>
      <c r="J245" s="52" t="str">
        <f>J244&amp;"     "</f>
        <v xml:space="preserve">$     </v>
      </c>
      <c r="K245" s="52" t="str">
        <f>K244&amp;"     "</f>
        <v xml:space="preserve">Nuevo     </v>
      </c>
      <c r="L245" s="52" t="str">
        <f>L244&amp;"     "</f>
        <v xml:space="preserve">Mercado Envíos gratis     </v>
      </c>
      <c r="M245" s="52" t="str">
        <f>M244&amp;"     "</f>
        <v xml:space="preserve">Clásica     </v>
      </c>
      <c r="N245" s="52" t="str">
        <f ca="1">N244</f>
        <v>14%</v>
      </c>
      <c r="O245" s="52" t="str">
        <f>O244&amp;"     "</f>
        <v xml:space="preserve">Activa     </v>
      </c>
    </row>
    <row r="246" spans="1:15" ht="49.95" customHeight="1">
      <c r="A246" s="52" t="s">
        <v>24</v>
      </c>
      <c r="B246" s="52" t="s">
        <v>488</v>
      </c>
      <c r="C246" s="52" t="s">
        <v>491</v>
      </c>
      <c r="D246" s="52" t="s">
        <v>491</v>
      </c>
      <c r="E246" s="54" t="str">
        <f>"     "&amp;E244</f>
        <v xml:space="preserve">     Set Protector Estanque Kawasaki Ninja400 Z400 Ninja Z Goma</v>
      </c>
      <c r="F246" s="52" t="s">
        <v>97</v>
      </c>
      <c r="G246" s="53">
        <v>0</v>
      </c>
      <c r="H246" s="52" t="s">
        <v>62</v>
      </c>
      <c r="I246" s="52">
        <f>I244</f>
        <v>44990</v>
      </c>
      <c r="J246" s="52" t="str">
        <f>J244&amp;"     "</f>
        <v xml:space="preserve">$     </v>
      </c>
      <c r="K246" s="52" t="str">
        <f>K244&amp;"     "</f>
        <v xml:space="preserve">Nuevo     </v>
      </c>
      <c r="L246" s="52" t="str">
        <f>L244&amp;"     "</f>
        <v xml:space="preserve">Mercado Envíos gratis     </v>
      </c>
      <c r="M246" s="52" t="str">
        <f>M244&amp;"     "</f>
        <v xml:space="preserve">Clásica     </v>
      </c>
      <c r="N246" s="52" t="str">
        <f ca="1">N244</f>
        <v>14%</v>
      </c>
      <c r="O246" s="52" t="str">
        <f>O244&amp;"     "</f>
        <v xml:space="preserve">Activa     </v>
      </c>
    </row>
    <row r="247" spans="1:15" ht="49.95" customHeight="1">
      <c r="A247" s="52" t="s">
        <v>24</v>
      </c>
      <c r="B247" s="52" t="s">
        <v>492</v>
      </c>
      <c r="C247" s="52"/>
      <c r="D247" s="52"/>
      <c r="E247" s="52" t="s">
        <v>493</v>
      </c>
      <c r="F247" s="52" t="s">
        <v>62</v>
      </c>
      <c r="G247" s="52" t="s">
        <v>82</v>
      </c>
      <c r="H247" s="52" t="s">
        <v>62</v>
      </c>
      <c r="I247" s="53">
        <v>9990</v>
      </c>
      <c r="J247" s="53" t="s">
        <v>63</v>
      </c>
      <c r="K247" s="53" t="s">
        <v>64</v>
      </c>
      <c r="L247" s="53" t="s">
        <v>71</v>
      </c>
      <c r="M247" s="53" t="s">
        <v>66</v>
      </c>
      <c r="N247" s="52" t="str">
        <f ca="1">IF(INDIRECT("M247")="Clásica","14%",IF(INDIRECT("M247")="Premium","18%","-"))</f>
        <v>14%</v>
      </c>
      <c r="O247" s="53" t="s">
        <v>67</v>
      </c>
    </row>
    <row r="248" spans="1:15" ht="49.95" customHeight="1">
      <c r="A248" s="52" t="s">
        <v>24</v>
      </c>
      <c r="B248" s="52" t="s">
        <v>492</v>
      </c>
      <c r="C248" s="52" t="s">
        <v>494</v>
      </c>
      <c r="D248" s="52" t="s">
        <v>494</v>
      </c>
      <c r="E248" s="54" t="str">
        <f>"     "&amp;E247</f>
        <v xml:space="preserve">     Placa Soporte Extensión Pata Apoyo Ktm Duke 200 390 ../18</v>
      </c>
      <c r="F248" s="52" t="s">
        <v>495</v>
      </c>
      <c r="G248" s="53">
        <v>2</v>
      </c>
      <c r="H248" s="52" t="s">
        <v>62</v>
      </c>
      <c r="I248" s="52">
        <f>I247</f>
        <v>9990</v>
      </c>
      <c r="J248" s="52" t="str">
        <f>J247&amp;"     "</f>
        <v xml:space="preserve">$     </v>
      </c>
      <c r="K248" s="52" t="str">
        <f>K247&amp;"     "</f>
        <v xml:space="preserve">Nuevo     </v>
      </c>
      <c r="L248" s="52" t="str">
        <f>L247&amp;"     "</f>
        <v xml:space="preserve">Mercado Envíos a cargo del comprador     </v>
      </c>
      <c r="M248" s="52" t="str">
        <f>M247&amp;"     "</f>
        <v xml:space="preserve">Clásica     </v>
      </c>
      <c r="N248" s="52" t="str">
        <f ca="1">N247</f>
        <v>14%</v>
      </c>
      <c r="O248" s="52" t="str">
        <f>O247&amp;"     "</f>
        <v xml:space="preserve">Activa     </v>
      </c>
    </row>
    <row r="249" spans="1:15" ht="49.95" customHeight="1">
      <c r="A249" s="52" t="s">
        <v>24</v>
      </c>
      <c r="B249" s="52" t="s">
        <v>492</v>
      </c>
      <c r="C249" s="52" t="s">
        <v>496</v>
      </c>
      <c r="D249" s="52" t="s">
        <v>496</v>
      </c>
      <c r="E249" s="54" t="str">
        <f>"     "&amp;E247</f>
        <v xml:space="preserve">     Placa Soporte Extensión Pata Apoyo Ktm Duke 200 390 ../18</v>
      </c>
      <c r="F249" s="52" t="s">
        <v>497</v>
      </c>
      <c r="G249" s="53">
        <v>1</v>
      </c>
      <c r="H249" s="52" t="s">
        <v>62</v>
      </c>
      <c r="I249" s="52">
        <f>I247</f>
        <v>9990</v>
      </c>
      <c r="J249" s="52" t="str">
        <f>J247&amp;"     "</f>
        <v xml:space="preserve">$     </v>
      </c>
      <c r="K249" s="52" t="str">
        <f>K247&amp;"     "</f>
        <v xml:space="preserve">Nuevo     </v>
      </c>
      <c r="L249" s="52" t="str">
        <f>L247&amp;"     "</f>
        <v xml:space="preserve">Mercado Envíos a cargo del comprador     </v>
      </c>
      <c r="M249" s="52" t="str">
        <f>M247&amp;"     "</f>
        <v xml:space="preserve">Clásica     </v>
      </c>
      <c r="N249" s="52" t="str">
        <f ca="1">N247</f>
        <v>14%</v>
      </c>
      <c r="O249" s="52" t="str">
        <f>O247&amp;"     "</f>
        <v xml:space="preserve">Activa     </v>
      </c>
    </row>
    <row r="250" spans="1:15" ht="49.95" customHeight="1">
      <c r="A250" s="52" t="s">
        <v>24</v>
      </c>
      <c r="B250" s="52" t="s">
        <v>498</v>
      </c>
      <c r="C250" s="52"/>
      <c r="D250" s="52"/>
      <c r="E250" s="52" t="s">
        <v>499</v>
      </c>
      <c r="F250" s="52" t="s">
        <v>62</v>
      </c>
      <c r="G250" s="52" t="s">
        <v>112</v>
      </c>
      <c r="H250" s="52" t="s">
        <v>62</v>
      </c>
      <c r="I250" s="53">
        <v>84990</v>
      </c>
      <c r="J250" s="53" t="s">
        <v>63</v>
      </c>
      <c r="K250" s="53" t="s">
        <v>64</v>
      </c>
      <c r="L250" s="53" t="s">
        <v>65</v>
      </c>
      <c r="M250" s="53" t="s">
        <v>66</v>
      </c>
      <c r="N250" s="52" t="str">
        <f ca="1">IF(INDIRECT("M250")="Clásica","15%",IF(INDIRECT("M250")="Premium","19%","-"))</f>
        <v>15%</v>
      </c>
      <c r="O250" s="53" t="s">
        <v>67</v>
      </c>
    </row>
    <row r="251" spans="1:15" ht="49.95" customHeight="1">
      <c r="A251" s="52" t="s">
        <v>24</v>
      </c>
      <c r="B251" s="52" t="s">
        <v>498</v>
      </c>
      <c r="C251" s="52" t="s">
        <v>500</v>
      </c>
      <c r="D251" s="52" t="s">
        <v>500</v>
      </c>
      <c r="E251" s="54" t="str">
        <f>"     "&amp;E250</f>
        <v xml:space="preserve">     Foco Faro Luz Led Delantero Ktm Exc Xc Sx Mx Xc Universal</v>
      </c>
      <c r="F251" s="52" t="s">
        <v>501</v>
      </c>
      <c r="G251" s="53">
        <v>2</v>
      </c>
      <c r="H251" s="52" t="s">
        <v>62</v>
      </c>
      <c r="I251" s="52">
        <f>I250</f>
        <v>84990</v>
      </c>
      <c r="J251" s="52" t="str">
        <f>J250&amp;"     "</f>
        <v xml:space="preserve">$     </v>
      </c>
      <c r="K251" s="52" t="str">
        <f>K250&amp;"     "</f>
        <v xml:space="preserve">Nuevo     </v>
      </c>
      <c r="L251" s="52" t="str">
        <f>L250&amp;"     "</f>
        <v xml:space="preserve">Mercado Envíos gratis     </v>
      </c>
      <c r="M251" s="52" t="str">
        <f>M250&amp;"     "</f>
        <v xml:space="preserve">Clásica     </v>
      </c>
      <c r="N251" s="52" t="str">
        <f ca="1">N250</f>
        <v>15%</v>
      </c>
      <c r="O251" s="52" t="str">
        <f>O250&amp;"     "</f>
        <v xml:space="preserve">Activa     </v>
      </c>
    </row>
    <row r="252" spans="1:15" ht="49.95" customHeight="1">
      <c r="A252" s="52" t="s">
        <v>24</v>
      </c>
      <c r="B252" s="52" t="s">
        <v>498</v>
      </c>
      <c r="C252" s="52" t="s">
        <v>502</v>
      </c>
      <c r="D252" s="52" t="s">
        <v>502</v>
      </c>
      <c r="E252" s="54" t="str">
        <f>"     "&amp;E250</f>
        <v xml:space="preserve">     Foco Faro Luz Led Delantero Ktm Exc Xc Sx Mx Xc Universal</v>
      </c>
      <c r="F252" s="52" t="s">
        <v>503</v>
      </c>
      <c r="G252" s="53">
        <v>0</v>
      </c>
      <c r="H252" s="52" t="s">
        <v>62</v>
      </c>
      <c r="I252" s="52">
        <f>I250</f>
        <v>84990</v>
      </c>
      <c r="J252" s="52" t="str">
        <f>J250&amp;"     "</f>
        <v xml:space="preserve">$     </v>
      </c>
      <c r="K252" s="52" t="str">
        <f>K250&amp;"     "</f>
        <v xml:space="preserve">Nuevo     </v>
      </c>
      <c r="L252" s="52" t="str">
        <f>L250&amp;"     "</f>
        <v xml:space="preserve">Mercado Envíos gratis     </v>
      </c>
      <c r="M252" s="52" t="str">
        <f>M250&amp;"     "</f>
        <v xml:space="preserve">Clásica     </v>
      </c>
      <c r="N252" s="52" t="str">
        <f ca="1">N250</f>
        <v>15%</v>
      </c>
      <c r="O252" s="52" t="str">
        <f>O250&amp;"     "</f>
        <v xml:space="preserve">Activa     </v>
      </c>
    </row>
    <row r="253" spans="1:15" ht="49.95" customHeight="1">
      <c r="A253" s="52" t="s">
        <v>504</v>
      </c>
      <c r="B253" s="52" t="s">
        <v>505</v>
      </c>
      <c r="C253" s="52" t="s">
        <v>506</v>
      </c>
      <c r="D253" s="52"/>
      <c r="E253" s="52" t="s">
        <v>507</v>
      </c>
      <c r="F253" s="52" t="s">
        <v>507</v>
      </c>
      <c r="G253" s="53">
        <v>2</v>
      </c>
      <c r="H253" s="52" t="s">
        <v>62</v>
      </c>
      <c r="I253" s="53">
        <v>19490</v>
      </c>
      <c r="J253" s="53" t="s">
        <v>63</v>
      </c>
      <c r="K253" s="53" t="s">
        <v>64</v>
      </c>
      <c r="L253" s="53" t="s">
        <v>71</v>
      </c>
      <c r="M253" s="53" t="s">
        <v>66</v>
      </c>
      <c r="N253" s="52" t="str">
        <f ca="1">IF(INDIRECT("M253")="Clásica","14%",IF(INDIRECT("M253")="Premium","18%","-"))</f>
        <v>14%</v>
      </c>
      <c r="O253" s="53" t="s">
        <v>67</v>
      </c>
    </row>
    <row r="254" spans="1:15" ht="49.95" customHeight="1">
      <c r="A254" s="52" t="s">
        <v>508</v>
      </c>
      <c r="B254" s="52" t="s">
        <v>509</v>
      </c>
      <c r="C254" s="52" t="s">
        <v>510</v>
      </c>
      <c r="D254" s="52"/>
      <c r="E254" s="52" t="s">
        <v>511</v>
      </c>
      <c r="F254" s="52" t="s">
        <v>511</v>
      </c>
      <c r="G254" s="53">
        <v>2</v>
      </c>
      <c r="H254" s="52" t="s">
        <v>62</v>
      </c>
      <c r="I254" s="53">
        <v>39990</v>
      </c>
      <c r="J254" s="53" t="s">
        <v>63</v>
      </c>
      <c r="K254" s="53" t="s">
        <v>64</v>
      </c>
      <c r="L254" s="53" t="s">
        <v>65</v>
      </c>
      <c r="M254" s="53" t="s">
        <v>66</v>
      </c>
      <c r="N254" s="52" t="str">
        <f ca="1">IF(INDIRECT("M254")="Clásica","14%",IF(INDIRECT("M254")="Premium","18%","-"))</f>
        <v>14%</v>
      </c>
      <c r="O254" s="53" t="s">
        <v>67</v>
      </c>
    </row>
    <row r="255" spans="1:15" ht="49.95" customHeight="1">
      <c r="A255" s="52" t="s">
        <v>512</v>
      </c>
      <c r="B255" s="52" t="s">
        <v>513</v>
      </c>
      <c r="C255" s="52" t="s">
        <v>514</v>
      </c>
      <c r="D255" s="52"/>
      <c r="E255" s="52" t="s">
        <v>515</v>
      </c>
      <c r="F255" s="52" t="s">
        <v>86</v>
      </c>
      <c r="G255" s="53">
        <v>2</v>
      </c>
      <c r="H255" s="52" t="s">
        <v>62</v>
      </c>
      <c r="I255" s="53">
        <v>44990</v>
      </c>
      <c r="J255" s="53" t="s">
        <v>63</v>
      </c>
      <c r="K255" s="53" t="s">
        <v>64</v>
      </c>
      <c r="L255" s="53" t="s">
        <v>65</v>
      </c>
      <c r="M255" s="53" t="s">
        <v>66</v>
      </c>
      <c r="N255" s="52" t="str">
        <f ca="1">IF(INDIRECT("M255")="Clásica","14%",IF(INDIRECT("M255")="Premium","18%","-"))</f>
        <v>14%</v>
      </c>
      <c r="O255" s="53" t="s">
        <v>67</v>
      </c>
    </row>
    <row r="256" spans="1:15" ht="49.95" customHeight="1">
      <c r="A256" s="52" t="s">
        <v>516</v>
      </c>
      <c r="B256" s="52" t="s">
        <v>517</v>
      </c>
      <c r="C256" s="52" t="s">
        <v>518</v>
      </c>
      <c r="D256" s="52"/>
      <c r="E256" s="52" t="s">
        <v>519</v>
      </c>
      <c r="F256" s="52" t="s">
        <v>519</v>
      </c>
      <c r="G256" s="53">
        <v>2</v>
      </c>
      <c r="H256" s="52" t="s">
        <v>62</v>
      </c>
      <c r="I256" s="53">
        <v>44990</v>
      </c>
      <c r="J256" s="53" t="s">
        <v>63</v>
      </c>
      <c r="K256" s="53" t="s">
        <v>64</v>
      </c>
      <c r="L256" s="53" t="s">
        <v>65</v>
      </c>
      <c r="M256" s="53" t="s">
        <v>66</v>
      </c>
      <c r="N256" s="52" t="str">
        <f ca="1">IF(INDIRECT("M256")="Clásica","14%",IF(INDIRECT("M256")="Premium","18%","-"))</f>
        <v>14%</v>
      </c>
      <c r="O256" s="53" t="s">
        <v>67</v>
      </c>
    </row>
    <row r="257" spans="1:15" ht="49.95" customHeight="1">
      <c r="A257" s="52" t="s">
        <v>520</v>
      </c>
      <c r="B257" s="52" t="s">
        <v>521</v>
      </c>
      <c r="C257" s="52" t="s">
        <v>522</v>
      </c>
      <c r="D257" s="52"/>
      <c r="E257" s="52" t="s">
        <v>523</v>
      </c>
      <c r="F257" s="52" t="s">
        <v>524</v>
      </c>
      <c r="G257" s="53">
        <v>2</v>
      </c>
      <c r="H257" s="52" t="s">
        <v>62</v>
      </c>
      <c r="I257" s="53">
        <v>31990</v>
      </c>
      <c r="J257" s="53" t="s">
        <v>63</v>
      </c>
      <c r="K257" s="53" t="s">
        <v>64</v>
      </c>
      <c r="L257" s="53" t="s">
        <v>65</v>
      </c>
      <c r="M257" s="53" t="s">
        <v>66</v>
      </c>
      <c r="N257" s="52" t="str">
        <f ca="1">IF(INDIRECT("M257")="Clásica","14%",IF(INDIRECT("M257")="Premium","18%","-"))</f>
        <v>14%</v>
      </c>
      <c r="O257" s="53" t="s">
        <v>67</v>
      </c>
    </row>
    <row r="258" spans="1:15" ht="49.95" customHeight="1">
      <c r="A258" s="52" t="s">
        <v>525</v>
      </c>
      <c r="B258" s="52" t="s">
        <v>526</v>
      </c>
      <c r="C258" s="52" t="s">
        <v>527</v>
      </c>
      <c r="D258" s="52"/>
      <c r="E258" s="52" t="s">
        <v>528</v>
      </c>
      <c r="F258" s="52" t="s">
        <v>528</v>
      </c>
      <c r="G258" s="53">
        <v>1</v>
      </c>
      <c r="H258" s="52" t="s">
        <v>62</v>
      </c>
      <c r="I258" s="53">
        <v>69990</v>
      </c>
      <c r="J258" s="53" t="s">
        <v>63</v>
      </c>
      <c r="K258" s="53" t="s">
        <v>64</v>
      </c>
      <c r="L258" s="53" t="s">
        <v>65</v>
      </c>
      <c r="M258" s="53" t="s">
        <v>66</v>
      </c>
      <c r="N258" s="52" t="str">
        <f ca="1">IF(INDIRECT("M258")="Clásica","14%",IF(INDIRECT("M258")="Premium","18%","-"))</f>
        <v>14%</v>
      </c>
      <c r="O258" s="53" t="s">
        <v>67</v>
      </c>
    </row>
    <row r="259" spans="1:15" ht="49.95" customHeight="1">
      <c r="A259" s="52" t="s">
        <v>24</v>
      </c>
      <c r="B259" s="52" t="s">
        <v>529</v>
      </c>
      <c r="C259" s="52"/>
      <c r="D259" s="52"/>
      <c r="E259" s="52" t="s">
        <v>530</v>
      </c>
      <c r="F259" s="52" t="s">
        <v>62</v>
      </c>
      <c r="G259" s="52" t="s">
        <v>93</v>
      </c>
      <c r="H259" s="52" t="s">
        <v>62</v>
      </c>
      <c r="I259" s="53">
        <v>59990</v>
      </c>
      <c r="J259" s="53" t="s">
        <v>63</v>
      </c>
      <c r="K259" s="53" t="s">
        <v>64</v>
      </c>
      <c r="L259" s="53" t="s">
        <v>65</v>
      </c>
      <c r="M259" s="53" t="s">
        <v>66</v>
      </c>
      <c r="N259" s="52" t="str">
        <f ca="1">IF(INDIRECT("M259")="Clásica","14%",IF(INDIRECT("M259")="Premium","18%","-"))</f>
        <v>14%</v>
      </c>
      <c r="O259" s="53" t="s">
        <v>67</v>
      </c>
    </row>
    <row r="260" spans="1:15" ht="49.95" customHeight="1">
      <c r="A260" s="52" t="s">
        <v>24</v>
      </c>
      <c r="B260" s="52" t="s">
        <v>529</v>
      </c>
      <c r="C260" s="52" t="s">
        <v>531</v>
      </c>
      <c r="D260" s="52" t="s">
        <v>531</v>
      </c>
      <c r="E260" s="54" t="str">
        <f>"     "&amp;E259</f>
        <v xml:space="preserve">     Manillas Yamaha Mt 07 Mt07 Mt-07 Logo Colores + E. Gratis</v>
      </c>
      <c r="F260" s="52" t="s">
        <v>84</v>
      </c>
      <c r="G260" s="53">
        <v>1</v>
      </c>
      <c r="H260" s="52" t="s">
        <v>62</v>
      </c>
      <c r="I260" s="52">
        <f>I259</f>
        <v>59990</v>
      </c>
      <c r="J260" s="52" t="str">
        <f>J259&amp;"     "</f>
        <v xml:space="preserve">$     </v>
      </c>
      <c r="K260" s="52" t="str">
        <f>K259&amp;"     "</f>
        <v xml:space="preserve">Nuevo     </v>
      </c>
      <c r="L260" s="52" t="str">
        <f>L259&amp;"     "</f>
        <v xml:space="preserve">Mercado Envíos gratis     </v>
      </c>
      <c r="M260" s="52" t="str">
        <f>M259&amp;"     "</f>
        <v xml:space="preserve">Clásica     </v>
      </c>
      <c r="N260" s="52" t="str">
        <f ca="1">N259</f>
        <v>14%</v>
      </c>
      <c r="O260" s="52" t="str">
        <f>O259&amp;"     "</f>
        <v xml:space="preserve">Activa     </v>
      </c>
    </row>
    <row r="261" spans="1:15" ht="49.95" customHeight="1">
      <c r="A261" s="52" t="s">
        <v>24</v>
      </c>
      <c r="B261" s="52" t="s">
        <v>529</v>
      </c>
      <c r="C261" s="52" t="s">
        <v>532</v>
      </c>
      <c r="D261" s="52" t="s">
        <v>532</v>
      </c>
      <c r="E261" s="54" t="str">
        <f>"     "&amp;E259</f>
        <v xml:space="preserve">     Manillas Yamaha Mt 07 Mt07 Mt-07 Logo Colores + E. Gratis</v>
      </c>
      <c r="F261" s="52" t="s">
        <v>97</v>
      </c>
      <c r="G261" s="53">
        <v>1</v>
      </c>
      <c r="H261" s="52" t="s">
        <v>62</v>
      </c>
      <c r="I261" s="52">
        <f>I259</f>
        <v>59990</v>
      </c>
      <c r="J261" s="52" t="str">
        <f>J259&amp;"     "</f>
        <v xml:space="preserve">$     </v>
      </c>
      <c r="K261" s="52" t="str">
        <f>K259&amp;"     "</f>
        <v xml:space="preserve">Nuevo     </v>
      </c>
      <c r="L261" s="52" t="str">
        <f>L259&amp;"     "</f>
        <v xml:space="preserve">Mercado Envíos gratis     </v>
      </c>
      <c r="M261" s="52" t="str">
        <f>M259&amp;"     "</f>
        <v xml:space="preserve">Clásica     </v>
      </c>
      <c r="N261" s="52" t="str">
        <f ca="1">N259</f>
        <v>14%</v>
      </c>
      <c r="O261" s="52" t="str">
        <f>O259&amp;"     "</f>
        <v xml:space="preserve">Activa     </v>
      </c>
    </row>
    <row r="262" spans="1:15" ht="49.95" customHeight="1">
      <c r="A262" s="52" t="s">
        <v>24</v>
      </c>
      <c r="B262" s="52" t="s">
        <v>529</v>
      </c>
      <c r="C262" s="52" t="s">
        <v>533</v>
      </c>
      <c r="D262" s="52" t="s">
        <v>533</v>
      </c>
      <c r="E262" s="54" t="str">
        <f>"     "&amp;E259</f>
        <v xml:space="preserve">     Manillas Yamaha Mt 07 Mt07 Mt-07 Logo Colores + E. Gratis</v>
      </c>
      <c r="F262" s="52" t="s">
        <v>86</v>
      </c>
      <c r="G262" s="53">
        <v>2</v>
      </c>
      <c r="H262" s="52" t="s">
        <v>62</v>
      </c>
      <c r="I262" s="52">
        <f>I259</f>
        <v>59990</v>
      </c>
      <c r="J262" s="52" t="str">
        <f>J259&amp;"     "</f>
        <v xml:space="preserve">$     </v>
      </c>
      <c r="K262" s="52" t="str">
        <f>K259&amp;"     "</f>
        <v xml:space="preserve">Nuevo     </v>
      </c>
      <c r="L262" s="52" t="str">
        <f>L259&amp;"     "</f>
        <v xml:space="preserve">Mercado Envíos gratis     </v>
      </c>
      <c r="M262" s="52" t="str">
        <f>M259&amp;"     "</f>
        <v xml:space="preserve">Clásica     </v>
      </c>
      <c r="N262" s="52" t="str">
        <f ca="1">N259</f>
        <v>14%</v>
      </c>
      <c r="O262" s="52" t="str">
        <f>O259&amp;"     "</f>
        <v xml:space="preserve">Activa     </v>
      </c>
    </row>
    <row r="263" spans="1:15" ht="49.95" customHeight="1">
      <c r="A263" s="52" t="s">
        <v>24</v>
      </c>
      <c r="B263" s="52" t="s">
        <v>529</v>
      </c>
      <c r="C263" s="52" t="s">
        <v>534</v>
      </c>
      <c r="D263" s="52" t="s">
        <v>534</v>
      </c>
      <c r="E263" s="54" t="str">
        <f>"     "&amp;E259</f>
        <v xml:space="preserve">     Manillas Yamaha Mt 07 Mt07 Mt-07 Logo Colores + E. Gratis</v>
      </c>
      <c r="F263" s="52" t="s">
        <v>90</v>
      </c>
      <c r="G263" s="53">
        <v>1</v>
      </c>
      <c r="H263" s="52" t="s">
        <v>62</v>
      </c>
      <c r="I263" s="52">
        <f>I259</f>
        <v>59990</v>
      </c>
      <c r="J263" s="52" t="str">
        <f>J259&amp;"     "</f>
        <v xml:space="preserve">$     </v>
      </c>
      <c r="K263" s="52" t="str">
        <f>K259&amp;"     "</f>
        <v xml:space="preserve">Nuevo     </v>
      </c>
      <c r="L263" s="52" t="str">
        <f>L259&amp;"     "</f>
        <v xml:space="preserve">Mercado Envíos gratis     </v>
      </c>
      <c r="M263" s="52" t="str">
        <f>M259&amp;"     "</f>
        <v xml:space="preserve">Clásica     </v>
      </c>
      <c r="N263" s="52" t="str">
        <f ca="1">N259</f>
        <v>14%</v>
      </c>
      <c r="O263" s="52" t="str">
        <f>O259&amp;"     "</f>
        <v xml:space="preserve">Activa     </v>
      </c>
    </row>
    <row r="264" spans="1:15" ht="49.95" customHeight="1">
      <c r="A264" s="52" t="s">
        <v>24</v>
      </c>
      <c r="B264" s="52" t="s">
        <v>535</v>
      </c>
      <c r="C264" s="52"/>
      <c r="D264" s="52"/>
      <c r="E264" s="52" t="s">
        <v>536</v>
      </c>
      <c r="F264" s="52" t="s">
        <v>62</v>
      </c>
      <c r="G264" s="52" t="s">
        <v>112</v>
      </c>
      <c r="H264" s="52" t="s">
        <v>62</v>
      </c>
      <c r="I264" s="53">
        <v>69990</v>
      </c>
      <c r="J264" s="53" t="s">
        <v>63</v>
      </c>
      <c r="K264" s="53" t="s">
        <v>64</v>
      </c>
      <c r="L264" s="53" t="s">
        <v>65</v>
      </c>
      <c r="M264" s="53" t="s">
        <v>66</v>
      </c>
      <c r="N264" s="52" t="str">
        <f ca="1">IF(INDIRECT("M264")="Clásica","14%",IF(INDIRECT("M264")="Premium","18%","-"))</f>
        <v>14%</v>
      </c>
      <c r="O264" s="53" t="s">
        <v>67</v>
      </c>
    </row>
    <row r="265" spans="1:15" ht="49.95" customHeight="1">
      <c r="A265" s="52" t="s">
        <v>24</v>
      </c>
      <c r="B265" s="52" t="s">
        <v>535</v>
      </c>
      <c r="C265" s="52" t="s">
        <v>537</v>
      </c>
      <c r="D265" s="52" t="s">
        <v>537</v>
      </c>
      <c r="E265" s="54" t="str">
        <f>"     "&amp;E264</f>
        <v xml:space="preserve">     Sliders Topes De Caída Yamaha R15 V3 Colores</v>
      </c>
      <c r="F265" s="52" t="s">
        <v>84</v>
      </c>
      <c r="G265" s="53">
        <v>2</v>
      </c>
      <c r="H265" s="52" t="s">
        <v>62</v>
      </c>
      <c r="I265" s="52">
        <f>I264</f>
        <v>69990</v>
      </c>
      <c r="J265" s="52" t="str">
        <f>J264&amp;"     "</f>
        <v xml:space="preserve">$     </v>
      </c>
      <c r="K265" s="52" t="str">
        <f>K264&amp;"     "</f>
        <v xml:space="preserve">Nuevo     </v>
      </c>
      <c r="L265" s="52" t="str">
        <f>L264&amp;"     "</f>
        <v xml:space="preserve">Mercado Envíos gratis     </v>
      </c>
      <c r="M265" s="52" t="str">
        <f>M264&amp;"     "</f>
        <v xml:space="preserve">Clásica     </v>
      </c>
      <c r="N265" s="52" t="str">
        <f ca="1">N264</f>
        <v>14%</v>
      </c>
      <c r="O265" s="52" t="str">
        <f>O264&amp;"     "</f>
        <v xml:space="preserve">Activa     </v>
      </c>
    </row>
    <row r="266" spans="1:15" ht="49.95" customHeight="1">
      <c r="A266" s="52" t="s">
        <v>24</v>
      </c>
      <c r="B266" s="52" t="s">
        <v>535</v>
      </c>
      <c r="C266" s="52" t="s">
        <v>538</v>
      </c>
      <c r="D266" s="52" t="s">
        <v>538</v>
      </c>
      <c r="E266" s="54" t="str">
        <f>"     "&amp;E264</f>
        <v xml:space="preserve">     Sliders Topes De Caída Yamaha R15 V3 Colores</v>
      </c>
      <c r="F266" s="52" t="s">
        <v>86</v>
      </c>
      <c r="G266" s="53">
        <v>0</v>
      </c>
      <c r="H266" s="52" t="s">
        <v>62</v>
      </c>
      <c r="I266" s="52">
        <f>I264</f>
        <v>69990</v>
      </c>
      <c r="J266" s="52" t="str">
        <f>J264&amp;"     "</f>
        <v xml:space="preserve">$     </v>
      </c>
      <c r="K266" s="52" t="str">
        <f>K264&amp;"     "</f>
        <v xml:space="preserve">Nuevo     </v>
      </c>
      <c r="L266" s="52" t="str">
        <f>L264&amp;"     "</f>
        <v xml:space="preserve">Mercado Envíos gratis     </v>
      </c>
      <c r="M266" s="52" t="str">
        <f>M264&amp;"     "</f>
        <v xml:space="preserve">Clásica     </v>
      </c>
      <c r="N266" s="52" t="str">
        <f ca="1">N264</f>
        <v>14%</v>
      </c>
      <c r="O266" s="52" t="str">
        <f>O264&amp;"     "</f>
        <v xml:space="preserve">Activa     </v>
      </c>
    </row>
    <row r="267" spans="1:15" ht="49.95" customHeight="1">
      <c r="A267" s="52" t="s">
        <v>24</v>
      </c>
      <c r="B267" s="52" t="s">
        <v>535</v>
      </c>
      <c r="C267" s="52" t="s">
        <v>539</v>
      </c>
      <c r="D267" s="52" t="s">
        <v>539</v>
      </c>
      <c r="E267" s="54" t="str">
        <f>"     "&amp;E264</f>
        <v xml:space="preserve">     Sliders Topes De Caída Yamaha R15 V3 Colores</v>
      </c>
      <c r="F267" s="52" t="s">
        <v>90</v>
      </c>
      <c r="G267" s="53">
        <v>0</v>
      </c>
      <c r="H267" s="52" t="s">
        <v>62</v>
      </c>
      <c r="I267" s="52">
        <f>I264</f>
        <v>69990</v>
      </c>
      <c r="J267" s="52" t="str">
        <f>J264&amp;"     "</f>
        <v xml:space="preserve">$     </v>
      </c>
      <c r="K267" s="52" t="str">
        <f>K264&amp;"     "</f>
        <v xml:space="preserve">Nuevo     </v>
      </c>
      <c r="L267" s="52" t="str">
        <f>L264&amp;"     "</f>
        <v xml:space="preserve">Mercado Envíos gratis     </v>
      </c>
      <c r="M267" s="52" t="str">
        <f>M264&amp;"     "</f>
        <v xml:space="preserve">Clásica     </v>
      </c>
      <c r="N267" s="52" t="str">
        <f ca="1">N264</f>
        <v>14%</v>
      </c>
      <c r="O267" s="52" t="str">
        <f>O264&amp;"     "</f>
        <v xml:space="preserve">Activa     </v>
      </c>
    </row>
    <row r="268" spans="1:15" ht="49.95" customHeight="1">
      <c r="A268" s="52" t="s">
        <v>540</v>
      </c>
      <c r="B268" s="52" t="s">
        <v>541</v>
      </c>
      <c r="C268" s="52" t="s">
        <v>542</v>
      </c>
      <c r="D268" s="52"/>
      <c r="E268" s="52" t="s">
        <v>543</v>
      </c>
      <c r="F268" s="52" t="s">
        <v>524</v>
      </c>
      <c r="G268" s="53">
        <v>2</v>
      </c>
      <c r="H268" s="52" t="s">
        <v>62</v>
      </c>
      <c r="I268" s="53">
        <v>28990</v>
      </c>
      <c r="J268" s="53" t="s">
        <v>63</v>
      </c>
      <c r="K268" s="53" t="s">
        <v>64</v>
      </c>
      <c r="L268" s="53" t="s">
        <v>65</v>
      </c>
      <c r="M268" s="53" t="s">
        <v>66</v>
      </c>
      <c r="N268" s="52" t="str">
        <f ca="1">IF(INDIRECT("M268")="Clásica","14%",IF(INDIRECT("M268")="Premium","18%","-"))</f>
        <v>14%</v>
      </c>
      <c r="O268" s="53" t="s">
        <v>67</v>
      </c>
    </row>
    <row r="269" spans="1:15" ht="49.95" customHeight="1">
      <c r="A269" s="52" t="s">
        <v>24</v>
      </c>
      <c r="B269" s="52" t="s">
        <v>544</v>
      </c>
      <c r="C269" s="52"/>
      <c r="D269" s="52"/>
      <c r="E269" s="52" t="s">
        <v>545</v>
      </c>
      <c r="F269" s="52" t="s">
        <v>62</v>
      </c>
      <c r="G269" s="52" t="s">
        <v>104</v>
      </c>
      <c r="H269" s="52" t="s">
        <v>62</v>
      </c>
      <c r="I269" s="53">
        <v>34990</v>
      </c>
      <c r="J269" s="53" t="s">
        <v>63</v>
      </c>
      <c r="K269" s="53" t="s">
        <v>64</v>
      </c>
      <c r="L269" s="53" t="s">
        <v>65</v>
      </c>
      <c r="M269" s="53" t="s">
        <v>66</v>
      </c>
      <c r="N269" s="52" t="str">
        <f ca="1">IF(INDIRECT("M269")="Clásica","14%",IF(INDIRECT("M269")="Premium","18%","-"))</f>
        <v>14%</v>
      </c>
      <c r="O269" s="53" t="s">
        <v>67</v>
      </c>
    </row>
    <row r="270" spans="1:15" ht="49.95" customHeight="1">
      <c r="A270" s="52" t="s">
        <v>24</v>
      </c>
      <c r="B270" s="52" t="s">
        <v>544</v>
      </c>
      <c r="C270" s="52" t="s">
        <v>546</v>
      </c>
      <c r="D270" s="52" t="s">
        <v>546</v>
      </c>
      <c r="E270" s="54" t="str">
        <f>"     "&amp;E269</f>
        <v xml:space="preserve">     Manillas Yamaha R15 R 15 V1 V2 Regulables Abatibles Logo</v>
      </c>
      <c r="F270" s="52" t="s">
        <v>88</v>
      </c>
      <c r="G270" s="53">
        <v>2</v>
      </c>
      <c r="H270" s="52" t="s">
        <v>62</v>
      </c>
      <c r="I270" s="52">
        <f>I269</f>
        <v>34990</v>
      </c>
      <c r="J270" s="52" t="str">
        <f>J269&amp;"     "</f>
        <v xml:space="preserve">$     </v>
      </c>
      <c r="K270" s="52" t="str">
        <f>K269&amp;"     "</f>
        <v xml:space="preserve">Nuevo     </v>
      </c>
      <c r="L270" s="52" t="str">
        <f>L269&amp;"     "</f>
        <v xml:space="preserve">Mercado Envíos gratis     </v>
      </c>
      <c r="M270" s="52" t="str">
        <f>M269&amp;"     "</f>
        <v xml:space="preserve">Clásica     </v>
      </c>
      <c r="N270" s="52" t="str">
        <f ca="1">N269</f>
        <v>14%</v>
      </c>
      <c r="O270" s="52" t="str">
        <f>O269&amp;"     "</f>
        <v xml:space="preserve">Activa     </v>
      </c>
    </row>
    <row r="271" spans="1:15" ht="49.95" customHeight="1">
      <c r="A271" s="52" t="s">
        <v>24</v>
      </c>
      <c r="B271" s="52" t="s">
        <v>544</v>
      </c>
      <c r="C271" s="52" t="s">
        <v>547</v>
      </c>
      <c r="D271" s="52" t="s">
        <v>547</v>
      </c>
      <c r="E271" s="54" t="str">
        <f>"     "&amp;E269</f>
        <v xml:space="preserve">     Manillas Yamaha R15 R 15 V1 V2 Regulables Abatibles Logo</v>
      </c>
      <c r="F271" s="52" t="s">
        <v>90</v>
      </c>
      <c r="G271" s="53">
        <v>2</v>
      </c>
      <c r="H271" s="52" t="s">
        <v>62</v>
      </c>
      <c r="I271" s="52">
        <f>I269</f>
        <v>34990</v>
      </c>
      <c r="J271" s="52" t="str">
        <f>J269&amp;"     "</f>
        <v xml:space="preserve">$     </v>
      </c>
      <c r="K271" s="52" t="str">
        <f>K269&amp;"     "</f>
        <v xml:space="preserve">Nuevo     </v>
      </c>
      <c r="L271" s="52" t="str">
        <f>L269&amp;"     "</f>
        <v xml:space="preserve">Mercado Envíos gratis     </v>
      </c>
      <c r="M271" s="52" t="str">
        <f>M269&amp;"     "</f>
        <v xml:space="preserve">Clásica     </v>
      </c>
      <c r="N271" s="52" t="str">
        <f ca="1">N269</f>
        <v>14%</v>
      </c>
      <c r="O271" s="52" t="str">
        <f>O269&amp;"     "</f>
        <v xml:space="preserve">Activa     </v>
      </c>
    </row>
    <row r="272" spans="1:15" ht="49.95" customHeight="1">
      <c r="A272" s="52" t="s">
        <v>24</v>
      </c>
      <c r="B272" s="52" t="s">
        <v>544</v>
      </c>
      <c r="C272" s="52" t="s">
        <v>548</v>
      </c>
      <c r="D272" s="52" t="s">
        <v>548</v>
      </c>
      <c r="E272" s="54" t="str">
        <f>"     "&amp;E269</f>
        <v xml:space="preserve">     Manillas Yamaha R15 R 15 V1 V2 Regulables Abatibles Logo</v>
      </c>
      <c r="F272" s="52" t="s">
        <v>97</v>
      </c>
      <c r="G272" s="53">
        <v>0</v>
      </c>
      <c r="H272" s="52" t="s">
        <v>62</v>
      </c>
      <c r="I272" s="52">
        <f>I269</f>
        <v>34990</v>
      </c>
      <c r="J272" s="52" t="str">
        <f>J269&amp;"     "</f>
        <v xml:space="preserve">$     </v>
      </c>
      <c r="K272" s="52" t="str">
        <f>K269&amp;"     "</f>
        <v xml:space="preserve">Nuevo     </v>
      </c>
      <c r="L272" s="52" t="str">
        <f>L269&amp;"     "</f>
        <v xml:space="preserve">Mercado Envíos gratis     </v>
      </c>
      <c r="M272" s="52" t="str">
        <f>M269&amp;"     "</f>
        <v xml:space="preserve">Clásica     </v>
      </c>
      <c r="N272" s="52" t="str">
        <f ca="1">N269</f>
        <v>14%</v>
      </c>
      <c r="O272" s="52" t="str">
        <f>O269&amp;"     "</f>
        <v xml:space="preserve">Activa     </v>
      </c>
    </row>
    <row r="273" spans="1:15" ht="49.95" customHeight="1">
      <c r="A273" s="52" t="s">
        <v>24</v>
      </c>
      <c r="B273" s="52" t="s">
        <v>544</v>
      </c>
      <c r="C273" s="52" t="s">
        <v>549</v>
      </c>
      <c r="D273" s="52" t="s">
        <v>549</v>
      </c>
      <c r="E273" s="54" t="str">
        <f>"     "&amp;E269</f>
        <v xml:space="preserve">     Manillas Yamaha R15 R 15 V1 V2 Regulables Abatibles Logo</v>
      </c>
      <c r="F273" s="52" t="s">
        <v>86</v>
      </c>
      <c r="G273" s="53">
        <v>0</v>
      </c>
      <c r="H273" s="52" t="s">
        <v>62</v>
      </c>
      <c r="I273" s="52">
        <f>I269</f>
        <v>34990</v>
      </c>
      <c r="J273" s="52" t="str">
        <f>J269&amp;"     "</f>
        <v xml:space="preserve">$     </v>
      </c>
      <c r="K273" s="52" t="str">
        <f>K269&amp;"     "</f>
        <v xml:space="preserve">Nuevo     </v>
      </c>
      <c r="L273" s="52" t="str">
        <f>L269&amp;"     "</f>
        <v xml:space="preserve">Mercado Envíos gratis     </v>
      </c>
      <c r="M273" s="52" t="str">
        <f>M269&amp;"     "</f>
        <v xml:space="preserve">Clásica     </v>
      </c>
      <c r="N273" s="52" t="str">
        <f ca="1">N269</f>
        <v>14%</v>
      </c>
      <c r="O273" s="52" t="str">
        <f>O269&amp;"     "</f>
        <v xml:space="preserve">Activa     </v>
      </c>
    </row>
    <row r="274" spans="1:15" ht="49.95" customHeight="1">
      <c r="A274" s="52" t="s">
        <v>24</v>
      </c>
      <c r="B274" s="52" t="s">
        <v>544</v>
      </c>
      <c r="C274" s="52" t="s">
        <v>550</v>
      </c>
      <c r="D274" s="52" t="s">
        <v>550</v>
      </c>
      <c r="E274" s="54" t="str">
        <f>"     "&amp;E269</f>
        <v xml:space="preserve">     Manillas Yamaha R15 R 15 V1 V2 Regulables Abatibles Logo</v>
      </c>
      <c r="F274" s="52" t="s">
        <v>84</v>
      </c>
      <c r="G274" s="53">
        <v>2</v>
      </c>
      <c r="H274" s="52" t="s">
        <v>62</v>
      </c>
      <c r="I274" s="52">
        <f>I269</f>
        <v>34990</v>
      </c>
      <c r="J274" s="52" t="str">
        <f>J269&amp;"     "</f>
        <v xml:space="preserve">$     </v>
      </c>
      <c r="K274" s="52" t="str">
        <f>K269&amp;"     "</f>
        <v xml:space="preserve">Nuevo     </v>
      </c>
      <c r="L274" s="52" t="str">
        <f>L269&amp;"     "</f>
        <v xml:space="preserve">Mercado Envíos gratis     </v>
      </c>
      <c r="M274" s="52" t="str">
        <f>M269&amp;"     "</f>
        <v xml:space="preserve">Clásica     </v>
      </c>
      <c r="N274" s="52" t="str">
        <f ca="1">N269</f>
        <v>14%</v>
      </c>
      <c r="O274" s="52" t="str">
        <f>O269&amp;"     "</f>
        <v xml:space="preserve">Activa     </v>
      </c>
    </row>
    <row r="275" spans="1:15" ht="49.95" customHeight="1">
      <c r="A275" s="52" t="s">
        <v>551</v>
      </c>
      <c r="B275" s="52" t="s">
        <v>552</v>
      </c>
      <c r="C275" s="52" t="s">
        <v>553</v>
      </c>
      <c r="D275" s="52"/>
      <c r="E275" s="52" t="s">
        <v>554</v>
      </c>
      <c r="F275" s="52" t="s">
        <v>86</v>
      </c>
      <c r="G275" s="53">
        <v>1</v>
      </c>
      <c r="H275" s="52" t="s">
        <v>62</v>
      </c>
      <c r="I275" s="53">
        <v>34990</v>
      </c>
      <c r="J275" s="53" t="s">
        <v>63</v>
      </c>
      <c r="K275" s="53" t="s">
        <v>64</v>
      </c>
      <c r="L275" s="53" t="s">
        <v>65</v>
      </c>
      <c r="M275" s="53" t="s">
        <v>66</v>
      </c>
      <c r="N275" s="52" t="str">
        <f ca="1">IF(INDIRECT("M275")="Clásica","14%",IF(INDIRECT("M275")="Premium","18%","-"))</f>
        <v>14%</v>
      </c>
      <c r="O275" s="53" t="s">
        <v>67</v>
      </c>
    </row>
    <row r="276" spans="1:15" ht="49.95" customHeight="1">
      <c r="A276" s="52" t="s">
        <v>24</v>
      </c>
      <c r="B276" s="52" t="s">
        <v>555</v>
      </c>
      <c r="C276" s="52"/>
      <c r="D276" s="52"/>
      <c r="E276" s="52" t="s">
        <v>556</v>
      </c>
      <c r="F276" s="52" t="s">
        <v>62</v>
      </c>
      <c r="G276" s="52" t="s">
        <v>112</v>
      </c>
      <c r="H276" s="52" t="s">
        <v>62</v>
      </c>
      <c r="I276" s="53">
        <v>14990</v>
      </c>
      <c r="J276" s="53" t="s">
        <v>63</v>
      </c>
      <c r="K276" s="53" t="s">
        <v>64</v>
      </c>
      <c r="L276" s="53" t="s">
        <v>71</v>
      </c>
      <c r="M276" s="53" t="s">
        <v>66</v>
      </c>
      <c r="N276" s="52" t="str">
        <f ca="1">IF(INDIRECT("M276")="Clásica","14%",IF(INDIRECT("M276")="Premium","18%","-"))</f>
        <v>14%</v>
      </c>
      <c r="O276" s="53" t="s">
        <v>67</v>
      </c>
    </row>
    <row r="277" spans="1:15" ht="49.95" customHeight="1">
      <c r="A277" s="52" t="s">
        <v>24</v>
      </c>
      <c r="B277" s="52" t="s">
        <v>555</v>
      </c>
      <c r="C277" s="52" t="s">
        <v>557</v>
      </c>
      <c r="D277" s="52" t="s">
        <v>557</v>
      </c>
      <c r="E277" s="54" t="str">
        <f>"     "&amp;E276</f>
        <v xml:space="preserve">     Protector Radiador Cubre Cubierta Kawasaki Z400 Z 400 Logo</v>
      </c>
      <c r="F277" s="52" t="s">
        <v>445</v>
      </c>
      <c r="G277" s="53">
        <v>2</v>
      </c>
      <c r="H277" s="52" t="s">
        <v>62</v>
      </c>
      <c r="I277" s="52">
        <f>I276</f>
        <v>14990</v>
      </c>
      <c r="J277" s="52" t="str">
        <f>J276&amp;"     "</f>
        <v xml:space="preserve">$     </v>
      </c>
      <c r="K277" s="52" t="str">
        <f>K276&amp;"     "</f>
        <v xml:space="preserve">Nuevo     </v>
      </c>
      <c r="L277" s="52" t="str">
        <f>L276&amp;"     "</f>
        <v xml:space="preserve">Mercado Envíos a cargo del comprador     </v>
      </c>
      <c r="M277" s="52" t="str">
        <f>M276&amp;"     "</f>
        <v xml:space="preserve">Clásica     </v>
      </c>
      <c r="N277" s="52" t="str">
        <f ca="1">N276</f>
        <v>14%</v>
      </c>
      <c r="O277" s="52" t="str">
        <f>O276&amp;"     "</f>
        <v xml:space="preserve">Activa     </v>
      </c>
    </row>
    <row r="278" spans="1:15" ht="49.95" customHeight="1">
      <c r="A278" s="52" t="s">
        <v>24</v>
      </c>
      <c r="B278" s="52" t="s">
        <v>555</v>
      </c>
      <c r="C278" s="52" t="s">
        <v>558</v>
      </c>
      <c r="D278" s="52" t="s">
        <v>558</v>
      </c>
      <c r="E278" s="54" t="str">
        <f>"     "&amp;E276</f>
        <v xml:space="preserve">     Protector Radiador Cubre Cubierta Kawasaki Z400 Z 400 Logo</v>
      </c>
      <c r="F278" s="52" t="s">
        <v>86</v>
      </c>
      <c r="G278" s="53">
        <v>0</v>
      </c>
      <c r="H278" s="52" t="s">
        <v>62</v>
      </c>
      <c r="I278" s="52">
        <f>I276</f>
        <v>14990</v>
      </c>
      <c r="J278" s="52" t="str">
        <f>J276&amp;"     "</f>
        <v xml:space="preserve">$     </v>
      </c>
      <c r="K278" s="52" t="str">
        <f>K276&amp;"     "</f>
        <v xml:space="preserve">Nuevo     </v>
      </c>
      <c r="L278" s="52" t="str">
        <f>L276&amp;"     "</f>
        <v xml:space="preserve">Mercado Envíos a cargo del comprador     </v>
      </c>
      <c r="M278" s="52" t="str">
        <f>M276&amp;"     "</f>
        <v xml:space="preserve">Clásica     </v>
      </c>
      <c r="N278" s="52" t="str">
        <f ca="1">N276</f>
        <v>14%</v>
      </c>
      <c r="O278" s="52" t="str">
        <f>O276&amp;"     "</f>
        <v xml:space="preserve">Activa     </v>
      </c>
    </row>
    <row r="279" spans="1:15" ht="49.95" customHeight="1">
      <c r="A279" s="52" t="s">
        <v>24</v>
      </c>
      <c r="B279" s="52" t="s">
        <v>559</v>
      </c>
      <c r="C279" s="52"/>
      <c r="D279" s="52"/>
      <c r="E279" s="52" t="s">
        <v>560</v>
      </c>
      <c r="F279" s="52" t="s">
        <v>62</v>
      </c>
      <c r="G279" s="52" t="s">
        <v>104</v>
      </c>
      <c r="H279" s="52" t="s">
        <v>62</v>
      </c>
      <c r="I279" s="53">
        <v>29990</v>
      </c>
      <c r="J279" s="53" t="s">
        <v>63</v>
      </c>
      <c r="K279" s="53" t="s">
        <v>64</v>
      </c>
      <c r="L279" s="53" t="s">
        <v>65</v>
      </c>
      <c r="M279" s="53" t="s">
        <v>66</v>
      </c>
      <c r="N279" s="52" t="str">
        <f ca="1">IF(INDIRECT("M279")="Clásica","14%",IF(INDIRECT("M279")="Premium","18%","-"))</f>
        <v>14%</v>
      </c>
      <c r="O279" s="53" t="s">
        <v>67</v>
      </c>
    </row>
    <row r="280" spans="1:15" ht="49.95" customHeight="1">
      <c r="A280" s="52" t="s">
        <v>24</v>
      </c>
      <c r="B280" s="52" t="s">
        <v>559</v>
      </c>
      <c r="C280" s="52" t="s">
        <v>561</v>
      </c>
      <c r="D280" s="52" t="s">
        <v>561</v>
      </c>
      <c r="E280" s="54" t="str">
        <f>"     "&amp;E279</f>
        <v xml:space="preserve">     Set Adhesivos Sticker Pegatinas Reflectantes Ruedas Mt03</v>
      </c>
      <c r="F280" s="52" t="s">
        <v>97</v>
      </c>
      <c r="G280" s="53">
        <v>2</v>
      </c>
      <c r="H280" s="52" t="s">
        <v>62</v>
      </c>
      <c r="I280" s="52">
        <f>I279</f>
        <v>29990</v>
      </c>
      <c r="J280" s="52" t="str">
        <f>J279&amp;"     "</f>
        <v xml:space="preserve">$     </v>
      </c>
      <c r="K280" s="52" t="str">
        <f>K279&amp;"     "</f>
        <v xml:space="preserve">Nuevo     </v>
      </c>
      <c r="L280" s="52" t="str">
        <f>L279&amp;"     "</f>
        <v xml:space="preserve">Mercado Envíos gratis     </v>
      </c>
      <c r="M280" s="52" t="str">
        <f>M279&amp;"     "</f>
        <v xml:space="preserve">Clásica     </v>
      </c>
      <c r="N280" s="52" t="str">
        <f ca="1">N279</f>
        <v>14%</v>
      </c>
      <c r="O280" s="52" t="str">
        <f>O279&amp;"     "</f>
        <v xml:space="preserve">Activa     </v>
      </c>
    </row>
    <row r="281" spans="1:15" ht="49.95" customHeight="1">
      <c r="A281" s="52" t="s">
        <v>24</v>
      </c>
      <c r="B281" s="52" t="s">
        <v>559</v>
      </c>
      <c r="C281" s="52" t="s">
        <v>562</v>
      </c>
      <c r="D281" s="52" t="s">
        <v>562</v>
      </c>
      <c r="E281" s="54" t="str">
        <f>"     "&amp;E279</f>
        <v xml:space="preserve">     Set Adhesivos Sticker Pegatinas Reflectantes Ruedas Mt03</v>
      </c>
      <c r="F281" s="52" t="s">
        <v>84</v>
      </c>
      <c r="G281" s="53">
        <v>2</v>
      </c>
      <c r="H281" s="52" t="s">
        <v>62</v>
      </c>
      <c r="I281" s="52">
        <f>I279</f>
        <v>29990</v>
      </c>
      <c r="J281" s="52" t="str">
        <f>J279&amp;"     "</f>
        <v xml:space="preserve">$     </v>
      </c>
      <c r="K281" s="52" t="str">
        <f>K279&amp;"     "</f>
        <v xml:space="preserve">Nuevo     </v>
      </c>
      <c r="L281" s="52" t="str">
        <f>L279&amp;"     "</f>
        <v xml:space="preserve">Mercado Envíos gratis     </v>
      </c>
      <c r="M281" s="52" t="str">
        <f>M279&amp;"     "</f>
        <v xml:space="preserve">Clásica     </v>
      </c>
      <c r="N281" s="52" t="str">
        <f ca="1">N279</f>
        <v>14%</v>
      </c>
      <c r="O281" s="52" t="str">
        <f>O279&amp;"     "</f>
        <v xml:space="preserve">Activa     </v>
      </c>
    </row>
    <row r="282" spans="1:15" ht="49.95" customHeight="1">
      <c r="A282" s="52" t="s">
        <v>24</v>
      </c>
      <c r="B282" s="52" t="s">
        <v>559</v>
      </c>
      <c r="C282" s="52" t="s">
        <v>563</v>
      </c>
      <c r="D282" s="52" t="s">
        <v>563</v>
      </c>
      <c r="E282" s="54" t="str">
        <f>"     "&amp;E279</f>
        <v xml:space="preserve">     Set Adhesivos Sticker Pegatinas Reflectantes Ruedas Mt03</v>
      </c>
      <c r="F282" s="52" t="s">
        <v>90</v>
      </c>
      <c r="G282" s="53">
        <v>2</v>
      </c>
      <c r="H282" s="52" t="s">
        <v>62</v>
      </c>
      <c r="I282" s="52">
        <f>I279</f>
        <v>29990</v>
      </c>
      <c r="J282" s="52" t="str">
        <f>J279&amp;"     "</f>
        <v xml:space="preserve">$     </v>
      </c>
      <c r="K282" s="52" t="str">
        <f>K279&amp;"     "</f>
        <v xml:space="preserve">Nuevo     </v>
      </c>
      <c r="L282" s="52" t="str">
        <f>L279&amp;"     "</f>
        <v xml:space="preserve">Mercado Envíos gratis     </v>
      </c>
      <c r="M282" s="52" t="str">
        <f>M279&amp;"     "</f>
        <v xml:space="preserve">Clásica     </v>
      </c>
      <c r="N282" s="52" t="str">
        <f ca="1">N279</f>
        <v>14%</v>
      </c>
      <c r="O282" s="52" t="str">
        <f>O279&amp;"     "</f>
        <v xml:space="preserve">Activa     </v>
      </c>
    </row>
    <row r="283" spans="1:15" ht="49.95" customHeight="1">
      <c r="A283" s="52" t="s">
        <v>24</v>
      </c>
      <c r="B283" s="52" t="s">
        <v>564</v>
      </c>
      <c r="C283" s="52"/>
      <c r="D283" s="52"/>
      <c r="E283" s="52" t="s">
        <v>565</v>
      </c>
      <c r="F283" s="52" t="s">
        <v>62</v>
      </c>
      <c r="G283" s="52" t="s">
        <v>143</v>
      </c>
      <c r="H283" s="52" t="s">
        <v>62</v>
      </c>
      <c r="I283" s="53">
        <v>19490</v>
      </c>
      <c r="J283" s="53" t="s">
        <v>63</v>
      </c>
      <c r="K283" s="53" t="s">
        <v>64</v>
      </c>
      <c r="L283" s="53" t="s">
        <v>71</v>
      </c>
      <c r="M283" s="53" t="s">
        <v>66</v>
      </c>
      <c r="N283" s="52" t="str">
        <f ca="1">IF(INDIRECT("M283")="Clásica","14%",IF(INDIRECT("M283")="Premium","18%","-"))</f>
        <v>14%</v>
      </c>
      <c r="O283" s="53" t="s">
        <v>67</v>
      </c>
    </row>
    <row r="284" spans="1:15" ht="49.95" customHeight="1">
      <c r="A284" s="52" t="s">
        <v>24</v>
      </c>
      <c r="B284" s="52" t="s">
        <v>564</v>
      </c>
      <c r="C284" s="52" t="s">
        <v>566</v>
      </c>
      <c r="D284" s="52" t="s">
        <v>566</v>
      </c>
      <c r="E284" s="54" t="str">
        <f>"     "&amp;E283</f>
        <v xml:space="preserve">     Placa Soporte Extensión Pata Apoyo Yamaha R3 R3a R 3</v>
      </c>
      <c r="F284" s="52" t="s">
        <v>84</v>
      </c>
      <c r="G284" s="53">
        <v>2</v>
      </c>
      <c r="H284" s="52" t="s">
        <v>62</v>
      </c>
      <c r="I284" s="52">
        <f>I283</f>
        <v>19490</v>
      </c>
      <c r="J284" s="52" t="str">
        <f>J283&amp;"     "</f>
        <v xml:space="preserve">$     </v>
      </c>
      <c r="K284" s="52" t="str">
        <f>K283&amp;"     "</f>
        <v xml:space="preserve">Nuevo     </v>
      </c>
      <c r="L284" s="52" t="str">
        <f>L283&amp;"     "</f>
        <v xml:space="preserve">Mercado Envíos a cargo del comprador     </v>
      </c>
      <c r="M284" s="52" t="str">
        <f>M283&amp;"     "</f>
        <v xml:space="preserve">Clásica     </v>
      </c>
      <c r="N284" s="52" t="str">
        <f ca="1">N283</f>
        <v>14%</v>
      </c>
      <c r="O284" s="52" t="str">
        <f>O283&amp;"     "</f>
        <v xml:space="preserve">Activa     </v>
      </c>
    </row>
    <row r="285" spans="1:15" ht="49.95" customHeight="1">
      <c r="A285" s="52" t="s">
        <v>24</v>
      </c>
      <c r="B285" s="52" t="s">
        <v>564</v>
      </c>
      <c r="C285" s="52" t="s">
        <v>567</v>
      </c>
      <c r="D285" s="52" t="s">
        <v>567</v>
      </c>
      <c r="E285" s="54" t="str">
        <f>"     "&amp;E283</f>
        <v xml:space="preserve">     Placa Soporte Extensión Pata Apoyo Yamaha R3 R3a R 3</v>
      </c>
      <c r="F285" s="52" t="s">
        <v>86</v>
      </c>
      <c r="G285" s="53">
        <v>2</v>
      </c>
      <c r="H285" s="52" t="s">
        <v>62</v>
      </c>
      <c r="I285" s="52">
        <f>I283</f>
        <v>19490</v>
      </c>
      <c r="J285" s="52" t="str">
        <f>J283&amp;"     "</f>
        <v xml:space="preserve">$     </v>
      </c>
      <c r="K285" s="52" t="str">
        <f>K283&amp;"     "</f>
        <v xml:space="preserve">Nuevo     </v>
      </c>
      <c r="L285" s="52" t="str">
        <f>L283&amp;"     "</f>
        <v xml:space="preserve">Mercado Envíos a cargo del comprador     </v>
      </c>
      <c r="M285" s="52" t="str">
        <f>M283&amp;"     "</f>
        <v xml:space="preserve">Clásica     </v>
      </c>
      <c r="N285" s="52" t="str">
        <f ca="1">N283</f>
        <v>14%</v>
      </c>
      <c r="O285" s="52" t="str">
        <f>O283&amp;"     "</f>
        <v xml:space="preserve">Activa     </v>
      </c>
    </row>
    <row r="286" spans="1:15" ht="49.95" customHeight="1">
      <c r="A286" s="52" t="s">
        <v>24</v>
      </c>
      <c r="B286" s="52" t="s">
        <v>568</v>
      </c>
      <c r="C286" s="52"/>
      <c r="D286" s="52"/>
      <c r="E286" s="52" t="s">
        <v>569</v>
      </c>
      <c r="F286" s="52" t="s">
        <v>62</v>
      </c>
      <c r="G286" s="52" t="s">
        <v>82</v>
      </c>
      <c r="H286" s="52" t="s">
        <v>62</v>
      </c>
      <c r="I286" s="53">
        <v>34990</v>
      </c>
      <c r="J286" s="53" t="s">
        <v>63</v>
      </c>
      <c r="K286" s="53" t="s">
        <v>64</v>
      </c>
      <c r="L286" s="53" t="s">
        <v>65</v>
      </c>
      <c r="M286" s="53" t="s">
        <v>66</v>
      </c>
      <c r="N286" s="52" t="str">
        <f ca="1">IF(INDIRECT("M286")="Clásica","16%",IF(INDIRECT("M286")="Premium","20%","-"))</f>
        <v>16%</v>
      </c>
      <c r="O286" s="53" t="s">
        <v>67</v>
      </c>
    </row>
    <row r="287" spans="1:15" ht="49.95" customHeight="1">
      <c r="A287" s="52" t="s">
        <v>24</v>
      </c>
      <c r="B287" s="52" t="s">
        <v>568</v>
      </c>
      <c r="C287" s="52" t="s">
        <v>570</v>
      </c>
      <c r="D287" s="52" t="s">
        <v>570</v>
      </c>
      <c r="E287" s="54" t="str">
        <f>"     "&amp;E286</f>
        <v xml:space="preserve">     Adhesivos Sticker Reflectantes Ruedas Yamaha R3 R3a Logo Xl</v>
      </c>
      <c r="F287" s="52" t="s">
        <v>97</v>
      </c>
      <c r="G287" s="53">
        <v>1</v>
      </c>
      <c r="H287" s="52" t="s">
        <v>62</v>
      </c>
      <c r="I287" s="52">
        <f>I286</f>
        <v>34990</v>
      </c>
      <c r="J287" s="52" t="str">
        <f>J286&amp;"     "</f>
        <v xml:space="preserve">$     </v>
      </c>
      <c r="K287" s="52" t="str">
        <f>K286&amp;"     "</f>
        <v xml:space="preserve">Nuevo     </v>
      </c>
      <c r="L287" s="52" t="str">
        <f>L286&amp;"     "</f>
        <v xml:space="preserve">Mercado Envíos gratis     </v>
      </c>
      <c r="M287" s="52" t="str">
        <f>M286&amp;"     "</f>
        <v xml:space="preserve">Clásica     </v>
      </c>
      <c r="N287" s="52" t="str">
        <f ca="1">N286</f>
        <v>16%</v>
      </c>
      <c r="O287" s="52" t="str">
        <f>O286&amp;"     "</f>
        <v xml:space="preserve">Activa     </v>
      </c>
    </row>
    <row r="288" spans="1:15" ht="49.95" customHeight="1">
      <c r="A288" s="52" t="s">
        <v>24</v>
      </c>
      <c r="B288" s="52" t="s">
        <v>568</v>
      </c>
      <c r="C288" s="52" t="s">
        <v>571</v>
      </c>
      <c r="D288" s="52" t="s">
        <v>571</v>
      </c>
      <c r="E288" s="54" t="str">
        <f>"     "&amp;E286</f>
        <v xml:space="preserve">     Adhesivos Sticker Reflectantes Ruedas Yamaha R3 R3a Logo Xl</v>
      </c>
      <c r="F288" s="52" t="s">
        <v>84</v>
      </c>
      <c r="G288" s="53">
        <v>2</v>
      </c>
      <c r="H288" s="52" t="s">
        <v>62</v>
      </c>
      <c r="I288" s="52">
        <f>I286</f>
        <v>34990</v>
      </c>
      <c r="J288" s="52" t="str">
        <f>J286&amp;"     "</f>
        <v xml:space="preserve">$     </v>
      </c>
      <c r="K288" s="52" t="str">
        <f>K286&amp;"     "</f>
        <v xml:space="preserve">Nuevo     </v>
      </c>
      <c r="L288" s="52" t="str">
        <f>L286&amp;"     "</f>
        <v xml:space="preserve">Mercado Envíos gratis     </v>
      </c>
      <c r="M288" s="52" t="str">
        <f>M286&amp;"     "</f>
        <v xml:space="preserve">Clásica     </v>
      </c>
      <c r="N288" s="52" t="str">
        <f ca="1">N286</f>
        <v>16%</v>
      </c>
      <c r="O288" s="52" t="str">
        <f>O286&amp;"     "</f>
        <v xml:space="preserve">Activa     </v>
      </c>
    </row>
    <row r="289" spans="1:15" ht="49.95" customHeight="1">
      <c r="A289" s="52" t="s">
        <v>572</v>
      </c>
      <c r="B289" s="52" t="s">
        <v>573</v>
      </c>
      <c r="C289" s="52" t="s">
        <v>574</v>
      </c>
      <c r="D289" s="52"/>
      <c r="E289" s="52" t="s">
        <v>575</v>
      </c>
      <c r="F289" s="52" t="s">
        <v>575</v>
      </c>
      <c r="G289" s="53">
        <v>2</v>
      </c>
      <c r="H289" s="52" t="s">
        <v>62</v>
      </c>
      <c r="I289" s="53">
        <v>79990</v>
      </c>
      <c r="J289" s="53" t="s">
        <v>63</v>
      </c>
      <c r="K289" s="53" t="s">
        <v>64</v>
      </c>
      <c r="L289" s="53" t="s">
        <v>65</v>
      </c>
      <c r="M289" s="53" t="s">
        <v>66</v>
      </c>
      <c r="N289" s="52" t="str">
        <f ca="1">IF(INDIRECT("M289")="Clásica","14%",IF(INDIRECT("M289")="Premium","18%","-"))</f>
        <v>14%</v>
      </c>
      <c r="O289" s="53" t="s">
        <v>67</v>
      </c>
    </row>
    <row r="290" spans="1:15" ht="49.95" customHeight="1">
      <c r="A290" s="52" t="s">
        <v>576</v>
      </c>
      <c r="B290" s="52" t="s">
        <v>577</v>
      </c>
      <c r="C290" s="52" t="s">
        <v>578</v>
      </c>
      <c r="D290" s="52"/>
      <c r="E290" s="52" t="s">
        <v>579</v>
      </c>
      <c r="F290" s="52" t="s">
        <v>579</v>
      </c>
      <c r="G290" s="53">
        <v>0</v>
      </c>
      <c r="H290" s="52" t="s">
        <v>62</v>
      </c>
      <c r="I290" s="53">
        <v>29990</v>
      </c>
      <c r="J290" s="53" t="s">
        <v>63</v>
      </c>
      <c r="K290" s="53" t="s">
        <v>64</v>
      </c>
      <c r="L290" s="53" t="s">
        <v>65</v>
      </c>
      <c r="M290" s="53" t="s">
        <v>66</v>
      </c>
      <c r="N290" s="52" t="str">
        <f ca="1">IF(INDIRECT("M290")="Clásica","15%",IF(INDIRECT("M290")="Premium","19%","-"))</f>
        <v>15%</v>
      </c>
      <c r="O290" s="53" t="s">
        <v>67</v>
      </c>
    </row>
    <row r="291" spans="1:15" ht="49.95" customHeight="1">
      <c r="A291" s="52" t="s">
        <v>580</v>
      </c>
      <c r="B291" s="52" t="s">
        <v>581</v>
      </c>
      <c r="C291" s="52" t="s">
        <v>582</v>
      </c>
      <c r="D291" s="52"/>
      <c r="E291" s="52" t="s">
        <v>583</v>
      </c>
      <c r="F291" s="52" t="s">
        <v>583</v>
      </c>
      <c r="G291" s="53">
        <v>6</v>
      </c>
      <c r="H291" s="52" t="s">
        <v>62</v>
      </c>
      <c r="I291" s="53">
        <v>19980</v>
      </c>
      <c r="J291" s="53" t="s">
        <v>63</v>
      </c>
      <c r="K291" s="53" t="s">
        <v>64</v>
      </c>
      <c r="L291" s="53" t="s">
        <v>71</v>
      </c>
      <c r="M291" s="53" t="s">
        <v>66</v>
      </c>
      <c r="N291" s="52" t="str">
        <f ca="1">IF(INDIRECT("M291")="Clásica","15%",IF(INDIRECT("M291")="Premium","19%","-"))</f>
        <v>15%</v>
      </c>
      <c r="O291" s="53" t="s">
        <v>67</v>
      </c>
    </row>
    <row r="292" spans="1:15" ht="49.95" customHeight="1">
      <c r="A292" s="52" t="s">
        <v>584</v>
      </c>
      <c r="B292" s="52" t="s">
        <v>585</v>
      </c>
      <c r="C292" s="52" t="s">
        <v>586</v>
      </c>
      <c r="D292" s="52"/>
      <c r="E292" s="52" t="s">
        <v>587</v>
      </c>
      <c r="F292" s="52" t="s">
        <v>587</v>
      </c>
      <c r="G292" s="53">
        <v>2</v>
      </c>
      <c r="H292" s="52" t="s">
        <v>62</v>
      </c>
      <c r="I292" s="53">
        <v>42990</v>
      </c>
      <c r="J292" s="53" t="s">
        <v>63</v>
      </c>
      <c r="K292" s="53" t="s">
        <v>64</v>
      </c>
      <c r="L292" s="53" t="s">
        <v>65</v>
      </c>
      <c r="M292" s="53" t="s">
        <v>66</v>
      </c>
      <c r="N292" s="52" t="str">
        <f ca="1">IF(INDIRECT("M292")="Clásica","14%",IF(INDIRECT("M292")="Premium","18%","-"))</f>
        <v>14%</v>
      </c>
      <c r="O292" s="53" t="s">
        <v>67</v>
      </c>
    </row>
    <row r="293" spans="1:15" ht="49.95" customHeight="1">
      <c r="A293" s="52" t="s">
        <v>588</v>
      </c>
      <c r="B293" s="52" t="s">
        <v>589</v>
      </c>
      <c r="C293" s="52" t="s">
        <v>590</v>
      </c>
      <c r="D293" s="52"/>
      <c r="E293" s="52" t="s">
        <v>591</v>
      </c>
      <c r="F293" s="52" t="s">
        <v>591</v>
      </c>
      <c r="G293" s="53">
        <v>2</v>
      </c>
      <c r="H293" s="52" t="s">
        <v>62</v>
      </c>
      <c r="I293" s="53">
        <v>226990</v>
      </c>
      <c r="J293" s="53" t="s">
        <v>63</v>
      </c>
      <c r="K293" s="53" t="s">
        <v>64</v>
      </c>
      <c r="L293" s="53" t="s">
        <v>65</v>
      </c>
      <c r="M293" s="53" t="s">
        <v>66</v>
      </c>
      <c r="N293" s="52" t="str">
        <f ca="1">IF(INDIRECT("M293")="Clásica","15%",IF(INDIRECT("M293")="Premium","19%","-"))</f>
        <v>15%</v>
      </c>
      <c r="O293" s="53" t="s">
        <v>67</v>
      </c>
    </row>
    <row r="294" spans="1:15" ht="49.95" customHeight="1">
      <c r="A294" s="52" t="s">
        <v>592</v>
      </c>
      <c r="B294" s="52" t="s">
        <v>593</v>
      </c>
      <c r="C294" s="52" t="s">
        <v>594</v>
      </c>
      <c r="D294" s="52"/>
      <c r="E294" s="52" t="s">
        <v>595</v>
      </c>
      <c r="F294" s="52" t="s">
        <v>595</v>
      </c>
      <c r="G294" s="53">
        <v>1</v>
      </c>
      <c r="H294" s="52" t="s">
        <v>62</v>
      </c>
      <c r="I294" s="53">
        <v>29990</v>
      </c>
      <c r="J294" s="53" t="s">
        <v>63</v>
      </c>
      <c r="K294" s="53" t="s">
        <v>64</v>
      </c>
      <c r="L294" s="53" t="s">
        <v>65</v>
      </c>
      <c r="M294" s="53" t="s">
        <v>66</v>
      </c>
      <c r="N294" s="52" t="str">
        <f ca="1">IF(INDIRECT("M294")="Clásica","14%",IF(INDIRECT("M294")="Premium","18%","-"))</f>
        <v>14%</v>
      </c>
      <c r="O294" s="53" t="s">
        <v>67</v>
      </c>
    </row>
    <row r="295" spans="1:15" ht="49.95" customHeight="1">
      <c r="A295" s="52" t="s">
        <v>596</v>
      </c>
      <c r="B295" s="52" t="s">
        <v>597</v>
      </c>
      <c r="C295" s="52" t="s">
        <v>598</v>
      </c>
      <c r="D295" s="52"/>
      <c r="E295" s="52" t="s">
        <v>599</v>
      </c>
      <c r="F295" s="52" t="s">
        <v>599</v>
      </c>
      <c r="G295" s="53">
        <v>2</v>
      </c>
      <c r="H295" s="52" t="s">
        <v>62</v>
      </c>
      <c r="I295" s="53">
        <v>59990</v>
      </c>
      <c r="J295" s="53" t="s">
        <v>63</v>
      </c>
      <c r="K295" s="53" t="s">
        <v>64</v>
      </c>
      <c r="L295" s="53" t="s">
        <v>65</v>
      </c>
      <c r="M295" s="53" t="s">
        <v>66</v>
      </c>
      <c r="N295" s="52" t="str">
        <f ca="1">IF(INDIRECT("M295")="Clásica","14%",IF(INDIRECT("M295")="Premium","18%","-"))</f>
        <v>14%</v>
      </c>
      <c r="O295" s="53" t="s">
        <v>67</v>
      </c>
    </row>
    <row r="296" spans="1:15" ht="49.95" customHeight="1">
      <c r="A296" s="52" t="s">
        <v>600</v>
      </c>
      <c r="B296" s="52" t="s">
        <v>601</v>
      </c>
      <c r="C296" s="52" t="s">
        <v>602</v>
      </c>
      <c r="D296" s="52"/>
      <c r="E296" s="52" t="s">
        <v>603</v>
      </c>
      <c r="F296" s="52" t="s">
        <v>603</v>
      </c>
      <c r="G296" s="53">
        <v>2</v>
      </c>
      <c r="H296" s="52" t="s">
        <v>62</v>
      </c>
      <c r="I296" s="53">
        <v>54990</v>
      </c>
      <c r="J296" s="53" t="s">
        <v>63</v>
      </c>
      <c r="K296" s="53" t="s">
        <v>64</v>
      </c>
      <c r="L296" s="53" t="s">
        <v>65</v>
      </c>
      <c r="M296" s="53" t="s">
        <v>66</v>
      </c>
      <c r="N296" s="52" t="str">
        <f ca="1">IF(INDIRECT("M296")="Clásica","15%",IF(INDIRECT("M296")="Premium","19%","-"))</f>
        <v>15%</v>
      </c>
      <c r="O296" s="53" t="s">
        <v>67</v>
      </c>
    </row>
    <row r="297" spans="1:15" ht="49.95" customHeight="1">
      <c r="A297" s="52" t="s">
        <v>604</v>
      </c>
      <c r="B297" s="52" t="s">
        <v>605</v>
      </c>
      <c r="C297" s="52" t="s">
        <v>606</v>
      </c>
      <c r="D297" s="52"/>
      <c r="E297" s="52" t="s">
        <v>607</v>
      </c>
      <c r="F297" s="52" t="s">
        <v>607</v>
      </c>
      <c r="G297" s="53">
        <v>2</v>
      </c>
      <c r="H297" s="52" t="s">
        <v>62</v>
      </c>
      <c r="I297" s="53">
        <v>34990</v>
      </c>
      <c r="J297" s="53" t="s">
        <v>63</v>
      </c>
      <c r="K297" s="53" t="s">
        <v>64</v>
      </c>
      <c r="L297" s="53" t="s">
        <v>65</v>
      </c>
      <c r="M297" s="53" t="s">
        <v>66</v>
      </c>
      <c r="N297" s="52" t="str">
        <f ca="1">IF(INDIRECT("M297")="Clásica","14%",IF(INDIRECT("M297")="Premium","18%","-"))</f>
        <v>14%</v>
      </c>
      <c r="O297" s="53" t="s">
        <v>67</v>
      </c>
    </row>
    <row r="298" spans="1:15" ht="49.95" customHeight="1">
      <c r="A298" s="52" t="s">
        <v>24</v>
      </c>
      <c r="B298" s="52" t="s">
        <v>608</v>
      </c>
      <c r="C298" s="52"/>
      <c r="D298" s="52"/>
      <c r="E298" s="52" t="s">
        <v>609</v>
      </c>
      <c r="F298" s="52" t="s">
        <v>62</v>
      </c>
      <c r="G298" s="52" t="s">
        <v>164</v>
      </c>
      <c r="H298" s="52" t="s">
        <v>62</v>
      </c>
      <c r="I298" s="53">
        <v>59990</v>
      </c>
      <c r="J298" s="53" t="s">
        <v>63</v>
      </c>
      <c r="K298" s="53" t="s">
        <v>64</v>
      </c>
      <c r="L298" s="53" t="s">
        <v>65</v>
      </c>
      <c r="M298" s="53" t="s">
        <v>66</v>
      </c>
      <c r="N298" s="52" t="str">
        <f ca="1">IF(INDIRECT("M298")="Clásica","14%",IF(INDIRECT("M298")="Premium","18%","-"))</f>
        <v>14%</v>
      </c>
      <c r="O298" s="53" t="s">
        <v>67</v>
      </c>
    </row>
    <row r="299" spans="1:15" ht="49.95" customHeight="1">
      <c r="A299" s="52" t="s">
        <v>24</v>
      </c>
      <c r="B299" s="52" t="s">
        <v>608</v>
      </c>
      <c r="C299" s="52" t="s">
        <v>610</v>
      </c>
      <c r="D299" s="52" t="s">
        <v>610</v>
      </c>
      <c r="E299" s="54" t="str">
        <f>"     "&amp;E298</f>
        <v xml:space="preserve">     Manillas Palancas Yamaha R15 R 15 V4 Logo</v>
      </c>
      <c r="F299" s="52" t="s">
        <v>90</v>
      </c>
      <c r="G299" s="53">
        <v>1</v>
      </c>
      <c r="H299" s="52" t="s">
        <v>62</v>
      </c>
      <c r="I299" s="52">
        <f>I298</f>
        <v>59990</v>
      </c>
      <c r="J299" s="52" t="str">
        <f>J298&amp;"     "</f>
        <v xml:space="preserve">$     </v>
      </c>
      <c r="K299" s="52" t="str">
        <f>K298&amp;"     "</f>
        <v xml:space="preserve">Nuevo     </v>
      </c>
      <c r="L299" s="52" t="str">
        <f>L298&amp;"     "</f>
        <v xml:space="preserve">Mercado Envíos gratis     </v>
      </c>
      <c r="M299" s="52" t="str">
        <f>M298&amp;"     "</f>
        <v xml:space="preserve">Clásica     </v>
      </c>
      <c r="N299" s="52" t="str">
        <f ca="1">N298</f>
        <v>14%</v>
      </c>
      <c r="O299" s="52" t="str">
        <f>O298&amp;"     "</f>
        <v xml:space="preserve">Activa     </v>
      </c>
    </row>
    <row r="300" spans="1:15" ht="49.95" customHeight="1">
      <c r="A300" s="52" t="s">
        <v>24</v>
      </c>
      <c r="B300" s="52" t="s">
        <v>608</v>
      </c>
      <c r="C300" s="52" t="s">
        <v>611</v>
      </c>
      <c r="D300" s="52" t="s">
        <v>611</v>
      </c>
      <c r="E300" s="54" t="str">
        <f>"     "&amp;E298</f>
        <v xml:space="preserve">     Manillas Palancas Yamaha R15 R 15 V4 Logo</v>
      </c>
      <c r="F300" s="52" t="s">
        <v>84</v>
      </c>
      <c r="G300" s="53">
        <v>0</v>
      </c>
      <c r="H300" s="52" t="s">
        <v>62</v>
      </c>
      <c r="I300" s="52">
        <f>I298</f>
        <v>59990</v>
      </c>
      <c r="J300" s="52" t="str">
        <f>J298&amp;"     "</f>
        <v xml:space="preserve">$     </v>
      </c>
      <c r="K300" s="52" t="str">
        <f>K298&amp;"     "</f>
        <v xml:space="preserve">Nuevo     </v>
      </c>
      <c r="L300" s="52" t="str">
        <f>L298&amp;"     "</f>
        <v xml:space="preserve">Mercado Envíos gratis     </v>
      </c>
      <c r="M300" s="52" t="str">
        <f>M298&amp;"     "</f>
        <v xml:space="preserve">Clásica     </v>
      </c>
      <c r="N300" s="52" t="str">
        <f ca="1">N298</f>
        <v>14%</v>
      </c>
      <c r="O300" s="52" t="str">
        <f>O298&amp;"     "</f>
        <v xml:space="preserve">Activa     </v>
      </c>
    </row>
    <row r="301" spans="1:15" ht="49.95" customHeight="1">
      <c r="A301" s="52" t="s">
        <v>24</v>
      </c>
      <c r="B301" s="52" t="s">
        <v>608</v>
      </c>
      <c r="C301" s="52" t="s">
        <v>612</v>
      </c>
      <c r="D301" s="52" t="s">
        <v>612</v>
      </c>
      <c r="E301" s="54" t="str">
        <f>"     "&amp;E298</f>
        <v xml:space="preserve">     Manillas Palancas Yamaha R15 R 15 V4 Logo</v>
      </c>
      <c r="F301" s="52" t="s">
        <v>86</v>
      </c>
      <c r="G301" s="53">
        <v>0</v>
      </c>
      <c r="H301" s="52" t="s">
        <v>62</v>
      </c>
      <c r="I301" s="52">
        <f>I298</f>
        <v>59990</v>
      </c>
      <c r="J301" s="52" t="str">
        <f>J298&amp;"     "</f>
        <v xml:space="preserve">$     </v>
      </c>
      <c r="K301" s="52" t="str">
        <f>K298&amp;"     "</f>
        <v xml:space="preserve">Nuevo     </v>
      </c>
      <c r="L301" s="52" t="str">
        <f>L298&amp;"     "</f>
        <v xml:space="preserve">Mercado Envíos gratis     </v>
      </c>
      <c r="M301" s="52" t="str">
        <f>M298&amp;"     "</f>
        <v xml:space="preserve">Clásica     </v>
      </c>
      <c r="N301" s="52" t="str">
        <f ca="1">N298</f>
        <v>14%</v>
      </c>
      <c r="O301" s="52" t="str">
        <f>O298&amp;"     "</f>
        <v xml:space="preserve">Activa     </v>
      </c>
    </row>
    <row r="302" spans="1:15" ht="49.95" customHeight="1">
      <c r="A302" s="52" t="s">
        <v>613</v>
      </c>
      <c r="B302" s="52" t="s">
        <v>614</v>
      </c>
      <c r="C302" s="52" t="s">
        <v>615</v>
      </c>
      <c r="D302" s="52"/>
      <c r="E302" s="52" t="s">
        <v>616</v>
      </c>
      <c r="F302" s="52" t="s">
        <v>62</v>
      </c>
      <c r="G302" s="53">
        <v>1</v>
      </c>
      <c r="H302" s="52" t="s">
        <v>62</v>
      </c>
      <c r="I302" s="53">
        <v>59990</v>
      </c>
      <c r="J302" s="53" t="s">
        <v>63</v>
      </c>
      <c r="K302" s="52" t="s">
        <v>64</v>
      </c>
      <c r="L302" s="53" t="s">
        <v>65</v>
      </c>
      <c r="M302" s="53" t="s">
        <v>66</v>
      </c>
      <c r="N302" s="52" t="str">
        <f ca="1">IF(INDIRECT("M302")="Clásica","12%",IF(INDIRECT("M302")="Premium","16%","-"))</f>
        <v>12%</v>
      </c>
      <c r="O302" s="53" t="s">
        <v>67</v>
      </c>
    </row>
    <row r="303" spans="1:15" ht="49.95" customHeight="1">
      <c r="A303" s="52" t="s">
        <v>24</v>
      </c>
      <c r="B303" s="52" t="s">
        <v>617</v>
      </c>
      <c r="C303" s="52"/>
      <c r="D303" s="52"/>
      <c r="E303" s="52" t="s">
        <v>618</v>
      </c>
      <c r="F303" s="52" t="s">
        <v>62</v>
      </c>
      <c r="G303" s="52" t="s">
        <v>164</v>
      </c>
      <c r="H303" s="52" t="s">
        <v>62</v>
      </c>
      <c r="I303" s="53">
        <v>54990</v>
      </c>
      <c r="J303" s="53" t="s">
        <v>63</v>
      </c>
      <c r="K303" s="53" t="s">
        <v>64</v>
      </c>
      <c r="L303" s="53" t="s">
        <v>65</v>
      </c>
      <c r="M303" s="53" t="s">
        <v>66</v>
      </c>
      <c r="N303" s="52" t="str">
        <f ca="1">IF(INDIRECT("M303")="Clásica","14%",IF(INDIRECT("M303")="Premium","18%","-"))</f>
        <v>14%</v>
      </c>
      <c r="O303" s="53" t="s">
        <v>67</v>
      </c>
    </row>
    <row r="304" spans="1:15" ht="49.95" customHeight="1">
      <c r="A304" s="52" t="s">
        <v>24</v>
      </c>
      <c r="B304" s="52" t="s">
        <v>617</v>
      </c>
      <c r="C304" s="52" t="s">
        <v>619</v>
      </c>
      <c r="D304" s="52" t="s">
        <v>619</v>
      </c>
      <c r="E304" s="54" t="str">
        <f>"     "&amp;E303</f>
        <v xml:space="preserve">     Protector Cubre Radiador + Entrada Aire Yamaha Mt03a Mt 03 A</v>
      </c>
      <c r="F304" s="52" t="s">
        <v>84</v>
      </c>
      <c r="G304" s="53">
        <v>1</v>
      </c>
      <c r="H304" s="52" t="s">
        <v>62</v>
      </c>
      <c r="I304" s="52">
        <f>I303</f>
        <v>54990</v>
      </c>
      <c r="J304" s="52" t="str">
        <f>J303&amp;"     "</f>
        <v xml:space="preserve">$     </v>
      </c>
      <c r="K304" s="52" t="str">
        <f>K303&amp;"     "</f>
        <v xml:space="preserve">Nuevo     </v>
      </c>
      <c r="L304" s="52" t="str">
        <f>L303&amp;"     "</f>
        <v xml:space="preserve">Mercado Envíos gratis     </v>
      </c>
      <c r="M304" s="52" t="str">
        <f>M303&amp;"     "</f>
        <v xml:space="preserve">Clásica     </v>
      </c>
      <c r="N304" s="52" t="str">
        <f ca="1">N303</f>
        <v>14%</v>
      </c>
      <c r="O304" s="52" t="str">
        <f>O303&amp;"     "</f>
        <v xml:space="preserve">Activa     </v>
      </c>
    </row>
    <row r="305" spans="1:15" ht="49.95" customHeight="1">
      <c r="A305" s="52" t="s">
        <v>24</v>
      </c>
      <c r="B305" s="52" t="s">
        <v>617</v>
      </c>
      <c r="C305" s="52" t="s">
        <v>620</v>
      </c>
      <c r="D305" s="52" t="s">
        <v>620</v>
      </c>
      <c r="E305" s="54" t="str">
        <f>"     "&amp;E303</f>
        <v xml:space="preserve">     Protector Cubre Radiador + Entrada Aire Yamaha Mt03a Mt 03 A</v>
      </c>
      <c r="F305" s="52" t="s">
        <v>86</v>
      </c>
      <c r="G305" s="53">
        <v>0</v>
      </c>
      <c r="H305" s="52" t="s">
        <v>62</v>
      </c>
      <c r="I305" s="52">
        <f>I303</f>
        <v>54990</v>
      </c>
      <c r="J305" s="52" t="str">
        <f>J303&amp;"     "</f>
        <v xml:space="preserve">$     </v>
      </c>
      <c r="K305" s="52" t="str">
        <f>K303&amp;"     "</f>
        <v xml:space="preserve">Nuevo     </v>
      </c>
      <c r="L305" s="52" t="str">
        <f>L303&amp;"     "</f>
        <v xml:space="preserve">Mercado Envíos gratis     </v>
      </c>
      <c r="M305" s="52" t="str">
        <f>M303&amp;"     "</f>
        <v xml:space="preserve">Clásica     </v>
      </c>
      <c r="N305" s="52" t="str">
        <f ca="1">N303</f>
        <v>14%</v>
      </c>
      <c r="O305" s="52" t="str">
        <f>O303&amp;"     "</f>
        <v xml:space="preserve">Activa     </v>
      </c>
    </row>
    <row r="306" spans="1:15" ht="49.95" customHeight="1">
      <c r="A306" s="52" t="s">
        <v>24</v>
      </c>
      <c r="B306" s="52" t="s">
        <v>617</v>
      </c>
      <c r="C306" s="52" t="s">
        <v>621</v>
      </c>
      <c r="D306" s="52" t="s">
        <v>621</v>
      </c>
      <c r="E306" s="54" t="str">
        <f>"     "&amp;E303</f>
        <v xml:space="preserve">     Protector Cubre Radiador + Entrada Aire Yamaha Mt03a Mt 03 A</v>
      </c>
      <c r="F306" s="52" t="s">
        <v>90</v>
      </c>
      <c r="G306" s="53">
        <v>0</v>
      </c>
      <c r="H306" s="52" t="s">
        <v>62</v>
      </c>
      <c r="I306" s="52">
        <f>I303</f>
        <v>54990</v>
      </c>
      <c r="J306" s="52" t="str">
        <f>J303&amp;"     "</f>
        <v xml:space="preserve">$     </v>
      </c>
      <c r="K306" s="52" t="str">
        <f>K303&amp;"     "</f>
        <v xml:space="preserve">Nuevo     </v>
      </c>
      <c r="L306" s="52" t="str">
        <f>L303&amp;"     "</f>
        <v xml:space="preserve">Mercado Envíos gratis     </v>
      </c>
      <c r="M306" s="52" t="str">
        <f>M303&amp;"     "</f>
        <v xml:space="preserve">Clásica     </v>
      </c>
      <c r="N306" s="52" t="str">
        <f ca="1">N303</f>
        <v>14%</v>
      </c>
      <c r="O306" s="52" t="str">
        <f>O303&amp;"     "</f>
        <v xml:space="preserve">Activa     </v>
      </c>
    </row>
    <row r="307" spans="1:15" ht="49.95" customHeight="1">
      <c r="A307" s="52" t="s">
        <v>24</v>
      </c>
      <c r="B307" s="52" t="s">
        <v>622</v>
      </c>
      <c r="C307" s="52"/>
      <c r="D307" s="52"/>
      <c r="E307" s="52" t="s">
        <v>623</v>
      </c>
      <c r="F307" s="52" t="s">
        <v>62</v>
      </c>
      <c r="G307" s="52" t="s">
        <v>104</v>
      </c>
      <c r="H307" s="52" t="s">
        <v>62</v>
      </c>
      <c r="I307" s="53">
        <v>34990</v>
      </c>
      <c r="J307" s="53" t="s">
        <v>63</v>
      </c>
      <c r="K307" s="53" t="s">
        <v>64</v>
      </c>
      <c r="L307" s="53" t="s">
        <v>65</v>
      </c>
      <c r="M307" s="53" t="s">
        <v>66</v>
      </c>
      <c r="N307" s="52" t="str">
        <f ca="1">IF(INDIRECT("M307")="Clásica","14%",IF(INDIRECT("M307")="Premium","18%","-"))</f>
        <v>14%</v>
      </c>
      <c r="O307" s="53" t="s">
        <v>67</v>
      </c>
    </row>
    <row r="308" spans="1:15" ht="49.95" customHeight="1">
      <c r="A308" s="52" t="s">
        <v>24</v>
      </c>
      <c r="B308" s="52" t="s">
        <v>622</v>
      </c>
      <c r="C308" s="52" t="s">
        <v>624</v>
      </c>
      <c r="D308" s="52" t="s">
        <v>624</v>
      </c>
      <c r="E308" s="54" t="str">
        <f>"     "&amp;E307</f>
        <v xml:space="preserve">     Protector Radiador Cubierta Yamaha Mt 07 Mt07 Fz07 Logo V2</v>
      </c>
      <c r="F308" s="52" t="s">
        <v>86</v>
      </c>
      <c r="G308" s="53">
        <v>2</v>
      </c>
      <c r="H308" s="52" t="s">
        <v>62</v>
      </c>
      <c r="I308" s="52">
        <f>I307</f>
        <v>34990</v>
      </c>
      <c r="J308" s="52" t="str">
        <f>J307&amp;"     "</f>
        <v xml:space="preserve">$     </v>
      </c>
      <c r="K308" s="52" t="str">
        <f>K307&amp;"     "</f>
        <v xml:space="preserve">Nuevo     </v>
      </c>
      <c r="L308" s="52" t="str">
        <f>L307&amp;"     "</f>
        <v xml:space="preserve">Mercado Envíos gratis     </v>
      </c>
      <c r="M308" s="52" t="str">
        <f>M307&amp;"     "</f>
        <v xml:space="preserve">Clásica     </v>
      </c>
      <c r="N308" s="52" t="str">
        <f ca="1">N307</f>
        <v>14%</v>
      </c>
      <c r="O308" s="52" t="str">
        <f>O307&amp;"     "</f>
        <v xml:space="preserve">Activa     </v>
      </c>
    </row>
    <row r="309" spans="1:15" ht="49.95" customHeight="1">
      <c r="A309" s="52" t="s">
        <v>24</v>
      </c>
      <c r="B309" s="52" t="s">
        <v>622</v>
      </c>
      <c r="C309" s="52" t="s">
        <v>625</v>
      </c>
      <c r="D309" s="52" t="s">
        <v>625</v>
      </c>
      <c r="E309" s="54" t="str">
        <f>"     "&amp;E307</f>
        <v xml:space="preserve">     Protector Radiador Cubierta Yamaha Mt 07 Mt07 Fz07 Logo V2</v>
      </c>
      <c r="F309" s="52" t="s">
        <v>84</v>
      </c>
      <c r="G309" s="53">
        <v>2</v>
      </c>
      <c r="H309" s="52" t="s">
        <v>62</v>
      </c>
      <c r="I309" s="52">
        <f>I307</f>
        <v>34990</v>
      </c>
      <c r="J309" s="52" t="str">
        <f>J307&amp;"     "</f>
        <v xml:space="preserve">$     </v>
      </c>
      <c r="K309" s="52" t="str">
        <f>K307&amp;"     "</f>
        <v xml:space="preserve">Nuevo     </v>
      </c>
      <c r="L309" s="52" t="str">
        <f>L307&amp;"     "</f>
        <v xml:space="preserve">Mercado Envíos gratis     </v>
      </c>
      <c r="M309" s="52" t="str">
        <f>M307&amp;"     "</f>
        <v xml:space="preserve">Clásica     </v>
      </c>
      <c r="N309" s="52" t="str">
        <f ca="1">N307</f>
        <v>14%</v>
      </c>
      <c r="O309" s="52" t="str">
        <f>O307&amp;"     "</f>
        <v xml:space="preserve">Activa     </v>
      </c>
    </row>
    <row r="310" spans="1:15" ht="49.95" customHeight="1">
      <c r="A310" s="52" t="s">
        <v>24</v>
      </c>
      <c r="B310" s="52" t="s">
        <v>622</v>
      </c>
      <c r="C310" s="52" t="s">
        <v>626</v>
      </c>
      <c r="D310" s="52" t="s">
        <v>626</v>
      </c>
      <c r="E310" s="54" t="str">
        <f>"     "&amp;E307</f>
        <v xml:space="preserve">     Protector Radiador Cubierta Yamaha Mt 07 Mt07 Fz07 Logo V2</v>
      </c>
      <c r="F310" s="52" t="s">
        <v>90</v>
      </c>
      <c r="G310" s="53">
        <v>2</v>
      </c>
      <c r="H310" s="52" t="s">
        <v>62</v>
      </c>
      <c r="I310" s="52">
        <f>I307</f>
        <v>34990</v>
      </c>
      <c r="J310" s="52" t="str">
        <f>J307&amp;"     "</f>
        <v xml:space="preserve">$     </v>
      </c>
      <c r="K310" s="52" t="str">
        <f>K307&amp;"     "</f>
        <v xml:space="preserve">Nuevo     </v>
      </c>
      <c r="L310" s="52" t="str">
        <f>L307&amp;"     "</f>
        <v xml:space="preserve">Mercado Envíos gratis     </v>
      </c>
      <c r="M310" s="52" t="str">
        <f>M307&amp;"     "</f>
        <v xml:space="preserve">Clásica     </v>
      </c>
      <c r="N310" s="52" t="str">
        <f ca="1">N307</f>
        <v>14%</v>
      </c>
      <c r="O310" s="52" t="str">
        <f>O307&amp;"     "</f>
        <v xml:space="preserve">Activa     </v>
      </c>
    </row>
    <row r="311" spans="1:15" ht="49.95" customHeight="1">
      <c r="A311" s="52" t="s">
        <v>627</v>
      </c>
      <c r="B311" s="52" t="s">
        <v>628</v>
      </c>
      <c r="C311" s="52" t="s">
        <v>629</v>
      </c>
      <c r="D311" s="52"/>
      <c r="E311" s="52" t="s">
        <v>630</v>
      </c>
      <c r="F311" s="52" t="s">
        <v>630</v>
      </c>
      <c r="G311" s="53">
        <v>2</v>
      </c>
      <c r="H311" s="52" t="s">
        <v>62</v>
      </c>
      <c r="I311" s="53">
        <v>16990</v>
      </c>
      <c r="J311" s="53" t="s">
        <v>63</v>
      </c>
      <c r="K311" s="53" t="s">
        <v>64</v>
      </c>
      <c r="L311" s="53" t="s">
        <v>71</v>
      </c>
      <c r="M311" s="53" t="s">
        <v>66</v>
      </c>
      <c r="N311" s="52" t="str">
        <f ca="1">IF(INDIRECT("M311")="Clásica","14%",IF(INDIRECT("M311")="Premium","18%","-"))</f>
        <v>14%</v>
      </c>
      <c r="O311" s="53" t="s">
        <v>67</v>
      </c>
    </row>
    <row r="312" spans="1:15" ht="49.95" customHeight="1">
      <c r="A312" s="52" t="s">
        <v>24</v>
      </c>
      <c r="B312" s="52" t="s">
        <v>631</v>
      </c>
      <c r="C312" s="52"/>
      <c r="D312" s="52"/>
      <c r="E312" s="52" t="s">
        <v>632</v>
      </c>
      <c r="F312" s="52" t="s">
        <v>62</v>
      </c>
      <c r="G312" s="52" t="s">
        <v>112</v>
      </c>
      <c r="H312" s="52" t="s">
        <v>62</v>
      </c>
      <c r="I312" s="53">
        <v>34990</v>
      </c>
      <c r="J312" s="53" t="s">
        <v>63</v>
      </c>
      <c r="K312" s="53" t="s">
        <v>64</v>
      </c>
      <c r="L312" s="53" t="s">
        <v>65</v>
      </c>
      <c r="M312" s="53" t="s">
        <v>66</v>
      </c>
      <c r="N312" s="52" t="str">
        <f ca="1">IF(INDIRECT("M312")="Clásica","14%",IF(INDIRECT("M312")="Premium","18%","-"))</f>
        <v>14%</v>
      </c>
      <c r="O312" s="53" t="s">
        <v>67</v>
      </c>
    </row>
    <row r="313" spans="1:15" ht="49.95" customHeight="1">
      <c r="A313" s="52" t="s">
        <v>24</v>
      </c>
      <c r="B313" s="52" t="s">
        <v>631</v>
      </c>
      <c r="C313" s="52" t="s">
        <v>633</v>
      </c>
      <c r="D313" s="52" t="s">
        <v>633</v>
      </c>
      <c r="E313" s="54" t="str">
        <f>"     "&amp;E312</f>
        <v xml:space="preserve">     Manillas Palancas Honda Cb190r Cb500x F (hasta 2021) S/logo</v>
      </c>
      <c r="F313" s="52" t="s">
        <v>86</v>
      </c>
      <c r="G313" s="53">
        <v>2</v>
      </c>
      <c r="H313" s="52" t="s">
        <v>62</v>
      </c>
      <c r="I313" s="52">
        <f>I312</f>
        <v>34990</v>
      </c>
      <c r="J313" s="52" t="str">
        <f>J312&amp;"     "</f>
        <v xml:space="preserve">$     </v>
      </c>
      <c r="K313" s="52" t="str">
        <f>K312&amp;"     "</f>
        <v xml:space="preserve">Nuevo     </v>
      </c>
      <c r="L313" s="52" t="str">
        <f>L312&amp;"     "</f>
        <v xml:space="preserve">Mercado Envíos gratis     </v>
      </c>
      <c r="M313" s="52" t="str">
        <f>M312&amp;"     "</f>
        <v xml:space="preserve">Clásica     </v>
      </c>
      <c r="N313" s="52" t="str">
        <f ca="1">N312</f>
        <v>14%</v>
      </c>
      <c r="O313" s="52" t="str">
        <f>O312&amp;"     "</f>
        <v xml:space="preserve">Activa     </v>
      </c>
    </row>
    <row r="314" spans="1:15" ht="49.95" customHeight="1">
      <c r="A314" s="52" t="s">
        <v>24</v>
      </c>
      <c r="B314" s="52" t="s">
        <v>631</v>
      </c>
      <c r="C314" s="52" t="s">
        <v>634</v>
      </c>
      <c r="D314" s="52" t="s">
        <v>634</v>
      </c>
      <c r="E314" s="54" t="str">
        <f>"     "&amp;E312</f>
        <v xml:space="preserve">     Manillas Palancas Honda Cb190r Cb500x F (hasta 2021) S/logo</v>
      </c>
      <c r="F314" s="52" t="s">
        <v>90</v>
      </c>
      <c r="G314" s="53">
        <v>0</v>
      </c>
      <c r="H314" s="52" t="s">
        <v>62</v>
      </c>
      <c r="I314" s="52">
        <f>I312</f>
        <v>34990</v>
      </c>
      <c r="J314" s="52" t="str">
        <f>J312&amp;"     "</f>
        <v xml:space="preserve">$     </v>
      </c>
      <c r="K314" s="52" t="str">
        <f>K312&amp;"     "</f>
        <v xml:space="preserve">Nuevo     </v>
      </c>
      <c r="L314" s="52" t="str">
        <f>L312&amp;"     "</f>
        <v xml:space="preserve">Mercado Envíos gratis     </v>
      </c>
      <c r="M314" s="52" t="str">
        <f>M312&amp;"     "</f>
        <v xml:space="preserve">Clásica     </v>
      </c>
      <c r="N314" s="52" t="str">
        <f ca="1">N312</f>
        <v>14%</v>
      </c>
      <c r="O314" s="52" t="str">
        <f>O312&amp;"     "</f>
        <v xml:space="preserve">Activa     </v>
      </c>
    </row>
    <row r="315" spans="1:15" ht="49.95" customHeight="1">
      <c r="A315" s="52" t="s">
        <v>635</v>
      </c>
      <c r="B315" s="52" t="s">
        <v>636</v>
      </c>
      <c r="C315" s="52" t="s">
        <v>637</v>
      </c>
      <c r="D315" s="52"/>
      <c r="E315" s="52" t="s">
        <v>638</v>
      </c>
      <c r="F315" s="52" t="s">
        <v>638</v>
      </c>
      <c r="G315" s="53">
        <v>6</v>
      </c>
      <c r="H315" s="52" t="s">
        <v>62</v>
      </c>
      <c r="I315" s="53">
        <v>18990</v>
      </c>
      <c r="J315" s="53" t="s">
        <v>63</v>
      </c>
      <c r="K315" s="53" t="s">
        <v>64</v>
      </c>
      <c r="L315" s="53" t="s">
        <v>71</v>
      </c>
      <c r="M315" s="53" t="s">
        <v>66</v>
      </c>
      <c r="N315" s="52" t="str">
        <f ca="1">IF(INDIRECT("M315")="Clásica","15%",IF(INDIRECT("M315")="Premium","19%","-"))</f>
        <v>15%</v>
      </c>
      <c r="O315" s="53" t="s">
        <v>67</v>
      </c>
    </row>
    <row r="316" spans="1:15" ht="49.95" customHeight="1">
      <c r="A316" s="52" t="s">
        <v>24</v>
      </c>
      <c r="B316" s="52" t="s">
        <v>639</v>
      </c>
      <c r="C316" s="52"/>
      <c r="D316" s="52"/>
      <c r="E316" s="52" t="s">
        <v>640</v>
      </c>
      <c r="F316" s="52" t="s">
        <v>62</v>
      </c>
      <c r="G316" s="52" t="s">
        <v>104</v>
      </c>
      <c r="H316" s="52" t="s">
        <v>62</v>
      </c>
      <c r="I316" s="53">
        <v>18990</v>
      </c>
      <c r="J316" s="53" t="s">
        <v>63</v>
      </c>
      <c r="K316" s="53" t="s">
        <v>64</v>
      </c>
      <c r="L316" s="53" t="s">
        <v>71</v>
      </c>
      <c r="M316" s="53" t="s">
        <v>66</v>
      </c>
      <c r="N316" s="52" t="str">
        <f ca="1">IF(INDIRECT("M316")="Clásica","14%",IF(INDIRECT("M316")="Premium","18%","-"))</f>
        <v>14%</v>
      </c>
      <c r="O316" s="53" t="s">
        <v>67</v>
      </c>
    </row>
    <row r="317" spans="1:15" ht="49.95" customHeight="1">
      <c r="A317" s="52" t="s">
        <v>24</v>
      </c>
      <c r="B317" s="52" t="s">
        <v>639</v>
      </c>
      <c r="C317" s="52" t="s">
        <v>641</v>
      </c>
      <c r="D317" s="52" t="s">
        <v>641</v>
      </c>
      <c r="E317" s="54" t="str">
        <f>"     "&amp;E316</f>
        <v xml:space="preserve">     Manillas Palancas Kawasaki Z400 Z 400 Logo Abatibles</v>
      </c>
      <c r="F317" s="52" t="s">
        <v>445</v>
      </c>
      <c r="G317" s="53">
        <v>2</v>
      </c>
      <c r="H317" s="52" t="s">
        <v>62</v>
      </c>
      <c r="I317" s="52">
        <f>I316</f>
        <v>18990</v>
      </c>
      <c r="J317" s="52" t="str">
        <f>J316&amp;"     "</f>
        <v xml:space="preserve">$     </v>
      </c>
      <c r="K317" s="52" t="str">
        <f>K316&amp;"     "</f>
        <v xml:space="preserve">Nuevo     </v>
      </c>
      <c r="L317" s="52" t="str">
        <f>L316&amp;"     "</f>
        <v xml:space="preserve">Mercado Envíos a cargo del comprador     </v>
      </c>
      <c r="M317" s="52" t="str">
        <f>M316&amp;"     "</f>
        <v xml:space="preserve">Clásica     </v>
      </c>
      <c r="N317" s="52" t="str">
        <f ca="1">N316</f>
        <v>14%</v>
      </c>
      <c r="O317" s="52" t="str">
        <f>O316&amp;"     "</f>
        <v xml:space="preserve">Activa     </v>
      </c>
    </row>
    <row r="318" spans="1:15" ht="49.95" customHeight="1">
      <c r="A318" s="52" t="s">
        <v>24</v>
      </c>
      <c r="B318" s="52" t="s">
        <v>639</v>
      </c>
      <c r="C318" s="52" t="s">
        <v>642</v>
      </c>
      <c r="D318" s="52" t="s">
        <v>642</v>
      </c>
      <c r="E318" s="54" t="str">
        <f>"     "&amp;E316</f>
        <v xml:space="preserve">     Manillas Palancas Kawasaki Z400 Z 400 Logo Abatibles</v>
      </c>
      <c r="F318" s="52" t="s">
        <v>100</v>
      </c>
      <c r="G318" s="53">
        <v>2</v>
      </c>
      <c r="H318" s="52" t="s">
        <v>62</v>
      </c>
      <c r="I318" s="52">
        <f>I316</f>
        <v>18990</v>
      </c>
      <c r="J318" s="52" t="str">
        <f>J316&amp;"     "</f>
        <v xml:space="preserve">$     </v>
      </c>
      <c r="K318" s="52" t="str">
        <f>K316&amp;"     "</f>
        <v xml:space="preserve">Nuevo     </v>
      </c>
      <c r="L318" s="52" t="str">
        <f>L316&amp;"     "</f>
        <v xml:space="preserve">Mercado Envíos a cargo del comprador     </v>
      </c>
      <c r="M318" s="52" t="str">
        <f>M316&amp;"     "</f>
        <v xml:space="preserve">Clásica     </v>
      </c>
      <c r="N318" s="52" t="str">
        <f ca="1">N316</f>
        <v>14%</v>
      </c>
      <c r="O318" s="52" t="str">
        <f>O316&amp;"     "</f>
        <v xml:space="preserve">Activa     </v>
      </c>
    </row>
    <row r="319" spans="1:15" ht="49.95" customHeight="1">
      <c r="A319" s="52" t="s">
        <v>24</v>
      </c>
      <c r="B319" s="52" t="s">
        <v>639</v>
      </c>
      <c r="C319" s="52" t="s">
        <v>643</v>
      </c>
      <c r="D319" s="52" t="s">
        <v>643</v>
      </c>
      <c r="E319" s="54" t="str">
        <f>"     "&amp;E316</f>
        <v xml:space="preserve">     Manillas Palancas Kawasaki Z400 Z 400 Logo Abatibles</v>
      </c>
      <c r="F319" s="52" t="s">
        <v>86</v>
      </c>
      <c r="G319" s="53">
        <v>0</v>
      </c>
      <c r="H319" s="52" t="s">
        <v>62</v>
      </c>
      <c r="I319" s="52">
        <f>I316</f>
        <v>18990</v>
      </c>
      <c r="J319" s="52" t="str">
        <f>J316&amp;"     "</f>
        <v xml:space="preserve">$     </v>
      </c>
      <c r="K319" s="52" t="str">
        <f>K316&amp;"     "</f>
        <v xml:space="preserve">Nuevo     </v>
      </c>
      <c r="L319" s="52" t="str">
        <f>L316&amp;"     "</f>
        <v xml:space="preserve">Mercado Envíos a cargo del comprador     </v>
      </c>
      <c r="M319" s="52" t="str">
        <f>M316&amp;"     "</f>
        <v xml:space="preserve">Clásica     </v>
      </c>
      <c r="N319" s="52" t="str">
        <f ca="1">N316</f>
        <v>14%</v>
      </c>
      <c r="O319" s="52" t="str">
        <f>O316&amp;"     "</f>
        <v xml:space="preserve">Activa     </v>
      </c>
    </row>
    <row r="320" spans="1:15" ht="49.95" customHeight="1">
      <c r="A320" s="52" t="s">
        <v>24</v>
      </c>
      <c r="B320" s="52" t="s">
        <v>639</v>
      </c>
      <c r="C320" s="52" t="s">
        <v>644</v>
      </c>
      <c r="D320" s="52" t="s">
        <v>644</v>
      </c>
      <c r="E320" s="54" t="str">
        <f>"     "&amp;E316</f>
        <v xml:space="preserve">     Manillas Palancas Kawasaki Z400 Z 400 Logo Abatibles</v>
      </c>
      <c r="F320" s="52" t="s">
        <v>90</v>
      </c>
      <c r="G320" s="53">
        <v>2</v>
      </c>
      <c r="H320" s="52" t="s">
        <v>62</v>
      </c>
      <c r="I320" s="52">
        <f>I316</f>
        <v>18990</v>
      </c>
      <c r="J320" s="52" t="str">
        <f>J316&amp;"     "</f>
        <v xml:space="preserve">$     </v>
      </c>
      <c r="K320" s="52" t="str">
        <f>K316&amp;"     "</f>
        <v xml:space="preserve">Nuevo     </v>
      </c>
      <c r="L320" s="52" t="str">
        <f>L316&amp;"     "</f>
        <v xml:space="preserve">Mercado Envíos a cargo del comprador     </v>
      </c>
      <c r="M320" s="52" t="str">
        <f>M316&amp;"     "</f>
        <v xml:space="preserve">Clásica     </v>
      </c>
      <c r="N320" s="52" t="str">
        <f ca="1">N316</f>
        <v>14%</v>
      </c>
      <c r="O320" s="52" t="str">
        <f>O316&amp;"     "</f>
        <v xml:space="preserve">Activa     </v>
      </c>
    </row>
    <row r="321" spans="1:15" ht="49.95" customHeight="1">
      <c r="A321" s="52" t="s">
        <v>645</v>
      </c>
      <c r="B321" s="52" t="s">
        <v>646</v>
      </c>
      <c r="C321" s="52" t="s">
        <v>647</v>
      </c>
      <c r="D321" s="52"/>
      <c r="E321" s="52" t="s">
        <v>648</v>
      </c>
      <c r="F321" s="52" t="s">
        <v>86</v>
      </c>
      <c r="G321" s="53">
        <v>2</v>
      </c>
      <c r="H321" s="52" t="s">
        <v>62</v>
      </c>
      <c r="I321" s="53">
        <v>24990</v>
      </c>
      <c r="J321" s="53" t="s">
        <v>63</v>
      </c>
      <c r="K321" s="53" t="s">
        <v>64</v>
      </c>
      <c r="L321" s="53" t="s">
        <v>65</v>
      </c>
      <c r="M321" s="53" t="s">
        <v>66</v>
      </c>
      <c r="N321" s="52" t="str">
        <f ca="1">IF(INDIRECT("M321")="Clásica","14%",IF(INDIRECT("M321")="Premium","18%","-"))</f>
        <v>14%</v>
      </c>
      <c r="O321" s="53" t="s">
        <v>67</v>
      </c>
    </row>
    <row r="322" spans="1:15" ht="49.95" customHeight="1">
      <c r="A322" s="52" t="s">
        <v>24</v>
      </c>
      <c r="B322" s="52" t="s">
        <v>649</v>
      </c>
      <c r="C322" s="52"/>
      <c r="D322" s="52"/>
      <c r="E322" s="52" t="s">
        <v>650</v>
      </c>
      <c r="F322" s="52" t="s">
        <v>62</v>
      </c>
      <c r="G322" s="52" t="s">
        <v>104</v>
      </c>
      <c r="H322" s="52" t="s">
        <v>62</v>
      </c>
      <c r="I322" s="53">
        <v>24990</v>
      </c>
      <c r="J322" s="53" t="s">
        <v>63</v>
      </c>
      <c r="K322" s="53" t="s">
        <v>64</v>
      </c>
      <c r="L322" s="53" t="s">
        <v>65</v>
      </c>
      <c r="M322" s="53" t="s">
        <v>66</v>
      </c>
      <c r="N322" s="52" t="str">
        <f ca="1">IF(INDIRECT("M322")="Clásica","14%",IF(INDIRECT("M322")="Premium","18%","-"))</f>
        <v>14%</v>
      </c>
      <c r="O322" s="53" t="s">
        <v>67</v>
      </c>
    </row>
    <row r="323" spans="1:15" ht="49.95" customHeight="1">
      <c r="A323" s="52" t="s">
        <v>24</v>
      </c>
      <c r="B323" s="52" t="s">
        <v>649</v>
      </c>
      <c r="C323" s="52" t="s">
        <v>651</v>
      </c>
      <c r="D323" s="52" t="s">
        <v>651</v>
      </c>
      <c r="E323" s="54" t="str">
        <f>"     "&amp;E322</f>
        <v xml:space="preserve">     Protector Manillas Manillar Ktm Rc Con Logo Colores</v>
      </c>
      <c r="F323" s="52" t="s">
        <v>652</v>
      </c>
      <c r="G323" s="53">
        <v>2</v>
      </c>
      <c r="H323" s="52" t="s">
        <v>62</v>
      </c>
      <c r="I323" s="52">
        <f>I322</f>
        <v>24990</v>
      </c>
      <c r="J323" s="52" t="str">
        <f>J322&amp;"     "</f>
        <v xml:space="preserve">$     </v>
      </c>
      <c r="K323" s="52" t="str">
        <f>K322&amp;"     "</f>
        <v xml:space="preserve">Nuevo     </v>
      </c>
      <c r="L323" s="52" t="str">
        <f>L322&amp;"     "</f>
        <v xml:space="preserve">Mercado Envíos gratis     </v>
      </c>
      <c r="M323" s="52" t="str">
        <f>M322&amp;"     "</f>
        <v xml:space="preserve">Clásica     </v>
      </c>
      <c r="N323" s="52" t="str">
        <f ca="1">N322</f>
        <v>14%</v>
      </c>
      <c r="O323" s="52" t="str">
        <f>O322&amp;"     "</f>
        <v xml:space="preserve">Activa     </v>
      </c>
    </row>
    <row r="324" spans="1:15" ht="49.95" customHeight="1">
      <c r="A324" s="52" t="s">
        <v>24</v>
      </c>
      <c r="B324" s="52" t="s">
        <v>649</v>
      </c>
      <c r="C324" s="52" t="s">
        <v>653</v>
      </c>
      <c r="D324" s="52" t="s">
        <v>653</v>
      </c>
      <c r="E324" s="54" t="str">
        <f>"     "&amp;E322</f>
        <v xml:space="preserve">     Protector Manillas Manillar Ktm Rc Con Logo Colores</v>
      </c>
      <c r="F324" s="52" t="s">
        <v>423</v>
      </c>
      <c r="G324" s="53">
        <v>2</v>
      </c>
      <c r="H324" s="52" t="s">
        <v>62</v>
      </c>
      <c r="I324" s="52">
        <f>I322</f>
        <v>24990</v>
      </c>
      <c r="J324" s="52" t="str">
        <f>J322&amp;"     "</f>
        <v xml:space="preserve">$     </v>
      </c>
      <c r="K324" s="52" t="str">
        <f>K322&amp;"     "</f>
        <v xml:space="preserve">Nuevo     </v>
      </c>
      <c r="L324" s="52" t="str">
        <f>L322&amp;"     "</f>
        <v xml:space="preserve">Mercado Envíos gratis     </v>
      </c>
      <c r="M324" s="52" t="str">
        <f>M322&amp;"     "</f>
        <v xml:space="preserve">Clásica     </v>
      </c>
      <c r="N324" s="52" t="str">
        <f ca="1">N322</f>
        <v>14%</v>
      </c>
      <c r="O324" s="52" t="str">
        <f>O322&amp;"     "</f>
        <v xml:space="preserve">Activa     </v>
      </c>
    </row>
    <row r="325" spans="1:15" ht="49.95" customHeight="1">
      <c r="A325" s="52" t="s">
        <v>24</v>
      </c>
      <c r="B325" s="52" t="s">
        <v>649</v>
      </c>
      <c r="C325" s="52" t="s">
        <v>654</v>
      </c>
      <c r="D325" s="52" t="s">
        <v>654</v>
      </c>
      <c r="E325" s="54" t="str">
        <f>"     "&amp;E322</f>
        <v xml:space="preserve">     Protector Manillas Manillar Ktm Rc Con Logo Colores</v>
      </c>
      <c r="F325" s="52" t="s">
        <v>655</v>
      </c>
      <c r="G325" s="53">
        <v>2</v>
      </c>
      <c r="H325" s="52" t="s">
        <v>62</v>
      </c>
      <c r="I325" s="52">
        <f>I322</f>
        <v>24990</v>
      </c>
      <c r="J325" s="52" t="str">
        <f>J322&amp;"     "</f>
        <v xml:space="preserve">$     </v>
      </c>
      <c r="K325" s="52" t="str">
        <f>K322&amp;"     "</f>
        <v xml:space="preserve">Nuevo     </v>
      </c>
      <c r="L325" s="52" t="str">
        <f>L322&amp;"     "</f>
        <v xml:space="preserve">Mercado Envíos gratis     </v>
      </c>
      <c r="M325" s="52" t="str">
        <f>M322&amp;"     "</f>
        <v xml:space="preserve">Clásica     </v>
      </c>
      <c r="N325" s="52" t="str">
        <f ca="1">N322</f>
        <v>14%</v>
      </c>
      <c r="O325" s="52" t="str">
        <f>O322&amp;"     "</f>
        <v xml:space="preserve">Activa     </v>
      </c>
    </row>
    <row r="326" spans="1:15" ht="49.95" customHeight="1">
      <c r="A326" s="52" t="s">
        <v>656</v>
      </c>
      <c r="B326" s="52" t="s">
        <v>657</v>
      </c>
      <c r="C326" s="52" t="s">
        <v>658</v>
      </c>
      <c r="D326" s="52"/>
      <c r="E326" s="52" t="s">
        <v>659</v>
      </c>
      <c r="F326" s="52" t="s">
        <v>659</v>
      </c>
      <c r="G326" s="53">
        <v>2</v>
      </c>
      <c r="H326" s="52" t="s">
        <v>62</v>
      </c>
      <c r="I326" s="53">
        <v>29990</v>
      </c>
      <c r="J326" s="53" t="s">
        <v>63</v>
      </c>
      <c r="K326" s="53" t="s">
        <v>64</v>
      </c>
      <c r="L326" s="53" t="s">
        <v>65</v>
      </c>
      <c r="M326" s="53" t="s">
        <v>66</v>
      </c>
      <c r="N326" s="52" t="str">
        <f ca="1">IF(INDIRECT("M326")="Clásica","14%",IF(INDIRECT("M326")="Premium","18%","-"))</f>
        <v>14%</v>
      </c>
      <c r="O326" s="53" t="s">
        <v>67</v>
      </c>
    </row>
    <row r="327" spans="1:15" ht="49.95" customHeight="1">
      <c r="A327" s="52" t="s">
        <v>660</v>
      </c>
      <c r="B327" s="52" t="s">
        <v>661</v>
      </c>
      <c r="C327" s="52" t="s">
        <v>662</v>
      </c>
      <c r="D327" s="52"/>
      <c r="E327" s="52" t="s">
        <v>663</v>
      </c>
      <c r="F327" s="52" t="s">
        <v>664</v>
      </c>
      <c r="G327" s="53">
        <v>2</v>
      </c>
      <c r="H327" s="52" t="s">
        <v>62</v>
      </c>
      <c r="I327" s="53">
        <v>39693</v>
      </c>
      <c r="J327" s="53" t="s">
        <v>63</v>
      </c>
      <c r="K327" s="53" t="s">
        <v>64</v>
      </c>
      <c r="L327" s="53" t="s">
        <v>65</v>
      </c>
      <c r="M327" s="53" t="s">
        <v>66</v>
      </c>
      <c r="N327" s="52" t="str">
        <f ca="1">IF(INDIRECT("M327")="Clásica","14%",IF(INDIRECT("M327")="Premium","18%","-"))</f>
        <v>14%</v>
      </c>
      <c r="O327" s="53" t="s">
        <v>67</v>
      </c>
    </row>
    <row r="328" spans="1:15" ht="49.95" customHeight="1">
      <c r="A328" s="52" t="s">
        <v>24</v>
      </c>
      <c r="B328" s="52" t="s">
        <v>665</v>
      </c>
      <c r="C328" s="52"/>
      <c r="D328" s="52"/>
      <c r="E328" s="52" t="s">
        <v>666</v>
      </c>
      <c r="F328" s="52" t="s">
        <v>62</v>
      </c>
      <c r="G328" s="52" t="s">
        <v>112</v>
      </c>
      <c r="H328" s="52" t="s">
        <v>62</v>
      </c>
      <c r="I328" s="53">
        <v>34990</v>
      </c>
      <c r="J328" s="53" t="s">
        <v>63</v>
      </c>
      <c r="K328" s="53" t="s">
        <v>64</v>
      </c>
      <c r="L328" s="53" t="s">
        <v>65</v>
      </c>
      <c r="M328" s="53" t="s">
        <v>66</v>
      </c>
      <c r="N328" s="52" t="str">
        <f ca="1">IF(INDIRECT("M328")="Clásica","16%",IF(INDIRECT("M328")="Premium","20%","-"))</f>
        <v>16%</v>
      </c>
      <c r="O328" s="53" t="s">
        <v>67</v>
      </c>
    </row>
    <row r="329" spans="1:15" ht="49.95" customHeight="1">
      <c r="A329" s="52" t="s">
        <v>24</v>
      </c>
      <c r="B329" s="52" t="s">
        <v>665</v>
      </c>
      <c r="C329" s="52" t="s">
        <v>667</v>
      </c>
      <c r="D329" s="52" t="s">
        <v>667</v>
      </c>
      <c r="E329" s="54" t="str">
        <f>"     "&amp;E328</f>
        <v xml:space="preserve">     Adhesivos Sticker Pegatinas Reflectantes Ruedas Yamaha R15</v>
      </c>
      <c r="F329" s="52" t="s">
        <v>97</v>
      </c>
      <c r="G329" s="53">
        <v>2</v>
      </c>
      <c r="H329" s="52" t="s">
        <v>62</v>
      </c>
      <c r="I329" s="52">
        <f>I328</f>
        <v>34990</v>
      </c>
      <c r="J329" s="52" t="str">
        <f>J328&amp;"     "</f>
        <v xml:space="preserve">$     </v>
      </c>
      <c r="K329" s="52" t="str">
        <f>K328&amp;"     "</f>
        <v xml:space="preserve">Nuevo     </v>
      </c>
      <c r="L329" s="52" t="str">
        <f>L328&amp;"     "</f>
        <v xml:space="preserve">Mercado Envíos gratis     </v>
      </c>
      <c r="M329" s="52" t="str">
        <f>M328&amp;"     "</f>
        <v xml:space="preserve">Clásica     </v>
      </c>
      <c r="N329" s="52" t="str">
        <f ca="1">N328</f>
        <v>16%</v>
      </c>
      <c r="O329" s="52" t="str">
        <f>O328&amp;"     "</f>
        <v xml:space="preserve">Activa     </v>
      </c>
    </row>
    <row r="330" spans="1:15" ht="49.95" customHeight="1">
      <c r="A330" s="52" t="s">
        <v>24</v>
      </c>
      <c r="B330" s="52" t="s">
        <v>665</v>
      </c>
      <c r="C330" s="52" t="s">
        <v>668</v>
      </c>
      <c r="D330" s="52" t="s">
        <v>668</v>
      </c>
      <c r="E330" s="54" t="str">
        <f>"     "&amp;E328</f>
        <v xml:space="preserve">     Adhesivos Sticker Pegatinas Reflectantes Ruedas Yamaha R15</v>
      </c>
      <c r="F330" s="52" t="s">
        <v>90</v>
      </c>
      <c r="G330" s="53">
        <v>0</v>
      </c>
      <c r="H330" s="52" t="s">
        <v>62</v>
      </c>
      <c r="I330" s="52">
        <f>I328</f>
        <v>34990</v>
      </c>
      <c r="J330" s="52" t="str">
        <f>J328&amp;"     "</f>
        <v xml:space="preserve">$     </v>
      </c>
      <c r="K330" s="52" t="str">
        <f>K328&amp;"     "</f>
        <v xml:space="preserve">Nuevo     </v>
      </c>
      <c r="L330" s="52" t="str">
        <f>L328&amp;"     "</f>
        <v xml:space="preserve">Mercado Envíos gratis     </v>
      </c>
      <c r="M330" s="52" t="str">
        <f>M328&amp;"     "</f>
        <v xml:space="preserve">Clásica     </v>
      </c>
      <c r="N330" s="52" t="str">
        <f ca="1">N328</f>
        <v>16%</v>
      </c>
      <c r="O330" s="52" t="str">
        <f>O328&amp;"     "</f>
        <v xml:space="preserve">Activa     </v>
      </c>
    </row>
    <row r="331" spans="1:15" ht="49.95" customHeight="1">
      <c r="A331" s="52" t="s">
        <v>24</v>
      </c>
      <c r="B331" s="52" t="s">
        <v>665</v>
      </c>
      <c r="C331" s="52" t="s">
        <v>669</v>
      </c>
      <c r="D331" s="52" t="s">
        <v>669</v>
      </c>
      <c r="E331" s="54" t="str">
        <f>"     "&amp;E328</f>
        <v xml:space="preserve">     Adhesivos Sticker Pegatinas Reflectantes Ruedas Yamaha R15</v>
      </c>
      <c r="F331" s="52" t="s">
        <v>84</v>
      </c>
      <c r="G331" s="53">
        <v>0</v>
      </c>
      <c r="H331" s="52" t="s">
        <v>62</v>
      </c>
      <c r="I331" s="52">
        <f>I328</f>
        <v>34990</v>
      </c>
      <c r="J331" s="52" t="str">
        <f>J328&amp;"     "</f>
        <v xml:space="preserve">$     </v>
      </c>
      <c r="K331" s="52" t="str">
        <f>K328&amp;"     "</f>
        <v xml:space="preserve">Nuevo     </v>
      </c>
      <c r="L331" s="52" t="str">
        <f>L328&amp;"     "</f>
        <v xml:space="preserve">Mercado Envíos gratis     </v>
      </c>
      <c r="M331" s="52" t="str">
        <f>M328&amp;"     "</f>
        <v xml:space="preserve">Clásica     </v>
      </c>
      <c r="N331" s="52" t="str">
        <f ca="1">N328</f>
        <v>16%</v>
      </c>
      <c r="O331" s="52" t="str">
        <f>O328&amp;"     "</f>
        <v xml:space="preserve">Activa     </v>
      </c>
    </row>
    <row r="332" spans="1:15" ht="49.95" customHeight="1">
      <c r="A332" s="52" t="s">
        <v>670</v>
      </c>
      <c r="B332" s="52" t="s">
        <v>671</v>
      </c>
      <c r="C332" s="52" t="s">
        <v>672</v>
      </c>
      <c r="D332" s="52"/>
      <c r="E332" s="52" t="s">
        <v>673</v>
      </c>
      <c r="F332" s="52" t="s">
        <v>673</v>
      </c>
      <c r="G332" s="53">
        <v>2</v>
      </c>
      <c r="H332" s="52" t="s">
        <v>62</v>
      </c>
      <c r="I332" s="53">
        <v>49990</v>
      </c>
      <c r="J332" s="53" t="s">
        <v>63</v>
      </c>
      <c r="K332" s="53" t="s">
        <v>64</v>
      </c>
      <c r="L332" s="53" t="s">
        <v>65</v>
      </c>
      <c r="M332" s="53" t="s">
        <v>66</v>
      </c>
      <c r="N332" s="52" t="str">
        <f ca="1">IF(INDIRECT("M332")="Clásica","14%",IF(INDIRECT("M332")="Premium","18%","-"))</f>
        <v>14%</v>
      </c>
      <c r="O332" s="53" t="s">
        <v>67</v>
      </c>
    </row>
    <row r="333" spans="1:15" ht="49.95" customHeight="1">
      <c r="A333" s="52" t="s">
        <v>674</v>
      </c>
      <c r="B333" s="52" t="s">
        <v>675</v>
      </c>
      <c r="C333" s="52" t="s">
        <v>676</v>
      </c>
      <c r="D333" s="52"/>
      <c r="E333" s="52" t="s">
        <v>677</v>
      </c>
      <c r="F333" s="52" t="s">
        <v>86</v>
      </c>
      <c r="G333" s="53">
        <v>2</v>
      </c>
      <c r="H333" s="52" t="s">
        <v>62</v>
      </c>
      <c r="I333" s="53">
        <v>34990</v>
      </c>
      <c r="J333" s="53" t="s">
        <v>63</v>
      </c>
      <c r="K333" s="53" t="s">
        <v>64</v>
      </c>
      <c r="L333" s="53" t="s">
        <v>65</v>
      </c>
      <c r="M333" s="53" t="s">
        <v>66</v>
      </c>
      <c r="N333" s="52" t="str">
        <f ca="1">IF(INDIRECT("M333")="Clásica","14%",IF(INDIRECT("M333")="Premium","18%","-"))</f>
        <v>14%</v>
      </c>
      <c r="O333" s="53" t="s">
        <v>67</v>
      </c>
    </row>
    <row r="334" spans="1:15" ht="49.95" customHeight="1">
      <c r="A334" s="52" t="s">
        <v>24</v>
      </c>
      <c r="B334" s="52" t="s">
        <v>678</v>
      </c>
      <c r="C334" s="52"/>
      <c r="D334" s="52"/>
      <c r="E334" s="52" t="s">
        <v>679</v>
      </c>
      <c r="F334" s="52" t="s">
        <v>62</v>
      </c>
      <c r="G334" s="52" t="s">
        <v>164</v>
      </c>
      <c r="H334" s="52" t="s">
        <v>62</v>
      </c>
      <c r="I334" s="53">
        <v>24990</v>
      </c>
      <c r="J334" s="53" t="s">
        <v>63</v>
      </c>
      <c r="K334" s="53" t="s">
        <v>64</v>
      </c>
      <c r="L334" s="53" t="s">
        <v>65</v>
      </c>
      <c r="M334" s="53" t="s">
        <v>66</v>
      </c>
      <c r="N334" s="52" t="str">
        <f ca="1">IF(INDIRECT("M334")="Clásica","14%",IF(INDIRECT("M334")="Premium","18%","-"))</f>
        <v>14%</v>
      </c>
      <c r="O334" s="53" t="s">
        <v>67</v>
      </c>
    </row>
    <row r="335" spans="1:15" ht="49.95" customHeight="1">
      <c r="A335" s="52" t="s">
        <v>24</v>
      </c>
      <c r="B335" s="52" t="s">
        <v>678</v>
      </c>
      <c r="C335" s="52" t="s">
        <v>680</v>
      </c>
      <c r="D335" s="52" t="s">
        <v>680</v>
      </c>
      <c r="E335" s="54" t="str">
        <f>"     "&amp;E334</f>
        <v xml:space="preserve">     Protector Cubierta Entrada Aire Yamaha Mt03a Mt 03 A Colores</v>
      </c>
      <c r="F335" s="52" t="s">
        <v>84</v>
      </c>
      <c r="G335" s="53">
        <v>1</v>
      </c>
      <c r="H335" s="52" t="s">
        <v>62</v>
      </c>
      <c r="I335" s="52">
        <f>I334</f>
        <v>24990</v>
      </c>
      <c r="J335" s="52" t="str">
        <f>J334&amp;"     "</f>
        <v xml:space="preserve">$     </v>
      </c>
      <c r="K335" s="52" t="str">
        <f>K334&amp;"     "</f>
        <v xml:space="preserve">Nuevo     </v>
      </c>
      <c r="L335" s="52" t="str">
        <f>L334&amp;"     "</f>
        <v xml:space="preserve">Mercado Envíos gratis     </v>
      </c>
      <c r="M335" s="52" t="str">
        <f>M334&amp;"     "</f>
        <v xml:space="preserve">Clásica     </v>
      </c>
      <c r="N335" s="52" t="str">
        <f ca="1">N334</f>
        <v>14%</v>
      </c>
      <c r="O335" s="52" t="str">
        <f>O334&amp;"     "</f>
        <v xml:space="preserve">Activa     </v>
      </c>
    </row>
    <row r="336" spans="1:15" ht="49.95" customHeight="1">
      <c r="A336" s="52" t="s">
        <v>24</v>
      </c>
      <c r="B336" s="52" t="s">
        <v>678</v>
      </c>
      <c r="C336" s="52" t="s">
        <v>681</v>
      </c>
      <c r="D336" s="52" t="s">
        <v>681</v>
      </c>
      <c r="E336" s="54" t="str">
        <f>"     "&amp;E334</f>
        <v xml:space="preserve">     Protector Cubierta Entrada Aire Yamaha Mt03a Mt 03 A Colores</v>
      </c>
      <c r="F336" s="52" t="s">
        <v>90</v>
      </c>
      <c r="G336" s="53">
        <v>0</v>
      </c>
      <c r="H336" s="52" t="s">
        <v>62</v>
      </c>
      <c r="I336" s="52">
        <f>I334</f>
        <v>24990</v>
      </c>
      <c r="J336" s="52" t="str">
        <f>J334&amp;"     "</f>
        <v xml:space="preserve">$     </v>
      </c>
      <c r="K336" s="52" t="str">
        <f>K334&amp;"     "</f>
        <v xml:space="preserve">Nuevo     </v>
      </c>
      <c r="L336" s="52" t="str">
        <f>L334&amp;"     "</f>
        <v xml:space="preserve">Mercado Envíos gratis     </v>
      </c>
      <c r="M336" s="52" t="str">
        <f>M334&amp;"     "</f>
        <v xml:space="preserve">Clásica     </v>
      </c>
      <c r="N336" s="52" t="str">
        <f ca="1">N334</f>
        <v>14%</v>
      </c>
      <c r="O336" s="52" t="str">
        <f>O334&amp;"     "</f>
        <v xml:space="preserve">Activa     </v>
      </c>
    </row>
    <row r="337" spans="1:15" ht="49.95" customHeight="1">
      <c r="A337" s="52" t="s">
        <v>24</v>
      </c>
      <c r="B337" s="52" t="s">
        <v>678</v>
      </c>
      <c r="C337" s="52" t="s">
        <v>682</v>
      </c>
      <c r="D337" s="52" t="s">
        <v>682</v>
      </c>
      <c r="E337" s="54" t="str">
        <f>"     "&amp;E334</f>
        <v xml:space="preserve">     Protector Cubierta Entrada Aire Yamaha Mt03a Mt 03 A Colores</v>
      </c>
      <c r="F337" s="52" t="s">
        <v>86</v>
      </c>
      <c r="G337" s="53">
        <v>0</v>
      </c>
      <c r="H337" s="52" t="s">
        <v>62</v>
      </c>
      <c r="I337" s="52">
        <f>I334</f>
        <v>24990</v>
      </c>
      <c r="J337" s="52" t="str">
        <f>J334&amp;"     "</f>
        <v xml:space="preserve">$     </v>
      </c>
      <c r="K337" s="52" t="str">
        <f>K334&amp;"     "</f>
        <v xml:space="preserve">Nuevo     </v>
      </c>
      <c r="L337" s="52" t="str">
        <f>L334&amp;"     "</f>
        <v xml:space="preserve">Mercado Envíos gratis     </v>
      </c>
      <c r="M337" s="52" t="str">
        <f>M334&amp;"     "</f>
        <v xml:space="preserve">Clásica     </v>
      </c>
      <c r="N337" s="52" t="str">
        <f ca="1">N334</f>
        <v>14%</v>
      </c>
      <c r="O337" s="52" t="str">
        <f>O334&amp;"     "</f>
        <v xml:space="preserve">Activa     </v>
      </c>
    </row>
    <row r="338" spans="1:15" ht="49.95" customHeight="1">
      <c r="A338" s="52" t="s">
        <v>683</v>
      </c>
      <c r="B338" s="52" t="s">
        <v>684</v>
      </c>
      <c r="C338" s="52" t="s">
        <v>685</v>
      </c>
      <c r="D338" s="52"/>
      <c r="E338" s="52" t="s">
        <v>686</v>
      </c>
      <c r="F338" s="52" t="s">
        <v>686</v>
      </c>
      <c r="G338" s="53">
        <v>1</v>
      </c>
      <c r="H338" s="52" t="s">
        <v>62</v>
      </c>
      <c r="I338" s="53">
        <v>49990</v>
      </c>
      <c r="J338" s="53" t="s">
        <v>63</v>
      </c>
      <c r="K338" s="53" t="s">
        <v>64</v>
      </c>
      <c r="L338" s="53" t="s">
        <v>65</v>
      </c>
      <c r="M338" s="53" t="s">
        <v>66</v>
      </c>
      <c r="N338" s="52" t="str">
        <f ca="1">IF(INDIRECT("M338")="Clásica","14%",IF(INDIRECT("M338")="Premium","18%","-"))</f>
        <v>14%</v>
      </c>
      <c r="O338" s="53" t="s">
        <v>67</v>
      </c>
    </row>
    <row r="339" spans="1:15" ht="49.95" customHeight="1">
      <c r="A339" s="52" t="s">
        <v>687</v>
      </c>
      <c r="B339" s="52" t="s">
        <v>688</v>
      </c>
      <c r="C339" s="52" t="s">
        <v>689</v>
      </c>
      <c r="D339" s="52"/>
      <c r="E339" s="52" t="s">
        <v>690</v>
      </c>
      <c r="F339" s="52" t="s">
        <v>690</v>
      </c>
      <c r="G339" s="53">
        <v>2</v>
      </c>
      <c r="H339" s="52" t="s">
        <v>62</v>
      </c>
      <c r="I339" s="53">
        <v>49990</v>
      </c>
      <c r="J339" s="53" t="s">
        <v>63</v>
      </c>
      <c r="K339" s="53" t="s">
        <v>64</v>
      </c>
      <c r="L339" s="53" t="s">
        <v>65</v>
      </c>
      <c r="M339" s="53" t="s">
        <v>66</v>
      </c>
      <c r="N339" s="52" t="str">
        <f ca="1">IF(INDIRECT("M339")="Clásica","14%",IF(INDIRECT("M339")="Premium","18%","-"))</f>
        <v>14%</v>
      </c>
      <c r="O339" s="53" t="s">
        <v>67</v>
      </c>
    </row>
    <row r="340" spans="1:15" ht="49.95" customHeight="1">
      <c r="A340" s="52" t="s">
        <v>691</v>
      </c>
      <c r="B340" s="52" t="s">
        <v>692</v>
      </c>
      <c r="C340" s="52" t="s">
        <v>693</v>
      </c>
      <c r="D340" s="52"/>
      <c r="E340" s="52" t="s">
        <v>694</v>
      </c>
      <c r="F340" s="52" t="s">
        <v>694</v>
      </c>
      <c r="G340" s="53">
        <v>2</v>
      </c>
      <c r="H340" s="52" t="s">
        <v>62</v>
      </c>
      <c r="I340" s="53">
        <v>34990</v>
      </c>
      <c r="J340" s="53" t="s">
        <v>63</v>
      </c>
      <c r="K340" s="53" t="s">
        <v>64</v>
      </c>
      <c r="L340" s="53" t="s">
        <v>65</v>
      </c>
      <c r="M340" s="53" t="s">
        <v>66</v>
      </c>
      <c r="N340" s="52" t="str">
        <f ca="1">IF(INDIRECT("M340")="Clásica","14%",IF(INDIRECT("M340")="Premium","18%","-"))</f>
        <v>14%</v>
      </c>
      <c r="O340" s="53" t="s">
        <v>67</v>
      </c>
    </row>
    <row r="341" spans="1:15" ht="49.95" customHeight="1">
      <c r="A341" s="52" t="s">
        <v>695</v>
      </c>
      <c r="B341" s="52" t="s">
        <v>696</v>
      </c>
      <c r="C341" s="52" t="s">
        <v>697</v>
      </c>
      <c r="D341" s="52"/>
      <c r="E341" s="52" t="s">
        <v>698</v>
      </c>
      <c r="F341" s="52" t="s">
        <v>698</v>
      </c>
      <c r="G341" s="53">
        <v>2</v>
      </c>
      <c r="H341" s="52" t="s">
        <v>62</v>
      </c>
      <c r="I341" s="53">
        <v>24990</v>
      </c>
      <c r="J341" s="53" t="s">
        <v>63</v>
      </c>
      <c r="K341" s="53" t="s">
        <v>64</v>
      </c>
      <c r="L341" s="53" t="s">
        <v>65</v>
      </c>
      <c r="M341" s="53" t="s">
        <v>66</v>
      </c>
      <c r="N341" s="52" t="str">
        <f ca="1">IF(INDIRECT("M341")="Clásica","14%",IF(INDIRECT("M341")="Premium","18%","-"))</f>
        <v>14%</v>
      </c>
      <c r="O341" s="53" t="s">
        <v>67</v>
      </c>
    </row>
    <row r="342" spans="1:15" ht="49.95" customHeight="1">
      <c r="A342" s="52" t="s">
        <v>699</v>
      </c>
      <c r="B342" s="52" t="s">
        <v>700</v>
      </c>
      <c r="C342" s="52" t="s">
        <v>701</v>
      </c>
      <c r="D342" s="52"/>
      <c r="E342" s="52" t="s">
        <v>702</v>
      </c>
      <c r="F342" s="52" t="s">
        <v>702</v>
      </c>
      <c r="G342" s="53">
        <v>2</v>
      </c>
      <c r="H342" s="52" t="s">
        <v>62</v>
      </c>
      <c r="I342" s="53">
        <v>41990</v>
      </c>
      <c r="J342" s="53" t="s">
        <v>63</v>
      </c>
      <c r="K342" s="53" t="s">
        <v>64</v>
      </c>
      <c r="L342" s="53" t="s">
        <v>65</v>
      </c>
      <c r="M342" s="53" t="s">
        <v>66</v>
      </c>
      <c r="N342" s="52" t="str">
        <f ca="1">IF(INDIRECT("M342")="Clásica","15%",IF(INDIRECT("M342")="Premium","19%","-"))</f>
        <v>15%</v>
      </c>
      <c r="O342" s="53" t="s">
        <v>67</v>
      </c>
    </row>
    <row r="343" spans="1:15" ht="49.95" customHeight="1">
      <c r="A343" s="52" t="s">
        <v>703</v>
      </c>
      <c r="B343" s="52" t="s">
        <v>704</v>
      </c>
      <c r="C343" s="52" t="s">
        <v>705</v>
      </c>
      <c r="D343" s="52"/>
      <c r="E343" s="52" t="s">
        <v>706</v>
      </c>
      <c r="F343" s="52" t="s">
        <v>707</v>
      </c>
      <c r="G343" s="53">
        <v>2</v>
      </c>
      <c r="H343" s="52" t="s">
        <v>62</v>
      </c>
      <c r="I343" s="53">
        <v>29990</v>
      </c>
      <c r="J343" s="53" t="s">
        <v>63</v>
      </c>
      <c r="K343" s="53" t="s">
        <v>64</v>
      </c>
      <c r="L343" s="53" t="s">
        <v>65</v>
      </c>
      <c r="M343" s="53" t="s">
        <v>66</v>
      </c>
      <c r="N343" s="52" t="str">
        <f ca="1">IF(INDIRECT("M343")="Clásica","14%",IF(INDIRECT("M343")="Premium","18%","-"))</f>
        <v>14%</v>
      </c>
      <c r="O343" s="53" t="s">
        <v>67</v>
      </c>
    </row>
    <row r="344" spans="1:15" ht="49.95" customHeight="1">
      <c r="A344" s="52" t="s">
        <v>24</v>
      </c>
      <c r="B344" s="52" t="s">
        <v>708</v>
      </c>
      <c r="C344" s="52"/>
      <c r="D344" s="52"/>
      <c r="E344" s="52" t="s">
        <v>709</v>
      </c>
      <c r="F344" s="52" t="s">
        <v>62</v>
      </c>
      <c r="G344" s="52" t="s">
        <v>164</v>
      </c>
      <c r="H344" s="52" t="s">
        <v>62</v>
      </c>
      <c r="I344" s="53">
        <v>70990</v>
      </c>
      <c r="J344" s="53" t="s">
        <v>63</v>
      </c>
      <c r="K344" s="53" t="s">
        <v>64</v>
      </c>
      <c r="L344" s="53" t="s">
        <v>65</v>
      </c>
      <c r="M344" s="53" t="s">
        <v>66</v>
      </c>
      <c r="N344" s="52" t="str">
        <f ca="1">IF(INDIRECT("M344")="Clásica","15%",IF(INDIRECT("M344")="Premium","19%","-"))</f>
        <v>15%</v>
      </c>
      <c r="O344" s="53" t="s">
        <v>67</v>
      </c>
    </row>
    <row r="345" spans="1:15" ht="49.95" customHeight="1">
      <c r="A345" s="52" t="s">
        <v>24</v>
      </c>
      <c r="B345" s="52" t="s">
        <v>708</v>
      </c>
      <c r="C345" s="52" t="s">
        <v>710</v>
      </c>
      <c r="D345" s="52" t="s">
        <v>710</v>
      </c>
      <c r="E345" s="54" t="str">
        <f>"     "&amp;E344</f>
        <v xml:space="preserve">     Cúpula Parabrisas Doble Burbuja Yamaha R 15 R15 V3</v>
      </c>
      <c r="F345" s="52" t="s">
        <v>224</v>
      </c>
      <c r="G345" s="53">
        <v>1</v>
      </c>
      <c r="H345" s="52" t="s">
        <v>62</v>
      </c>
      <c r="I345" s="52">
        <f>I344</f>
        <v>70990</v>
      </c>
      <c r="J345" s="52" t="str">
        <f>J344&amp;"     "</f>
        <v xml:space="preserve">$     </v>
      </c>
      <c r="K345" s="52" t="str">
        <f>K344&amp;"     "</f>
        <v xml:space="preserve">Nuevo     </v>
      </c>
      <c r="L345" s="52" t="str">
        <f>L344&amp;"     "</f>
        <v xml:space="preserve">Mercado Envíos gratis     </v>
      </c>
      <c r="M345" s="52" t="str">
        <f>M344&amp;"     "</f>
        <v xml:space="preserve">Clásica     </v>
      </c>
      <c r="N345" s="52" t="str">
        <f ca="1">N344</f>
        <v>15%</v>
      </c>
      <c r="O345" s="52" t="str">
        <f>O344&amp;"     "</f>
        <v xml:space="preserve">Activa     </v>
      </c>
    </row>
    <row r="346" spans="1:15" ht="49.95" customHeight="1">
      <c r="A346" s="52" t="s">
        <v>24</v>
      </c>
      <c r="B346" s="52" t="s">
        <v>708</v>
      </c>
      <c r="C346" s="52" t="s">
        <v>711</v>
      </c>
      <c r="D346" s="52" t="s">
        <v>711</v>
      </c>
      <c r="E346" s="54" t="str">
        <f>"     "&amp;E344</f>
        <v xml:space="preserve">     Cúpula Parabrisas Doble Burbuja Yamaha R 15 R15 V3</v>
      </c>
      <c r="F346" s="52" t="s">
        <v>86</v>
      </c>
      <c r="G346" s="53">
        <v>0</v>
      </c>
      <c r="H346" s="52" t="s">
        <v>62</v>
      </c>
      <c r="I346" s="52">
        <f>I344</f>
        <v>70990</v>
      </c>
      <c r="J346" s="52" t="str">
        <f>J344&amp;"     "</f>
        <v xml:space="preserve">$     </v>
      </c>
      <c r="K346" s="52" t="str">
        <f>K344&amp;"     "</f>
        <v xml:space="preserve">Nuevo     </v>
      </c>
      <c r="L346" s="52" t="str">
        <f>L344&amp;"     "</f>
        <v xml:space="preserve">Mercado Envíos gratis     </v>
      </c>
      <c r="M346" s="52" t="str">
        <f>M344&amp;"     "</f>
        <v xml:space="preserve">Clásica     </v>
      </c>
      <c r="N346" s="52" t="str">
        <f ca="1">N344</f>
        <v>15%</v>
      </c>
      <c r="O346" s="52" t="str">
        <f>O344&amp;"     "</f>
        <v xml:space="preserve">Activa     </v>
      </c>
    </row>
    <row r="347" spans="1:15" ht="49.95" customHeight="1">
      <c r="A347" s="52" t="s">
        <v>712</v>
      </c>
      <c r="B347" s="52" t="s">
        <v>713</v>
      </c>
      <c r="C347" s="52" t="s">
        <v>714</v>
      </c>
      <c r="D347" s="52"/>
      <c r="E347" s="52" t="s">
        <v>715</v>
      </c>
      <c r="F347" s="52" t="s">
        <v>715</v>
      </c>
      <c r="G347" s="53">
        <v>2</v>
      </c>
      <c r="H347" s="52" t="s">
        <v>62</v>
      </c>
      <c r="I347" s="53">
        <v>44990</v>
      </c>
      <c r="J347" s="53" t="s">
        <v>63</v>
      </c>
      <c r="K347" s="53" t="s">
        <v>64</v>
      </c>
      <c r="L347" s="53" t="s">
        <v>65</v>
      </c>
      <c r="M347" s="53" t="s">
        <v>66</v>
      </c>
      <c r="N347" s="52" t="str">
        <f ca="1">IF(INDIRECT("M347")="Clásica","14%",IF(INDIRECT("M347")="Premium","18%","-"))</f>
        <v>14%</v>
      </c>
      <c r="O347" s="53" t="s">
        <v>67</v>
      </c>
    </row>
    <row r="348" spans="1:15" ht="49.95" customHeight="1">
      <c r="A348" s="52" t="s">
        <v>716</v>
      </c>
      <c r="B348" s="52" t="s">
        <v>717</v>
      </c>
      <c r="C348" s="52" t="s">
        <v>718</v>
      </c>
      <c r="D348" s="52"/>
      <c r="E348" s="52" t="s">
        <v>719</v>
      </c>
      <c r="F348" s="52" t="s">
        <v>524</v>
      </c>
      <c r="G348" s="53">
        <v>2</v>
      </c>
      <c r="H348" s="52" t="s">
        <v>62</v>
      </c>
      <c r="I348" s="53">
        <v>33990</v>
      </c>
      <c r="J348" s="53" t="s">
        <v>63</v>
      </c>
      <c r="K348" s="53" t="s">
        <v>64</v>
      </c>
      <c r="L348" s="53" t="s">
        <v>65</v>
      </c>
      <c r="M348" s="53" t="s">
        <v>66</v>
      </c>
      <c r="N348" s="52" t="str">
        <f ca="1">IF(INDIRECT("M348")="Clásica","14%",IF(INDIRECT("M348")="Premium","18%","-"))</f>
        <v>14%</v>
      </c>
      <c r="O348" s="53" t="s">
        <v>67</v>
      </c>
    </row>
    <row r="349" spans="1:15" ht="49.95" customHeight="1">
      <c r="A349" s="52" t="s">
        <v>720</v>
      </c>
      <c r="B349" s="52" t="s">
        <v>721</v>
      </c>
      <c r="C349" s="52" t="s">
        <v>722</v>
      </c>
      <c r="D349" s="52"/>
      <c r="E349" s="52" t="s">
        <v>723</v>
      </c>
      <c r="F349" s="52" t="s">
        <v>723</v>
      </c>
      <c r="G349" s="53">
        <v>2</v>
      </c>
      <c r="H349" s="52" t="s">
        <v>62</v>
      </c>
      <c r="I349" s="53">
        <v>39990</v>
      </c>
      <c r="J349" s="53" t="s">
        <v>63</v>
      </c>
      <c r="K349" s="53" t="s">
        <v>64</v>
      </c>
      <c r="L349" s="53" t="s">
        <v>65</v>
      </c>
      <c r="M349" s="53" t="s">
        <v>66</v>
      </c>
      <c r="N349" s="52" t="str">
        <f ca="1">IF(INDIRECT("M349")="Clásica","14%",IF(INDIRECT("M349")="Premium","18%","-"))</f>
        <v>14%</v>
      </c>
      <c r="O349" s="53" t="s">
        <v>67</v>
      </c>
    </row>
    <row r="350" spans="1:15" ht="49.95" customHeight="1">
      <c r="A350" s="52" t="s">
        <v>24</v>
      </c>
      <c r="B350" s="52" t="s">
        <v>724</v>
      </c>
      <c r="C350" s="52"/>
      <c r="D350" s="52"/>
      <c r="E350" s="52" t="s">
        <v>725</v>
      </c>
      <c r="F350" s="52" t="s">
        <v>62</v>
      </c>
      <c r="G350" s="52" t="s">
        <v>82</v>
      </c>
      <c r="H350" s="52" t="s">
        <v>62</v>
      </c>
      <c r="I350" s="53">
        <v>19980</v>
      </c>
      <c r="J350" s="53" t="s">
        <v>63</v>
      </c>
      <c r="K350" s="53" t="s">
        <v>64</v>
      </c>
      <c r="L350" s="53" t="s">
        <v>71</v>
      </c>
      <c r="M350" s="53" t="s">
        <v>66</v>
      </c>
      <c r="N350" s="52" t="str">
        <f ca="1">IF(INDIRECT("M350")="Clásica","15%",IF(INDIRECT("M350")="Premium","19%","-"))</f>
        <v>15%</v>
      </c>
      <c r="O350" s="53" t="s">
        <v>67</v>
      </c>
    </row>
    <row r="351" spans="1:15" ht="49.95" customHeight="1">
      <c r="A351" s="52" t="s">
        <v>24</v>
      </c>
      <c r="B351" s="52" t="s">
        <v>724</v>
      </c>
      <c r="C351" s="52" t="s">
        <v>726</v>
      </c>
      <c r="D351" s="52" t="s">
        <v>726</v>
      </c>
      <c r="E351" s="54" t="str">
        <f>"     "&amp;E350</f>
        <v xml:space="preserve">     Cúpula Parabrisas Doble Burbuja Honda Cbr 500 Desde 2019</v>
      </c>
      <c r="F351" s="52" t="s">
        <v>86</v>
      </c>
      <c r="G351" s="53">
        <v>2</v>
      </c>
      <c r="H351" s="52" t="s">
        <v>62</v>
      </c>
      <c r="I351" s="52">
        <f>I350</f>
        <v>19980</v>
      </c>
      <c r="J351" s="52" t="str">
        <f>J350&amp;"     "</f>
        <v xml:space="preserve">$     </v>
      </c>
      <c r="K351" s="52" t="str">
        <f>K350&amp;"     "</f>
        <v xml:space="preserve">Nuevo     </v>
      </c>
      <c r="L351" s="52" t="str">
        <f>L350&amp;"     "</f>
        <v xml:space="preserve">Mercado Envíos a cargo del comprador     </v>
      </c>
      <c r="M351" s="52" t="str">
        <f>M350&amp;"     "</f>
        <v xml:space="preserve">Clásica     </v>
      </c>
      <c r="N351" s="52" t="str">
        <f ca="1">N350</f>
        <v>15%</v>
      </c>
      <c r="O351" s="52" t="str">
        <f>O350&amp;"     "</f>
        <v xml:space="preserve">Activa     </v>
      </c>
    </row>
    <row r="352" spans="1:15" ht="49.95" customHeight="1">
      <c r="A352" s="52" t="s">
        <v>24</v>
      </c>
      <c r="B352" s="52" t="s">
        <v>724</v>
      </c>
      <c r="C352" s="52" t="s">
        <v>727</v>
      </c>
      <c r="D352" s="52" t="s">
        <v>727</v>
      </c>
      <c r="E352" s="54" t="str">
        <f>"     "&amp;E350</f>
        <v xml:space="preserve">     Cúpula Parabrisas Doble Burbuja Honda Cbr 500 Desde 2019</v>
      </c>
      <c r="F352" s="52" t="s">
        <v>224</v>
      </c>
      <c r="G352" s="53">
        <v>1</v>
      </c>
      <c r="H352" s="52" t="s">
        <v>62</v>
      </c>
      <c r="I352" s="52">
        <f>I350</f>
        <v>19980</v>
      </c>
      <c r="J352" s="52" t="str">
        <f>J350&amp;"     "</f>
        <v xml:space="preserve">$     </v>
      </c>
      <c r="K352" s="52" t="str">
        <f>K350&amp;"     "</f>
        <v xml:space="preserve">Nuevo     </v>
      </c>
      <c r="L352" s="52" t="str">
        <f>L350&amp;"     "</f>
        <v xml:space="preserve">Mercado Envíos a cargo del comprador     </v>
      </c>
      <c r="M352" s="52" t="str">
        <f>M350&amp;"     "</f>
        <v xml:space="preserve">Clásica     </v>
      </c>
      <c r="N352" s="52" t="str">
        <f ca="1">N350</f>
        <v>15%</v>
      </c>
      <c r="O352" s="52" t="str">
        <f>O350&amp;"     "</f>
        <v xml:space="preserve">Activa     </v>
      </c>
    </row>
    <row r="353" spans="1:15" ht="49.95" customHeight="1">
      <c r="A353" s="52" t="s">
        <v>728</v>
      </c>
      <c r="B353" s="52" t="s">
        <v>729</v>
      </c>
      <c r="C353" s="52" t="s">
        <v>730</v>
      </c>
      <c r="D353" s="52"/>
      <c r="E353" s="52" t="s">
        <v>731</v>
      </c>
      <c r="F353" s="52" t="s">
        <v>731</v>
      </c>
      <c r="G353" s="53">
        <v>2</v>
      </c>
      <c r="H353" s="52" t="s">
        <v>62</v>
      </c>
      <c r="I353" s="53">
        <v>29990</v>
      </c>
      <c r="J353" s="53" t="s">
        <v>63</v>
      </c>
      <c r="K353" s="53" t="s">
        <v>64</v>
      </c>
      <c r="L353" s="53" t="s">
        <v>65</v>
      </c>
      <c r="M353" s="53" t="s">
        <v>66</v>
      </c>
      <c r="N353" s="52" t="str">
        <f ca="1">IF(INDIRECT("M353")="Clásica","14%",IF(INDIRECT("M353")="Premium","18%","-"))</f>
        <v>14%</v>
      </c>
      <c r="O353" s="53" t="s">
        <v>67</v>
      </c>
    </row>
    <row r="354" spans="1:15" ht="49.95" customHeight="1">
      <c r="A354" s="52" t="s">
        <v>732</v>
      </c>
      <c r="B354" s="52" t="s">
        <v>733</v>
      </c>
      <c r="C354" s="52" t="s">
        <v>734</v>
      </c>
      <c r="D354" s="52"/>
      <c r="E354" s="52" t="s">
        <v>735</v>
      </c>
      <c r="F354" s="52" t="s">
        <v>735</v>
      </c>
      <c r="G354" s="53">
        <v>2</v>
      </c>
      <c r="H354" s="52" t="s">
        <v>62</v>
      </c>
      <c r="I354" s="53">
        <v>18990</v>
      </c>
      <c r="J354" s="53" t="s">
        <v>63</v>
      </c>
      <c r="K354" s="53" t="s">
        <v>64</v>
      </c>
      <c r="L354" s="53" t="s">
        <v>71</v>
      </c>
      <c r="M354" s="53" t="s">
        <v>66</v>
      </c>
      <c r="N354" s="52" t="str">
        <f ca="1">IF(INDIRECT("M354")="Clásica","14%",IF(INDIRECT("M354")="Premium","18%","-"))</f>
        <v>14%</v>
      </c>
      <c r="O354" s="53" t="s">
        <v>67</v>
      </c>
    </row>
    <row r="355" spans="1:15" ht="49.95" customHeight="1">
      <c r="A355" s="52" t="s">
        <v>736</v>
      </c>
      <c r="B355" s="52" t="s">
        <v>737</v>
      </c>
      <c r="C355" s="52" t="s">
        <v>738</v>
      </c>
      <c r="D355" s="52"/>
      <c r="E355" s="52" t="s">
        <v>739</v>
      </c>
      <c r="F355" s="52" t="s">
        <v>739</v>
      </c>
      <c r="G355" s="53">
        <v>2</v>
      </c>
      <c r="H355" s="52" t="s">
        <v>62</v>
      </c>
      <c r="I355" s="53">
        <v>44990</v>
      </c>
      <c r="J355" s="53" t="s">
        <v>63</v>
      </c>
      <c r="K355" s="53" t="s">
        <v>64</v>
      </c>
      <c r="L355" s="53" t="s">
        <v>65</v>
      </c>
      <c r="M355" s="53" t="s">
        <v>66</v>
      </c>
      <c r="N355" s="52" t="str">
        <f ca="1">IF(INDIRECT("M355")="Clásica","14%",IF(INDIRECT("M355")="Premium","18%","-"))</f>
        <v>14%</v>
      </c>
      <c r="O355" s="53" t="s">
        <v>67</v>
      </c>
    </row>
    <row r="356" spans="1:15" ht="49.95" customHeight="1">
      <c r="A356" s="52" t="s">
        <v>24</v>
      </c>
      <c r="B356" s="52" t="s">
        <v>740</v>
      </c>
      <c r="C356" s="52"/>
      <c r="D356" s="52"/>
      <c r="E356" s="52" t="s">
        <v>741</v>
      </c>
      <c r="F356" s="52" t="s">
        <v>62</v>
      </c>
      <c r="G356" s="52" t="s">
        <v>164</v>
      </c>
      <c r="H356" s="52" t="s">
        <v>62</v>
      </c>
      <c r="I356" s="53">
        <v>69990</v>
      </c>
      <c r="J356" s="53" t="s">
        <v>63</v>
      </c>
      <c r="K356" s="53" t="s">
        <v>64</v>
      </c>
      <c r="L356" s="53" t="s">
        <v>65</v>
      </c>
      <c r="M356" s="53" t="s">
        <v>66</v>
      </c>
      <c r="N356" s="52" t="str">
        <f ca="1">IF(INDIRECT("M356")="Clásica","14%",IF(INDIRECT("M356")="Premium","18%","-"))</f>
        <v>14%</v>
      </c>
      <c r="O356" s="53" t="s">
        <v>67</v>
      </c>
    </row>
    <row r="357" spans="1:15" ht="49.95" customHeight="1">
      <c r="A357" s="52" t="s">
        <v>24</v>
      </c>
      <c r="B357" s="52" t="s">
        <v>740</v>
      </c>
      <c r="C357" s="52" t="s">
        <v>742</v>
      </c>
      <c r="D357" s="52" t="s">
        <v>742</v>
      </c>
      <c r="E357" s="54" t="str">
        <f>"     "&amp;E356</f>
        <v xml:space="preserve">     Sliders Topes De Caída Simples Yamaha R3 Hasta Año 2018</v>
      </c>
      <c r="F357" s="52" t="s">
        <v>84</v>
      </c>
      <c r="G357" s="53">
        <v>1</v>
      </c>
      <c r="H357" s="52" t="s">
        <v>62</v>
      </c>
      <c r="I357" s="52">
        <f>I356</f>
        <v>69990</v>
      </c>
      <c r="J357" s="52" t="str">
        <f>J356&amp;"     "</f>
        <v xml:space="preserve">$     </v>
      </c>
      <c r="K357" s="52" t="str">
        <f>K356&amp;"     "</f>
        <v xml:space="preserve">Nuevo     </v>
      </c>
      <c r="L357" s="52" t="str">
        <f>L356&amp;"     "</f>
        <v xml:space="preserve">Mercado Envíos gratis     </v>
      </c>
      <c r="M357" s="52" t="str">
        <f>M356&amp;"     "</f>
        <v xml:space="preserve">Clásica     </v>
      </c>
      <c r="N357" s="52" t="str">
        <f ca="1">N356</f>
        <v>14%</v>
      </c>
      <c r="O357" s="52" t="str">
        <f>O356&amp;"     "</f>
        <v xml:space="preserve">Activa     </v>
      </c>
    </row>
    <row r="358" spans="1:15" ht="49.95" customHeight="1">
      <c r="A358" s="52" t="s">
        <v>24</v>
      </c>
      <c r="B358" s="52" t="s">
        <v>740</v>
      </c>
      <c r="C358" s="52" t="s">
        <v>743</v>
      </c>
      <c r="D358" s="52" t="s">
        <v>743</v>
      </c>
      <c r="E358" s="54" t="str">
        <f>"     "&amp;E356</f>
        <v xml:space="preserve">     Sliders Topes De Caída Simples Yamaha R3 Hasta Año 2018</v>
      </c>
      <c r="F358" s="52" t="s">
        <v>86</v>
      </c>
      <c r="G358" s="53">
        <v>0</v>
      </c>
      <c r="H358" s="52" t="s">
        <v>62</v>
      </c>
      <c r="I358" s="52">
        <f>I356</f>
        <v>69990</v>
      </c>
      <c r="J358" s="52" t="str">
        <f>J356&amp;"     "</f>
        <v xml:space="preserve">$     </v>
      </c>
      <c r="K358" s="52" t="str">
        <f>K356&amp;"     "</f>
        <v xml:space="preserve">Nuevo     </v>
      </c>
      <c r="L358" s="52" t="str">
        <f>L356&amp;"     "</f>
        <v xml:space="preserve">Mercado Envíos gratis     </v>
      </c>
      <c r="M358" s="52" t="str">
        <f>M356&amp;"     "</f>
        <v xml:space="preserve">Clásica     </v>
      </c>
      <c r="N358" s="52" t="str">
        <f ca="1">N356</f>
        <v>14%</v>
      </c>
      <c r="O358" s="52" t="str">
        <f>O356&amp;"     "</f>
        <v xml:space="preserve">Activa     </v>
      </c>
    </row>
    <row r="359" spans="1:15" ht="49.95" customHeight="1">
      <c r="A359" s="52" t="s">
        <v>744</v>
      </c>
      <c r="B359" s="52" t="s">
        <v>745</v>
      </c>
      <c r="C359" s="52" t="s">
        <v>746</v>
      </c>
      <c r="D359" s="52"/>
      <c r="E359" s="52" t="s">
        <v>747</v>
      </c>
      <c r="F359" s="52" t="s">
        <v>86</v>
      </c>
      <c r="G359" s="53">
        <v>2</v>
      </c>
      <c r="H359" s="52" t="s">
        <v>62</v>
      </c>
      <c r="I359" s="53">
        <v>51990</v>
      </c>
      <c r="J359" s="53" t="s">
        <v>63</v>
      </c>
      <c r="K359" s="53" t="s">
        <v>64</v>
      </c>
      <c r="L359" s="53" t="s">
        <v>65</v>
      </c>
      <c r="M359" s="53" t="s">
        <v>66</v>
      </c>
      <c r="N359" s="52" t="str">
        <f ca="1">IF(INDIRECT("M359")="Clásica","14%",IF(INDIRECT("M359")="Premium","18%","-"))</f>
        <v>14%</v>
      </c>
      <c r="O359" s="53" t="s">
        <v>67</v>
      </c>
    </row>
    <row r="360" spans="1:15" ht="49.95" customHeight="1">
      <c r="A360" s="52" t="s">
        <v>748</v>
      </c>
      <c r="B360" s="52" t="s">
        <v>749</v>
      </c>
      <c r="C360" s="52" t="s">
        <v>750</v>
      </c>
      <c r="D360" s="52"/>
      <c r="E360" s="52" t="s">
        <v>751</v>
      </c>
      <c r="F360" s="52" t="s">
        <v>751</v>
      </c>
      <c r="G360" s="53">
        <v>2</v>
      </c>
      <c r="H360" s="52" t="s">
        <v>62</v>
      </c>
      <c r="I360" s="53">
        <v>27990</v>
      </c>
      <c r="J360" s="53" t="s">
        <v>63</v>
      </c>
      <c r="K360" s="53" t="s">
        <v>64</v>
      </c>
      <c r="L360" s="53" t="s">
        <v>65</v>
      </c>
      <c r="M360" s="53" t="s">
        <v>66</v>
      </c>
      <c r="N360" s="52" t="str">
        <f ca="1">IF(INDIRECT("M360")="Clásica","15%",IF(INDIRECT("M360")="Premium","19%","-"))</f>
        <v>15%</v>
      </c>
      <c r="O360" s="53" t="s">
        <v>67</v>
      </c>
    </row>
    <row r="361" spans="1:15" ht="49.95" customHeight="1">
      <c r="A361" s="52" t="s">
        <v>752</v>
      </c>
      <c r="B361" s="52" t="s">
        <v>753</v>
      </c>
      <c r="C361" s="52" t="s">
        <v>754</v>
      </c>
      <c r="D361" s="52"/>
      <c r="E361" s="52" t="s">
        <v>755</v>
      </c>
      <c r="F361" s="52" t="s">
        <v>755</v>
      </c>
      <c r="G361" s="53">
        <v>4</v>
      </c>
      <c r="H361" s="52" t="s">
        <v>62</v>
      </c>
      <c r="I361" s="53">
        <v>18990</v>
      </c>
      <c r="J361" s="53" t="s">
        <v>63</v>
      </c>
      <c r="K361" s="53" t="s">
        <v>64</v>
      </c>
      <c r="L361" s="53" t="s">
        <v>71</v>
      </c>
      <c r="M361" s="53" t="s">
        <v>66</v>
      </c>
      <c r="N361" s="52" t="str">
        <f ca="1">IF(INDIRECT("M361")="Clásica","15%",IF(INDIRECT("M361")="Premium","19%","-"))</f>
        <v>15%</v>
      </c>
      <c r="O361" s="53" t="s">
        <v>67</v>
      </c>
    </row>
    <row r="362" spans="1:15" ht="49.95" customHeight="1">
      <c r="A362" s="52" t="s">
        <v>756</v>
      </c>
      <c r="B362" s="52" t="s">
        <v>757</v>
      </c>
      <c r="C362" s="52" t="s">
        <v>758</v>
      </c>
      <c r="D362" s="52"/>
      <c r="E362" s="52" t="s">
        <v>759</v>
      </c>
      <c r="F362" s="52" t="s">
        <v>86</v>
      </c>
      <c r="G362" s="53">
        <v>2</v>
      </c>
      <c r="H362" s="52" t="s">
        <v>62</v>
      </c>
      <c r="I362" s="53">
        <v>24990</v>
      </c>
      <c r="J362" s="53" t="s">
        <v>63</v>
      </c>
      <c r="K362" s="53" t="s">
        <v>64</v>
      </c>
      <c r="L362" s="53" t="s">
        <v>65</v>
      </c>
      <c r="M362" s="53" t="s">
        <v>66</v>
      </c>
      <c r="N362" s="52" t="str">
        <f ca="1">IF(INDIRECT("M362")="Clásica","14%",IF(INDIRECT("M362")="Premium","18%","-"))</f>
        <v>14%</v>
      </c>
      <c r="O362" s="53" t="s">
        <v>67</v>
      </c>
    </row>
    <row r="363" spans="1:15" ht="49.95" customHeight="1">
      <c r="A363" s="52" t="s">
        <v>760</v>
      </c>
      <c r="B363" s="52" t="s">
        <v>761</v>
      </c>
      <c r="C363" s="52" t="s">
        <v>762</v>
      </c>
      <c r="D363" s="52"/>
      <c r="E363" s="52" t="s">
        <v>763</v>
      </c>
      <c r="F363" s="52" t="s">
        <v>763</v>
      </c>
      <c r="G363" s="53">
        <v>2</v>
      </c>
      <c r="H363" s="52" t="s">
        <v>62</v>
      </c>
      <c r="I363" s="53">
        <v>89990</v>
      </c>
      <c r="J363" s="53" t="s">
        <v>63</v>
      </c>
      <c r="K363" s="53" t="s">
        <v>64</v>
      </c>
      <c r="L363" s="53" t="s">
        <v>65</v>
      </c>
      <c r="M363" s="53" t="s">
        <v>66</v>
      </c>
      <c r="N363" s="52" t="str">
        <f ca="1">IF(INDIRECT("M363")="Clásica","14%",IF(INDIRECT("M363")="Premium","18%","-"))</f>
        <v>14%</v>
      </c>
      <c r="O363" s="53" t="s">
        <v>67</v>
      </c>
    </row>
    <row r="364" spans="1:15" ht="49.95" customHeight="1">
      <c r="A364" s="52" t="s">
        <v>764</v>
      </c>
      <c r="B364" s="52" t="s">
        <v>765</v>
      </c>
      <c r="C364" s="52" t="s">
        <v>766</v>
      </c>
      <c r="D364" s="52"/>
      <c r="E364" s="52" t="s">
        <v>767</v>
      </c>
      <c r="F364" s="52" t="s">
        <v>767</v>
      </c>
      <c r="G364" s="53">
        <v>1</v>
      </c>
      <c r="H364" s="52" t="s">
        <v>62</v>
      </c>
      <c r="I364" s="53">
        <v>29990</v>
      </c>
      <c r="J364" s="53" t="s">
        <v>63</v>
      </c>
      <c r="K364" s="53" t="s">
        <v>64</v>
      </c>
      <c r="L364" s="53" t="s">
        <v>65</v>
      </c>
      <c r="M364" s="53" t="s">
        <v>66</v>
      </c>
      <c r="N364" s="52" t="str">
        <f ca="1">IF(INDIRECT("M364")="Clásica","14%",IF(INDIRECT("M364")="Premium","18%","-"))</f>
        <v>14%</v>
      </c>
      <c r="O364" s="53" t="s">
        <v>67</v>
      </c>
    </row>
    <row r="365" spans="1:15" ht="49.95" customHeight="1">
      <c r="A365" s="52" t="s">
        <v>768</v>
      </c>
      <c r="B365" s="52" t="s">
        <v>769</v>
      </c>
      <c r="C365" s="52" t="s">
        <v>770</v>
      </c>
      <c r="D365" s="52"/>
      <c r="E365" s="52" t="s">
        <v>771</v>
      </c>
      <c r="F365" s="52" t="s">
        <v>771</v>
      </c>
      <c r="G365" s="53">
        <v>2</v>
      </c>
      <c r="H365" s="52" t="s">
        <v>62</v>
      </c>
      <c r="I365" s="53">
        <v>173990</v>
      </c>
      <c r="J365" s="53" t="s">
        <v>63</v>
      </c>
      <c r="K365" s="53" t="s">
        <v>64</v>
      </c>
      <c r="L365" s="53" t="s">
        <v>65</v>
      </c>
      <c r="M365" s="53" t="s">
        <v>66</v>
      </c>
      <c r="N365" s="52" t="str">
        <f ca="1">IF(INDIRECT("M365")="Clásica","15%",IF(INDIRECT("M365")="Premium","19%","-"))</f>
        <v>15%</v>
      </c>
      <c r="O365" s="53" t="s">
        <v>67</v>
      </c>
    </row>
    <row r="366" spans="1:15" ht="49.95" customHeight="1">
      <c r="A366" s="52" t="s">
        <v>772</v>
      </c>
      <c r="B366" s="52" t="s">
        <v>773</v>
      </c>
      <c r="C366" s="52" t="s">
        <v>774</v>
      </c>
      <c r="D366" s="52"/>
      <c r="E366" s="52" t="s">
        <v>775</v>
      </c>
      <c r="F366" s="52" t="s">
        <v>524</v>
      </c>
      <c r="G366" s="53">
        <v>2</v>
      </c>
      <c r="H366" s="52" t="s">
        <v>62</v>
      </c>
      <c r="I366" s="53">
        <v>26990</v>
      </c>
      <c r="J366" s="53" t="s">
        <v>63</v>
      </c>
      <c r="K366" s="53" t="s">
        <v>64</v>
      </c>
      <c r="L366" s="53" t="s">
        <v>65</v>
      </c>
      <c r="M366" s="53" t="s">
        <v>66</v>
      </c>
      <c r="N366" s="52" t="str">
        <f ca="1">IF(INDIRECT("M366")="Clásica","14%",IF(INDIRECT("M366")="Premium","18%","-"))</f>
        <v>14%</v>
      </c>
      <c r="O366" s="53" t="s">
        <v>67</v>
      </c>
    </row>
    <row r="367" spans="1:15" ht="49.95" customHeight="1">
      <c r="A367" s="52" t="s">
        <v>776</v>
      </c>
      <c r="B367" s="52" t="s">
        <v>777</v>
      </c>
      <c r="C367" s="52" t="s">
        <v>778</v>
      </c>
      <c r="D367" s="52"/>
      <c r="E367" s="52" t="s">
        <v>779</v>
      </c>
      <c r="F367" s="52" t="s">
        <v>779</v>
      </c>
      <c r="G367" s="53">
        <v>2</v>
      </c>
      <c r="H367" s="52" t="s">
        <v>62</v>
      </c>
      <c r="I367" s="53">
        <v>33990</v>
      </c>
      <c r="J367" s="53" t="s">
        <v>63</v>
      </c>
      <c r="K367" s="53" t="s">
        <v>64</v>
      </c>
      <c r="L367" s="53" t="s">
        <v>65</v>
      </c>
      <c r="M367" s="53" t="s">
        <v>66</v>
      </c>
      <c r="N367" s="52" t="str">
        <f ca="1">IF(INDIRECT("M367")="Clásica","15%",IF(INDIRECT("M367")="Premium","19%","-"))</f>
        <v>15%</v>
      </c>
      <c r="O367" s="53" t="s">
        <v>67</v>
      </c>
    </row>
    <row r="368" spans="1:15" ht="49.95" customHeight="1">
      <c r="A368" s="52" t="s">
        <v>780</v>
      </c>
      <c r="B368" s="52" t="s">
        <v>781</v>
      </c>
      <c r="C368" s="52" t="s">
        <v>782</v>
      </c>
      <c r="D368" s="52"/>
      <c r="E368" s="52" t="s">
        <v>783</v>
      </c>
      <c r="F368" s="52" t="s">
        <v>86</v>
      </c>
      <c r="G368" s="53">
        <v>2</v>
      </c>
      <c r="H368" s="52" t="s">
        <v>62</v>
      </c>
      <c r="I368" s="53">
        <v>24990</v>
      </c>
      <c r="J368" s="53" t="s">
        <v>63</v>
      </c>
      <c r="K368" s="53" t="s">
        <v>64</v>
      </c>
      <c r="L368" s="53" t="s">
        <v>65</v>
      </c>
      <c r="M368" s="53" t="s">
        <v>66</v>
      </c>
      <c r="N368" s="52" t="str">
        <f ca="1">IF(INDIRECT("M368")="Clásica","14%",IF(INDIRECT("M368")="Premium","18%","-"))</f>
        <v>14%</v>
      </c>
      <c r="O368" s="53" t="s">
        <v>67</v>
      </c>
    </row>
    <row r="369" spans="1:15" ht="49.95" customHeight="1">
      <c r="A369" s="52" t="s">
        <v>784</v>
      </c>
      <c r="B369" s="52" t="s">
        <v>785</v>
      </c>
      <c r="C369" s="52" t="s">
        <v>786</v>
      </c>
      <c r="D369" s="52"/>
      <c r="E369" s="52" t="s">
        <v>787</v>
      </c>
      <c r="F369" s="52" t="s">
        <v>84</v>
      </c>
      <c r="G369" s="53">
        <v>4</v>
      </c>
      <c r="H369" s="52" t="s">
        <v>62</v>
      </c>
      <c r="I369" s="53">
        <v>13990</v>
      </c>
      <c r="J369" s="53" t="s">
        <v>63</v>
      </c>
      <c r="K369" s="53" t="s">
        <v>64</v>
      </c>
      <c r="L369" s="53" t="s">
        <v>71</v>
      </c>
      <c r="M369" s="53" t="s">
        <v>66</v>
      </c>
      <c r="N369" s="52" t="str">
        <f ca="1">IF(INDIRECT("M369")="Clásica","15%",IF(INDIRECT("M369")="Premium","19%","-"))</f>
        <v>15%</v>
      </c>
      <c r="O369" s="53" t="s">
        <v>67</v>
      </c>
    </row>
    <row r="370" spans="1:15" ht="49.95" customHeight="1">
      <c r="A370" s="52" t="s">
        <v>788</v>
      </c>
      <c r="B370" s="52" t="s">
        <v>789</v>
      </c>
      <c r="C370" s="52" t="s">
        <v>790</v>
      </c>
      <c r="D370" s="52"/>
      <c r="E370" s="52" t="s">
        <v>791</v>
      </c>
      <c r="F370" s="52" t="s">
        <v>791</v>
      </c>
      <c r="G370" s="53">
        <v>2</v>
      </c>
      <c r="H370" s="52" t="s">
        <v>62</v>
      </c>
      <c r="I370" s="53">
        <v>36990</v>
      </c>
      <c r="J370" s="53" t="s">
        <v>63</v>
      </c>
      <c r="K370" s="53" t="s">
        <v>64</v>
      </c>
      <c r="L370" s="53" t="s">
        <v>65</v>
      </c>
      <c r="M370" s="53" t="s">
        <v>66</v>
      </c>
      <c r="N370" s="52" t="str">
        <f ca="1">IF(INDIRECT("M370")="Clásica","15%",IF(INDIRECT("M370")="Premium","19%","-"))</f>
        <v>15%</v>
      </c>
      <c r="O370" s="53" t="s">
        <v>67</v>
      </c>
    </row>
    <row r="371" spans="1:15" ht="49.95" customHeight="1">
      <c r="A371" s="52" t="s">
        <v>792</v>
      </c>
      <c r="B371" s="52" t="s">
        <v>793</v>
      </c>
      <c r="C371" s="52" t="s">
        <v>794</v>
      </c>
      <c r="D371" s="52"/>
      <c r="E371" s="52" t="s">
        <v>795</v>
      </c>
      <c r="F371" s="52" t="s">
        <v>795</v>
      </c>
      <c r="G371" s="53">
        <v>2</v>
      </c>
      <c r="H371" s="52" t="s">
        <v>62</v>
      </c>
      <c r="I371" s="53">
        <v>19980</v>
      </c>
      <c r="J371" s="53" t="s">
        <v>63</v>
      </c>
      <c r="K371" s="53" t="s">
        <v>64</v>
      </c>
      <c r="L371" s="53" t="s">
        <v>71</v>
      </c>
      <c r="M371" s="53" t="s">
        <v>66</v>
      </c>
      <c r="N371" s="52" t="str">
        <f ca="1">IF(INDIRECT("M371")="Clásica","15%",IF(INDIRECT("M371")="Premium","19%","-"))</f>
        <v>15%</v>
      </c>
      <c r="O371" s="53" t="s">
        <v>67</v>
      </c>
    </row>
    <row r="372" spans="1:15" ht="49.95" customHeight="1">
      <c r="A372" s="52" t="s">
        <v>384</v>
      </c>
      <c r="B372" s="52" t="s">
        <v>796</v>
      </c>
      <c r="C372" s="52" t="s">
        <v>386</v>
      </c>
      <c r="D372" s="52"/>
      <c r="E372" s="52" t="s">
        <v>797</v>
      </c>
      <c r="F372" s="52" t="s">
        <v>798</v>
      </c>
      <c r="G372" s="53">
        <v>1</v>
      </c>
      <c r="H372" s="52" t="s">
        <v>62</v>
      </c>
      <c r="I372" s="53">
        <v>89990</v>
      </c>
      <c r="J372" s="53" t="s">
        <v>63</v>
      </c>
      <c r="K372" s="53" t="s">
        <v>64</v>
      </c>
      <c r="L372" s="53" t="s">
        <v>65</v>
      </c>
      <c r="M372" s="53" t="s">
        <v>66</v>
      </c>
      <c r="N372" s="52" t="str">
        <f ca="1">IF(INDIRECT("M372")="Clásica","15%",IF(INDIRECT("M372")="Premium","19%","-"))</f>
        <v>15%</v>
      </c>
      <c r="O372" s="53" t="s">
        <v>67</v>
      </c>
    </row>
    <row r="373" spans="1:15" ht="49.95" customHeight="1">
      <c r="A373" s="52" t="s">
        <v>799</v>
      </c>
      <c r="B373" s="52" t="s">
        <v>800</v>
      </c>
      <c r="C373" s="52" t="s">
        <v>801</v>
      </c>
      <c r="D373" s="52"/>
      <c r="E373" s="52" t="s">
        <v>802</v>
      </c>
      <c r="F373" s="52" t="s">
        <v>62</v>
      </c>
      <c r="G373" s="53">
        <v>3</v>
      </c>
      <c r="H373" s="52" t="s">
        <v>62</v>
      </c>
      <c r="I373" s="53">
        <v>69990</v>
      </c>
      <c r="J373" s="53" t="s">
        <v>63</v>
      </c>
      <c r="K373" s="52" t="s">
        <v>64</v>
      </c>
      <c r="L373" s="53" t="s">
        <v>65</v>
      </c>
      <c r="M373" s="53" t="s">
        <v>66</v>
      </c>
      <c r="N373" s="52" t="str">
        <f ca="1">IF(INDIRECT("M373")="Clásica","15%",IF(INDIRECT("M373")="Premium","19%","-"))</f>
        <v>15%</v>
      </c>
      <c r="O373" s="53" t="s">
        <v>67</v>
      </c>
    </row>
    <row r="374" spans="1:15" ht="49.95" customHeight="1">
      <c r="A374" s="52" t="s">
        <v>803</v>
      </c>
      <c r="B374" s="52" t="s">
        <v>804</v>
      </c>
      <c r="C374" s="52" t="s">
        <v>805</v>
      </c>
      <c r="D374" s="52"/>
      <c r="E374" s="52" t="s">
        <v>806</v>
      </c>
      <c r="F374" s="52" t="s">
        <v>806</v>
      </c>
      <c r="G374" s="53">
        <v>1</v>
      </c>
      <c r="H374" s="52" t="s">
        <v>62</v>
      </c>
      <c r="I374" s="53">
        <v>59990</v>
      </c>
      <c r="J374" s="53" t="s">
        <v>63</v>
      </c>
      <c r="K374" s="53" t="s">
        <v>64</v>
      </c>
      <c r="L374" s="53" t="s">
        <v>65</v>
      </c>
      <c r="M374" s="53" t="s">
        <v>66</v>
      </c>
      <c r="N374" s="52" t="str">
        <f ca="1">IF(INDIRECT("M374")="Clásica","14%",IF(INDIRECT("M374")="Premium","18%","-"))</f>
        <v>14%</v>
      </c>
      <c r="O374" s="53" t="s">
        <v>67</v>
      </c>
    </row>
    <row r="375" spans="1:15" ht="49.95" customHeight="1">
      <c r="A375" s="52" t="s">
        <v>807</v>
      </c>
      <c r="B375" s="52" t="s">
        <v>808</v>
      </c>
      <c r="C375" s="52" t="s">
        <v>809</v>
      </c>
      <c r="D375" s="52"/>
      <c r="E375" s="52" t="s">
        <v>810</v>
      </c>
      <c r="F375" s="52" t="s">
        <v>86</v>
      </c>
      <c r="G375" s="53">
        <v>2</v>
      </c>
      <c r="H375" s="52" t="s">
        <v>62</v>
      </c>
      <c r="I375" s="53">
        <v>29990</v>
      </c>
      <c r="J375" s="53" t="s">
        <v>63</v>
      </c>
      <c r="K375" s="53" t="s">
        <v>64</v>
      </c>
      <c r="L375" s="53" t="s">
        <v>65</v>
      </c>
      <c r="M375" s="53" t="s">
        <v>66</v>
      </c>
      <c r="N375" s="52" t="str">
        <f ca="1">IF(INDIRECT("M375")="Clásica","14%",IF(INDIRECT("M375")="Premium","18%","-"))</f>
        <v>14%</v>
      </c>
      <c r="O375" s="53" t="s">
        <v>67</v>
      </c>
    </row>
    <row r="376" spans="1:15" ht="49.95" customHeight="1">
      <c r="A376" s="52" t="s">
        <v>811</v>
      </c>
      <c r="B376" s="52" t="s">
        <v>812</v>
      </c>
      <c r="C376" s="52" t="s">
        <v>813</v>
      </c>
      <c r="D376" s="52"/>
      <c r="E376" s="52" t="s">
        <v>814</v>
      </c>
      <c r="F376" s="52" t="s">
        <v>814</v>
      </c>
      <c r="G376" s="53">
        <v>2</v>
      </c>
      <c r="H376" s="52" t="s">
        <v>62</v>
      </c>
      <c r="I376" s="53">
        <v>29990</v>
      </c>
      <c r="J376" s="53" t="s">
        <v>63</v>
      </c>
      <c r="K376" s="53" t="s">
        <v>64</v>
      </c>
      <c r="L376" s="53" t="s">
        <v>65</v>
      </c>
      <c r="M376" s="53" t="s">
        <v>66</v>
      </c>
      <c r="N376" s="52" t="str">
        <f ca="1">IF(INDIRECT("M376")="Clásica","14%",IF(INDIRECT("M376")="Premium","18%","-"))</f>
        <v>14%</v>
      </c>
      <c r="O376" s="53" t="s">
        <v>67</v>
      </c>
    </row>
    <row r="377" spans="1:15" ht="49.95" customHeight="1">
      <c r="A377" s="52" t="s">
        <v>815</v>
      </c>
      <c r="B377" s="52" t="s">
        <v>816</v>
      </c>
      <c r="C377" s="52" t="s">
        <v>817</v>
      </c>
      <c r="D377" s="52"/>
      <c r="E377" s="52" t="s">
        <v>818</v>
      </c>
      <c r="F377" s="52" t="s">
        <v>819</v>
      </c>
      <c r="G377" s="53">
        <v>1</v>
      </c>
      <c r="H377" s="52" t="s">
        <v>62</v>
      </c>
      <c r="I377" s="53">
        <v>18990</v>
      </c>
      <c r="J377" s="53" t="s">
        <v>63</v>
      </c>
      <c r="K377" s="53" t="s">
        <v>64</v>
      </c>
      <c r="L377" s="53" t="s">
        <v>71</v>
      </c>
      <c r="M377" s="53" t="s">
        <v>66</v>
      </c>
      <c r="N377" s="52" t="str">
        <f ca="1">IF(INDIRECT("M377")="Clásica","14%",IF(INDIRECT("M377")="Premium","18%","-"))</f>
        <v>14%</v>
      </c>
      <c r="O377" s="53" t="s">
        <v>67</v>
      </c>
    </row>
    <row r="378" spans="1:15" ht="49.95" customHeight="1">
      <c r="A378" s="52" t="s">
        <v>820</v>
      </c>
      <c r="B378" s="52" t="s">
        <v>821</v>
      </c>
      <c r="C378" s="52" t="s">
        <v>822</v>
      </c>
      <c r="D378" s="52"/>
      <c r="E378" s="52" t="s">
        <v>823</v>
      </c>
      <c r="F378" s="52" t="s">
        <v>823</v>
      </c>
      <c r="G378" s="53">
        <v>1</v>
      </c>
      <c r="H378" s="52" t="s">
        <v>62</v>
      </c>
      <c r="I378" s="53">
        <v>24990</v>
      </c>
      <c r="J378" s="53" t="s">
        <v>63</v>
      </c>
      <c r="K378" s="53" t="s">
        <v>64</v>
      </c>
      <c r="L378" s="53" t="s">
        <v>65</v>
      </c>
      <c r="M378" s="53" t="s">
        <v>66</v>
      </c>
      <c r="N378" s="52" t="str">
        <f ca="1">IF(INDIRECT("M378")="Clásica","16%",IF(INDIRECT("M378")="Premium","20%","-"))</f>
        <v>16%</v>
      </c>
      <c r="O378" s="53" t="s">
        <v>67</v>
      </c>
    </row>
    <row r="379" spans="1:15" ht="49.95" customHeight="1">
      <c r="A379" s="52" t="s">
        <v>824</v>
      </c>
      <c r="B379" s="52" t="s">
        <v>825</v>
      </c>
      <c r="C379" s="52" t="s">
        <v>826</v>
      </c>
      <c r="D379" s="52"/>
      <c r="E379" s="52" t="s">
        <v>827</v>
      </c>
      <c r="F379" s="52" t="s">
        <v>827</v>
      </c>
      <c r="G379" s="53">
        <v>2</v>
      </c>
      <c r="H379" s="52" t="s">
        <v>62</v>
      </c>
      <c r="I379" s="53">
        <v>69990</v>
      </c>
      <c r="J379" s="53" t="s">
        <v>63</v>
      </c>
      <c r="K379" s="53" t="s">
        <v>64</v>
      </c>
      <c r="L379" s="53" t="s">
        <v>65</v>
      </c>
      <c r="M379" s="53" t="s">
        <v>66</v>
      </c>
      <c r="N379" s="52" t="str">
        <f ca="1">IF(INDIRECT("M379")="Clásica","14%",IF(INDIRECT("M379")="Premium","18%","-"))</f>
        <v>14%</v>
      </c>
      <c r="O379" s="53" t="s">
        <v>67</v>
      </c>
    </row>
    <row r="380" spans="1:15" ht="49.95" customHeight="1">
      <c r="A380" s="52" t="s">
        <v>828</v>
      </c>
      <c r="B380" s="52" t="s">
        <v>829</v>
      </c>
      <c r="C380" s="52" t="s">
        <v>830</v>
      </c>
      <c r="D380" s="52"/>
      <c r="E380" s="52" t="s">
        <v>831</v>
      </c>
      <c r="F380" s="52" t="s">
        <v>86</v>
      </c>
      <c r="G380" s="53">
        <v>2</v>
      </c>
      <c r="H380" s="52" t="s">
        <v>62</v>
      </c>
      <c r="I380" s="52" t="s">
        <v>24</v>
      </c>
      <c r="J380" s="53" t="s">
        <v>63</v>
      </c>
      <c r="K380" s="53" t="s">
        <v>64</v>
      </c>
      <c r="L380" s="53" t="s">
        <v>71</v>
      </c>
      <c r="M380" s="53" t="s">
        <v>66</v>
      </c>
      <c r="N380" s="52" t="str">
        <f ca="1">IF(INDIRECT("M380")="Clásica","14%",IF(INDIRECT("M380")="Premium","18%","-"))</f>
        <v>14%</v>
      </c>
      <c r="O380" s="53" t="s">
        <v>67</v>
      </c>
    </row>
    <row r="381" spans="1:15" ht="49.95" customHeight="1">
      <c r="A381" s="52" t="s">
        <v>832</v>
      </c>
      <c r="B381" s="52" t="s">
        <v>833</v>
      </c>
      <c r="C381" s="52" t="s">
        <v>834</v>
      </c>
      <c r="D381" s="52"/>
      <c r="E381" s="52" t="s">
        <v>835</v>
      </c>
      <c r="F381" s="52" t="s">
        <v>835</v>
      </c>
      <c r="G381" s="53">
        <v>2</v>
      </c>
      <c r="H381" s="52" t="s">
        <v>62</v>
      </c>
      <c r="I381" s="53">
        <v>37990</v>
      </c>
      <c r="J381" s="53" t="s">
        <v>63</v>
      </c>
      <c r="K381" s="53" t="s">
        <v>64</v>
      </c>
      <c r="L381" s="53" t="s">
        <v>65</v>
      </c>
      <c r="M381" s="53" t="s">
        <v>66</v>
      </c>
      <c r="N381" s="52" t="str">
        <f ca="1">IF(INDIRECT("M381")="Clásica","14%",IF(INDIRECT("M381")="Premium","18%","-"))</f>
        <v>14%</v>
      </c>
      <c r="O381" s="53" t="s">
        <v>67</v>
      </c>
    </row>
    <row r="382" spans="1:15" ht="49.95" customHeight="1">
      <c r="A382" s="52" t="s">
        <v>836</v>
      </c>
      <c r="B382" s="52" t="s">
        <v>837</v>
      </c>
      <c r="C382" s="52" t="s">
        <v>838</v>
      </c>
      <c r="D382" s="52"/>
      <c r="E382" s="52" t="s">
        <v>839</v>
      </c>
      <c r="F382" s="52" t="s">
        <v>86</v>
      </c>
      <c r="G382" s="53">
        <v>2</v>
      </c>
      <c r="H382" s="52" t="s">
        <v>62</v>
      </c>
      <c r="I382" s="53">
        <v>18990</v>
      </c>
      <c r="J382" s="53" t="s">
        <v>63</v>
      </c>
      <c r="K382" s="53" t="s">
        <v>64</v>
      </c>
      <c r="L382" s="53" t="s">
        <v>71</v>
      </c>
      <c r="M382" s="53" t="s">
        <v>66</v>
      </c>
      <c r="N382" s="52" t="str">
        <f ca="1">IF(INDIRECT("M382")="Clásica","14%",IF(INDIRECT("M382")="Premium","18%","-"))</f>
        <v>14%</v>
      </c>
      <c r="O382" s="53" t="s">
        <v>67</v>
      </c>
    </row>
    <row r="383" spans="1:15" ht="49.95" customHeight="1">
      <c r="A383" s="52" t="s">
        <v>24</v>
      </c>
      <c r="B383" s="52" t="s">
        <v>840</v>
      </c>
      <c r="C383" s="52"/>
      <c r="D383" s="52"/>
      <c r="E383" s="52" t="s">
        <v>841</v>
      </c>
      <c r="F383" s="52" t="s">
        <v>62</v>
      </c>
      <c r="G383" s="52" t="s">
        <v>164</v>
      </c>
      <c r="H383" s="52" t="s">
        <v>62</v>
      </c>
      <c r="I383" s="53">
        <v>129990</v>
      </c>
      <c r="J383" s="53" t="s">
        <v>63</v>
      </c>
      <c r="K383" s="53" t="s">
        <v>64</v>
      </c>
      <c r="L383" s="52" t="s">
        <v>158</v>
      </c>
      <c r="M383" s="53" t="s">
        <v>66</v>
      </c>
      <c r="N383" s="52" t="str">
        <f ca="1">IF(INDIRECT("M383")="Clásica","14%",IF(INDIRECT("M383")="Premium","18%","-"))</f>
        <v>14%</v>
      </c>
      <c r="O383" s="53" t="s">
        <v>67</v>
      </c>
    </row>
    <row r="384" spans="1:15" ht="49.95" customHeight="1">
      <c r="A384" s="52" t="s">
        <v>24</v>
      </c>
      <c r="B384" s="52" t="s">
        <v>840</v>
      </c>
      <c r="C384" s="52" t="s">
        <v>842</v>
      </c>
      <c r="D384" s="52" t="s">
        <v>842</v>
      </c>
      <c r="E384" s="54" t="str">
        <f>"     "&amp;E383</f>
        <v xml:space="preserve">     Set Soportes Pedales Deportivos Ktm Rc 200 390 Hasta 2019</v>
      </c>
      <c r="F384" s="52" t="s">
        <v>86</v>
      </c>
      <c r="G384" s="53">
        <v>1</v>
      </c>
      <c r="H384" s="52" t="s">
        <v>62</v>
      </c>
      <c r="I384" s="52">
        <f>I383</f>
        <v>129990</v>
      </c>
      <c r="J384" s="52" t="str">
        <f>J383&amp;"     "</f>
        <v xml:space="preserve">$     </v>
      </c>
      <c r="K384" s="52" t="str">
        <f>K383&amp;"     "</f>
        <v xml:space="preserve">Nuevo     </v>
      </c>
      <c r="L384" s="52" t="str">
        <f>L383&amp;"     "</f>
        <v xml:space="preserve">No disponible     </v>
      </c>
      <c r="M384" s="52" t="str">
        <f>M383&amp;"     "</f>
        <v xml:space="preserve">Clásica     </v>
      </c>
      <c r="N384" s="52" t="str">
        <f ca="1">N383</f>
        <v>14%</v>
      </c>
      <c r="O384" s="52" t="str">
        <f>O383&amp;"     "</f>
        <v xml:space="preserve">Activa     </v>
      </c>
    </row>
    <row r="385" spans="1:15" ht="49.95" customHeight="1">
      <c r="A385" s="52" t="s">
        <v>24</v>
      </c>
      <c r="B385" s="52" t="s">
        <v>840</v>
      </c>
      <c r="C385" s="52" t="s">
        <v>843</v>
      </c>
      <c r="D385" s="52" t="s">
        <v>843</v>
      </c>
      <c r="E385" s="54" t="str">
        <f>"     "&amp;E383</f>
        <v xml:space="preserve">     Set Soportes Pedales Deportivos Ktm Rc 200 390 Hasta 2019</v>
      </c>
      <c r="F385" s="52" t="s">
        <v>100</v>
      </c>
      <c r="G385" s="53">
        <v>0</v>
      </c>
      <c r="H385" s="52" t="s">
        <v>62</v>
      </c>
      <c r="I385" s="52">
        <f>I383</f>
        <v>129990</v>
      </c>
      <c r="J385" s="52" t="str">
        <f>J383&amp;"     "</f>
        <v xml:space="preserve">$     </v>
      </c>
      <c r="K385" s="52" t="str">
        <f>K383&amp;"     "</f>
        <v xml:space="preserve">Nuevo     </v>
      </c>
      <c r="L385" s="52" t="str">
        <f>L383&amp;"     "</f>
        <v xml:space="preserve">No disponible     </v>
      </c>
      <c r="M385" s="52" t="str">
        <f>M383&amp;"     "</f>
        <v xml:space="preserve">Clásica     </v>
      </c>
      <c r="N385" s="52" t="str">
        <f ca="1">N383</f>
        <v>14%</v>
      </c>
      <c r="O385" s="52" t="str">
        <f>O383&amp;"     "</f>
        <v xml:space="preserve">Activa     </v>
      </c>
    </row>
    <row r="386" spans="1:15" ht="49.95" customHeight="1">
      <c r="A386" s="52" t="s">
        <v>844</v>
      </c>
      <c r="B386" s="52" t="s">
        <v>845</v>
      </c>
      <c r="C386" s="52" t="s">
        <v>846</v>
      </c>
      <c r="D386" s="52"/>
      <c r="E386" s="52" t="s">
        <v>847</v>
      </c>
      <c r="F386" s="52" t="s">
        <v>848</v>
      </c>
      <c r="G386" s="53">
        <v>2</v>
      </c>
      <c r="H386" s="52" t="s">
        <v>62</v>
      </c>
      <c r="I386" s="53">
        <v>9990</v>
      </c>
      <c r="J386" s="53" t="s">
        <v>63</v>
      </c>
      <c r="K386" s="53" t="s">
        <v>64</v>
      </c>
      <c r="L386" s="53" t="s">
        <v>71</v>
      </c>
      <c r="M386" s="53" t="s">
        <v>66</v>
      </c>
      <c r="N386" s="52" t="str">
        <f ca="1">IF(INDIRECT("M386")="Clásica","14%",IF(INDIRECT("M386")="Premium","18%","-"))</f>
        <v>14%</v>
      </c>
      <c r="O386" s="53" t="s">
        <v>67</v>
      </c>
    </row>
    <row r="387" spans="1:15" ht="49.95" customHeight="1">
      <c r="A387" s="52" t="s">
        <v>849</v>
      </c>
      <c r="B387" s="52" t="s">
        <v>850</v>
      </c>
      <c r="C387" s="52" t="s">
        <v>851</v>
      </c>
      <c r="D387" s="52"/>
      <c r="E387" s="52" t="s">
        <v>852</v>
      </c>
      <c r="F387" s="52" t="s">
        <v>852</v>
      </c>
      <c r="G387" s="53">
        <v>1</v>
      </c>
      <c r="H387" s="52" t="s">
        <v>62</v>
      </c>
      <c r="I387" s="53">
        <v>59990</v>
      </c>
      <c r="J387" s="53" t="s">
        <v>63</v>
      </c>
      <c r="K387" s="53" t="s">
        <v>64</v>
      </c>
      <c r="L387" s="53" t="s">
        <v>65</v>
      </c>
      <c r="M387" s="53" t="s">
        <v>66</v>
      </c>
      <c r="N387" s="52" t="str">
        <f ca="1">IF(INDIRECT("M387")="Clásica","12%",IF(INDIRECT("M387")="Premium","16%","-"))</f>
        <v>12%</v>
      </c>
      <c r="O387" s="53" t="s">
        <v>67</v>
      </c>
    </row>
    <row r="388" spans="1:15" ht="49.95" customHeight="1">
      <c r="A388" s="52" t="s">
        <v>853</v>
      </c>
      <c r="B388" s="52" t="s">
        <v>854</v>
      </c>
      <c r="C388" s="52" t="s">
        <v>855</v>
      </c>
      <c r="D388" s="52"/>
      <c r="E388" s="52" t="s">
        <v>856</v>
      </c>
      <c r="F388" s="52" t="s">
        <v>857</v>
      </c>
      <c r="G388" s="53">
        <v>2</v>
      </c>
      <c r="H388" s="52" t="s">
        <v>62</v>
      </c>
      <c r="I388" s="53">
        <v>69990</v>
      </c>
      <c r="J388" s="53" t="s">
        <v>63</v>
      </c>
      <c r="K388" s="53" t="s">
        <v>64</v>
      </c>
      <c r="L388" s="53" t="s">
        <v>65</v>
      </c>
      <c r="M388" s="53" t="s">
        <v>66</v>
      </c>
      <c r="N388" s="52" t="str">
        <f ca="1">IF(INDIRECT("M388")="Clásica","15%",IF(INDIRECT("M388")="Premium","19%","-"))</f>
        <v>15%</v>
      </c>
      <c r="O388" s="53" t="s">
        <v>67</v>
      </c>
    </row>
    <row r="389" spans="1:15" ht="49.95" customHeight="1">
      <c r="A389" s="52" t="s">
        <v>858</v>
      </c>
      <c r="B389" s="52" t="s">
        <v>859</v>
      </c>
      <c r="C389" s="52" t="s">
        <v>860</v>
      </c>
      <c r="D389" s="52"/>
      <c r="E389" s="52" t="s">
        <v>861</v>
      </c>
      <c r="F389" s="52" t="s">
        <v>861</v>
      </c>
      <c r="G389" s="53">
        <v>2</v>
      </c>
      <c r="H389" s="52" t="s">
        <v>62</v>
      </c>
      <c r="I389" s="53">
        <v>99990</v>
      </c>
      <c r="J389" s="53" t="s">
        <v>63</v>
      </c>
      <c r="K389" s="53" t="s">
        <v>64</v>
      </c>
      <c r="L389" s="53" t="s">
        <v>65</v>
      </c>
      <c r="M389" s="53" t="s">
        <v>66</v>
      </c>
      <c r="N389" s="52" t="str">
        <f ca="1">IF(INDIRECT("M389")="Clásica","14%",IF(INDIRECT("M389")="Premium","18%","-"))</f>
        <v>14%</v>
      </c>
      <c r="O389" s="53" t="s">
        <v>67</v>
      </c>
    </row>
    <row r="390" spans="1:15" ht="49.95" customHeight="1">
      <c r="A390" s="52" t="s">
        <v>862</v>
      </c>
      <c r="B390" s="52" t="s">
        <v>863</v>
      </c>
      <c r="C390" s="52" t="s">
        <v>864</v>
      </c>
      <c r="D390" s="52"/>
      <c r="E390" s="52" t="s">
        <v>865</v>
      </c>
      <c r="F390" s="52" t="s">
        <v>865</v>
      </c>
      <c r="G390" s="53">
        <v>2</v>
      </c>
      <c r="H390" s="52" t="s">
        <v>62</v>
      </c>
      <c r="I390" s="53">
        <v>89990</v>
      </c>
      <c r="J390" s="53" t="s">
        <v>63</v>
      </c>
      <c r="K390" s="53" t="s">
        <v>64</v>
      </c>
      <c r="L390" s="53" t="s">
        <v>65</v>
      </c>
      <c r="M390" s="53" t="s">
        <v>66</v>
      </c>
      <c r="N390" s="52" t="str">
        <f ca="1">IF(INDIRECT("M390")="Clásica","15%",IF(INDIRECT("M390")="Premium","19%","-"))</f>
        <v>15%</v>
      </c>
      <c r="O390" s="53" t="s">
        <v>67</v>
      </c>
    </row>
    <row r="391" spans="1:15" ht="49.95" customHeight="1">
      <c r="A391" s="52" t="s">
        <v>24</v>
      </c>
      <c r="B391" s="52" t="s">
        <v>866</v>
      </c>
      <c r="C391" s="52"/>
      <c r="D391" s="52"/>
      <c r="E391" s="52" t="s">
        <v>867</v>
      </c>
      <c r="F391" s="52" t="s">
        <v>62</v>
      </c>
      <c r="G391" s="52" t="s">
        <v>164</v>
      </c>
      <c r="H391" s="52" t="s">
        <v>62</v>
      </c>
      <c r="I391" s="53">
        <v>129990</v>
      </c>
      <c r="J391" s="53" t="s">
        <v>63</v>
      </c>
      <c r="K391" s="53" t="s">
        <v>64</v>
      </c>
      <c r="L391" s="53" t="s">
        <v>65</v>
      </c>
      <c r="M391" s="53" t="s">
        <v>66</v>
      </c>
      <c r="N391" s="52" t="str">
        <f ca="1">IF(INDIRECT("M391")="Clásica","15%",IF(INDIRECT("M391")="Premium","19%","-"))</f>
        <v>15%</v>
      </c>
      <c r="O391" s="53" t="s">
        <v>67</v>
      </c>
    </row>
    <row r="392" spans="1:15" ht="49.95" customHeight="1">
      <c r="A392" s="52" t="s">
        <v>24</v>
      </c>
      <c r="B392" s="52" t="s">
        <v>866</v>
      </c>
      <c r="C392" s="52" t="s">
        <v>868</v>
      </c>
      <c r="D392" s="52" t="s">
        <v>868</v>
      </c>
      <c r="E392" s="54" t="str">
        <f>"     "&amp;E391</f>
        <v xml:space="preserve">     Protector Cubierta Cubre Cárter Motor Honda Xr250r 96-04</v>
      </c>
      <c r="F392" s="52" t="s">
        <v>97</v>
      </c>
      <c r="G392" s="53">
        <v>1</v>
      </c>
      <c r="H392" s="52" t="s">
        <v>62</v>
      </c>
      <c r="I392" s="52">
        <f>I391</f>
        <v>129990</v>
      </c>
      <c r="J392" s="52" t="str">
        <f>J391&amp;"     "</f>
        <v xml:space="preserve">$     </v>
      </c>
      <c r="K392" s="52" t="str">
        <f>K391&amp;"     "</f>
        <v xml:space="preserve">Nuevo     </v>
      </c>
      <c r="L392" s="52" t="str">
        <f>L391&amp;"     "</f>
        <v xml:space="preserve">Mercado Envíos gratis     </v>
      </c>
      <c r="M392" s="52" t="str">
        <f>M391&amp;"     "</f>
        <v xml:space="preserve">Clásica     </v>
      </c>
      <c r="N392" s="52" t="str">
        <f ca="1">N391</f>
        <v>15%</v>
      </c>
      <c r="O392" s="52" t="str">
        <f>O391&amp;"     "</f>
        <v xml:space="preserve">Activa     </v>
      </c>
    </row>
    <row r="393" spans="1:15" ht="49.95" customHeight="1">
      <c r="A393" s="52" t="s">
        <v>24</v>
      </c>
      <c r="B393" s="52" t="s">
        <v>866</v>
      </c>
      <c r="C393" s="52" t="s">
        <v>869</v>
      </c>
      <c r="D393" s="52" t="s">
        <v>869</v>
      </c>
      <c r="E393" s="54" t="str">
        <f>"     "&amp;E391</f>
        <v xml:space="preserve">     Protector Cubierta Cubre Cárter Motor Honda Xr250r 96-04</v>
      </c>
      <c r="F393" s="52" t="s">
        <v>90</v>
      </c>
      <c r="G393" s="53">
        <v>0</v>
      </c>
      <c r="H393" s="52" t="s">
        <v>62</v>
      </c>
      <c r="I393" s="52">
        <f>I391</f>
        <v>129990</v>
      </c>
      <c r="J393" s="52" t="str">
        <f>J391&amp;"     "</f>
        <v xml:space="preserve">$     </v>
      </c>
      <c r="K393" s="52" t="str">
        <f>K391&amp;"     "</f>
        <v xml:space="preserve">Nuevo     </v>
      </c>
      <c r="L393" s="52" t="str">
        <f>L391&amp;"     "</f>
        <v xml:space="preserve">Mercado Envíos gratis     </v>
      </c>
      <c r="M393" s="52" t="str">
        <f>M391&amp;"     "</f>
        <v xml:space="preserve">Clásica     </v>
      </c>
      <c r="N393" s="52" t="str">
        <f ca="1">N391</f>
        <v>15%</v>
      </c>
      <c r="O393" s="52" t="str">
        <f>O391&amp;"     "</f>
        <v xml:space="preserve">Activa     </v>
      </c>
    </row>
    <row r="394" spans="1:15" ht="49.95" customHeight="1">
      <c r="A394" s="52" t="s">
        <v>870</v>
      </c>
      <c r="B394" s="52" t="s">
        <v>871</v>
      </c>
      <c r="C394" s="52" t="s">
        <v>872</v>
      </c>
      <c r="D394" s="52"/>
      <c r="E394" s="52" t="s">
        <v>873</v>
      </c>
      <c r="F394" s="52" t="s">
        <v>874</v>
      </c>
      <c r="G394" s="53">
        <v>1</v>
      </c>
      <c r="H394" s="52" t="s">
        <v>62</v>
      </c>
      <c r="I394" s="53">
        <v>74990</v>
      </c>
      <c r="J394" s="53" t="s">
        <v>63</v>
      </c>
      <c r="K394" s="53" t="s">
        <v>64</v>
      </c>
      <c r="L394" s="53" t="s">
        <v>65</v>
      </c>
      <c r="M394" s="53" t="s">
        <v>66</v>
      </c>
      <c r="N394" s="52" t="str">
        <f ca="1">IF(INDIRECT("M394")="Clásica","14%",IF(INDIRECT("M394")="Premium","18%","-"))</f>
        <v>14%</v>
      </c>
      <c r="O394" s="53" t="s">
        <v>67</v>
      </c>
    </row>
    <row r="395" spans="1:15" ht="49.95" customHeight="1">
      <c r="A395" s="52" t="s">
        <v>875</v>
      </c>
      <c r="B395" s="52" t="s">
        <v>876</v>
      </c>
      <c r="C395" s="52" t="s">
        <v>877</v>
      </c>
      <c r="D395" s="52"/>
      <c r="E395" s="52" t="s">
        <v>878</v>
      </c>
      <c r="F395" s="52" t="s">
        <v>878</v>
      </c>
      <c r="G395" s="53">
        <v>2</v>
      </c>
      <c r="H395" s="52" t="s">
        <v>62</v>
      </c>
      <c r="I395" s="52" t="s">
        <v>24</v>
      </c>
      <c r="J395" s="53" t="s">
        <v>63</v>
      </c>
      <c r="K395" s="53" t="s">
        <v>64</v>
      </c>
      <c r="L395" s="53" t="s">
        <v>65</v>
      </c>
      <c r="M395" s="53" t="s">
        <v>66</v>
      </c>
      <c r="N395" s="52" t="str">
        <f ca="1">IF(INDIRECT("M395")="Clásica","15%",IF(INDIRECT("M395")="Premium","19%","-"))</f>
        <v>15%</v>
      </c>
      <c r="O395" s="53" t="s">
        <v>67</v>
      </c>
    </row>
    <row r="396" spans="1:15" ht="49.95" customHeight="1">
      <c r="A396" s="52" t="s">
        <v>879</v>
      </c>
      <c r="B396" s="52" t="s">
        <v>880</v>
      </c>
      <c r="C396" s="52" t="s">
        <v>881</v>
      </c>
      <c r="D396" s="52"/>
      <c r="E396" s="52" t="s">
        <v>882</v>
      </c>
      <c r="F396" s="52" t="s">
        <v>882</v>
      </c>
      <c r="G396" s="53">
        <v>2</v>
      </c>
      <c r="H396" s="52" t="s">
        <v>62</v>
      </c>
      <c r="I396" s="53">
        <v>30990</v>
      </c>
      <c r="J396" s="53" t="s">
        <v>63</v>
      </c>
      <c r="K396" s="53" t="s">
        <v>64</v>
      </c>
      <c r="L396" s="53" t="s">
        <v>65</v>
      </c>
      <c r="M396" s="53" t="s">
        <v>66</v>
      </c>
      <c r="N396" s="52" t="str">
        <f ca="1">IF(INDIRECT("M396")="Clásica","15%",IF(INDIRECT("M396")="Premium","19%","-"))</f>
        <v>15%</v>
      </c>
      <c r="O396" s="53" t="s">
        <v>67</v>
      </c>
    </row>
    <row r="397" spans="1:15" ht="49.95" customHeight="1">
      <c r="A397" s="52" t="s">
        <v>883</v>
      </c>
      <c r="B397" s="52" t="s">
        <v>884</v>
      </c>
      <c r="C397" s="52" t="s">
        <v>885</v>
      </c>
      <c r="D397" s="52"/>
      <c r="E397" s="52" t="s">
        <v>886</v>
      </c>
      <c r="F397" s="52" t="s">
        <v>886</v>
      </c>
      <c r="G397" s="53">
        <v>2</v>
      </c>
      <c r="H397" s="52" t="s">
        <v>62</v>
      </c>
      <c r="I397" s="53">
        <v>29990</v>
      </c>
      <c r="J397" s="53" t="s">
        <v>63</v>
      </c>
      <c r="K397" s="53" t="s">
        <v>64</v>
      </c>
      <c r="L397" s="53" t="s">
        <v>65</v>
      </c>
      <c r="M397" s="53" t="s">
        <v>66</v>
      </c>
      <c r="N397" s="52" t="str">
        <f ca="1">IF(INDIRECT("M397")="Clásica","15%",IF(INDIRECT("M397")="Premium","19%","-"))</f>
        <v>15%</v>
      </c>
      <c r="O397" s="53" t="s">
        <v>67</v>
      </c>
    </row>
    <row r="398" spans="1:15" ht="49.95" customHeight="1">
      <c r="A398" s="52" t="s">
        <v>24</v>
      </c>
      <c r="B398" s="52" t="s">
        <v>887</v>
      </c>
      <c r="C398" s="52"/>
      <c r="D398" s="52"/>
      <c r="E398" s="52" t="s">
        <v>265</v>
      </c>
      <c r="F398" s="52" t="s">
        <v>62</v>
      </c>
      <c r="G398" s="52" t="s">
        <v>143</v>
      </c>
      <c r="H398" s="52" t="s">
        <v>62</v>
      </c>
      <c r="I398" s="53">
        <v>14990</v>
      </c>
      <c r="J398" s="53" t="s">
        <v>63</v>
      </c>
      <c r="K398" s="53" t="s">
        <v>64</v>
      </c>
      <c r="L398" s="53" t="s">
        <v>71</v>
      </c>
      <c r="M398" s="53" t="s">
        <v>66</v>
      </c>
      <c r="N398" s="52" t="str">
        <f ca="1">IF(INDIRECT("M398")="Clásica","14%",IF(INDIRECT("M398")="Premium","18%","-"))</f>
        <v>14%</v>
      </c>
      <c r="O398" s="53" t="s">
        <v>67</v>
      </c>
    </row>
    <row r="399" spans="1:15" ht="49.95" customHeight="1">
      <c r="A399" s="52" t="s">
        <v>24</v>
      </c>
      <c r="B399" s="52" t="s">
        <v>887</v>
      </c>
      <c r="C399" s="52" t="s">
        <v>888</v>
      </c>
      <c r="D399" s="52" t="s">
        <v>888</v>
      </c>
      <c r="E399" s="54" t="str">
        <f>"     "&amp;E398</f>
        <v xml:space="preserve">     Tapa Cubierta Abrazadera Manillar Ktm Duke 125 200 250 390</v>
      </c>
      <c r="F399" s="52" t="s">
        <v>100</v>
      </c>
      <c r="G399" s="53">
        <v>2</v>
      </c>
      <c r="H399" s="52" t="s">
        <v>62</v>
      </c>
      <c r="I399" s="52">
        <f>I398</f>
        <v>14990</v>
      </c>
      <c r="J399" s="52" t="str">
        <f>J398&amp;"     "</f>
        <v xml:space="preserve">$     </v>
      </c>
      <c r="K399" s="52" t="str">
        <f>K398&amp;"     "</f>
        <v xml:space="preserve">Nuevo     </v>
      </c>
      <c r="L399" s="52" t="str">
        <f>L398&amp;"     "</f>
        <v xml:space="preserve">Mercado Envíos a cargo del comprador     </v>
      </c>
      <c r="M399" s="52" t="str">
        <f>M398&amp;"     "</f>
        <v xml:space="preserve">Clásica     </v>
      </c>
      <c r="N399" s="52" t="str">
        <f ca="1">N398</f>
        <v>14%</v>
      </c>
      <c r="O399" s="52" t="str">
        <f>O398&amp;"     "</f>
        <v xml:space="preserve">Activa     </v>
      </c>
    </row>
    <row r="400" spans="1:15" ht="49.95" customHeight="1">
      <c r="A400" s="52" t="s">
        <v>24</v>
      </c>
      <c r="B400" s="52" t="s">
        <v>887</v>
      </c>
      <c r="C400" s="52" t="s">
        <v>889</v>
      </c>
      <c r="D400" s="52" t="s">
        <v>889</v>
      </c>
      <c r="E400" s="54" t="str">
        <f>"     "&amp;E398</f>
        <v xml:space="preserve">     Tapa Cubierta Abrazadera Manillar Ktm Duke 125 200 250 390</v>
      </c>
      <c r="F400" s="52" t="s">
        <v>86</v>
      </c>
      <c r="G400" s="53">
        <v>2</v>
      </c>
      <c r="H400" s="52" t="s">
        <v>62</v>
      </c>
      <c r="I400" s="52">
        <f>I398</f>
        <v>14990</v>
      </c>
      <c r="J400" s="52" t="str">
        <f>J398&amp;"     "</f>
        <v xml:space="preserve">$     </v>
      </c>
      <c r="K400" s="52" t="str">
        <f>K398&amp;"     "</f>
        <v xml:space="preserve">Nuevo     </v>
      </c>
      <c r="L400" s="52" t="str">
        <f>L398&amp;"     "</f>
        <v xml:space="preserve">Mercado Envíos a cargo del comprador     </v>
      </c>
      <c r="M400" s="52" t="str">
        <f>M398&amp;"     "</f>
        <v xml:space="preserve">Clásica     </v>
      </c>
      <c r="N400" s="52" t="str">
        <f ca="1">N398</f>
        <v>14%</v>
      </c>
      <c r="O400" s="52" t="str">
        <f>O398&amp;"     "</f>
        <v xml:space="preserve">Activa     </v>
      </c>
    </row>
    <row r="401" spans="1:15" ht="49.95" customHeight="1">
      <c r="A401" s="52" t="s">
        <v>890</v>
      </c>
      <c r="B401" s="52" t="s">
        <v>891</v>
      </c>
      <c r="C401" s="52" t="s">
        <v>892</v>
      </c>
      <c r="D401" s="52"/>
      <c r="E401" s="52" t="s">
        <v>893</v>
      </c>
      <c r="F401" s="52" t="s">
        <v>893</v>
      </c>
      <c r="G401" s="53">
        <v>2</v>
      </c>
      <c r="H401" s="52" t="s">
        <v>62</v>
      </c>
      <c r="I401" s="53">
        <v>129990</v>
      </c>
      <c r="J401" s="53" t="s">
        <v>63</v>
      </c>
      <c r="K401" s="53" t="s">
        <v>64</v>
      </c>
      <c r="L401" s="53" t="s">
        <v>65</v>
      </c>
      <c r="M401" s="53" t="s">
        <v>66</v>
      </c>
      <c r="N401" s="52" t="str">
        <f ca="1">IF(INDIRECT("M401")="Clásica","14%",IF(INDIRECT("M401")="Premium","18%","-"))</f>
        <v>14%</v>
      </c>
      <c r="O401" s="53" t="s">
        <v>67</v>
      </c>
    </row>
    <row r="402" spans="1:15" ht="49.95" customHeight="1">
      <c r="A402" s="52" t="s">
        <v>894</v>
      </c>
      <c r="B402" s="52" t="s">
        <v>895</v>
      </c>
      <c r="C402" s="52" t="s">
        <v>896</v>
      </c>
      <c r="D402" s="52"/>
      <c r="E402" s="52" t="s">
        <v>897</v>
      </c>
      <c r="F402" s="52" t="s">
        <v>86</v>
      </c>
      <c r="G402" s="53">
        <v>2</v>
      </c>
      <c r="H402" s="52" t="s">
        <v>62</v>
      </c>
      <c r="I402" s="53">
        <v>64990</v>
      </c>
      <c r="J402" s="53" t="s">
        <v>63</v>
      </c>
      <c r="K402" s="53" t="s">
        <v>64</v>
      </c>
      <c r="L402" s="53" t="s">
        <v>65</v>
      </c>
      <c r="M402" s="53" t="s">
        <v>66</v>
      </c>
      <c r="N402" s="52" t="str">
        <f ca="1">IF(INDIRECT("M402")="Clásica","14%",IF(INDIRECT("M402")="Premium","18%","-"))</f>
        <v>14%</v>
      </c>
      <c r="O402" s="53" t="s">
        <v>67</v>
      </c>
    </row>
    <row r="403" spans="1:15" ht="49.95" customHeight="1">
      <c r="A403" s="52" t="s">
        <v>24</v>
      </c>
      <c r="B403" s="52" t="s">
        <v>898</v>
      </c>
      <c r="C403" s="52"/>
      <c r="D403" s="52"/>
      <c r="E403" s="52" t="s">
        <v>899</v>
      </c>
      <c r="F403" s="52" t="s">
        <v>62</v>
      </c>
      <c r="G403" s="52" t="s">
        <v>112</v>
      </c>
      <c r="H403" s="52" t="s">
        <v>62</v>
      </c>
      <c r="I403" s="53">
        <v>79990</v>
      </c>
      <c r="J403" s="53" t="s">
        <v>63</v>
      </c>
      <c r="K403" s="53" t="s">
        <v>64</v>
      </c>
      <c r="L403" s="53" t="s">
        <v>65</v>
      </c>
      <c r="M403" s="53" t="s">
        <v>66</v>
      </c>
      <c r="N403" s="52" t="str">
        <f ca="1">IF(INDIRECT("M403")="Clásica","14%",IF(INDIRECT("M403")="Premium","18%","-"))</f>
        <v>14%</v>
      </c>
      <c r="O403" s="53" t="s">
        <v>67</v>
      </c>
    </row>
    <row r="404" spans="1:15" ht="49.95" customHeight="1">
      <c r="A404" s="52" t="s">
        <v>24</v>
      </c>
      <c r="B404" s="52" t="s">
        <v>898</v>
      </c>
      <c r="C404" s="52" t="s">
        <v>900</v>
      </c>
      <c r="D404" s="52" t="s">
        <v>900</v>
      </c>
      <c r="E404" s="54" t="str">
        <f>"     "&amp;E403</f>
        <v xml:space="preserve">     Guardamanos Cubre Puños Honda Cb500x Cb 500x Nc750x Nc 750x</v>
      </c>
      <c r="F404" s="52" t="s">
        <v>901</v>
      </c>
      <c r="G404" s="53">
        <v>1</v>
      </c>
      <c r="H404" s="52" t="s">
        <v>62</v>
      </c>
      <c r="I404" s="52">
        <f>I403</f>
        <v>79990</v>
      </c>
      <c r="J404" s="52" t="str">
        <f>J403&amp;"     "</f>
        <v xml:space="preserve">$     </v>
      </c>
      <c r="K404" s="52" t="str">
        <f>K403&amp;"     "</f>
        <v xml:space="preserve">Nuevo     </v>
      </c>
      <c r="L404" s="52" t="str">
        <f>L403&amp;"     "</f>
        <v xml:space="preserve">Mercado Envíos gratis     </v>
      </c>
      <c r="M404" s="52" t="str">
        <f>M403&amp;"     "</f>
        <v xml:space="preserve">Clásica     </v>
      </c>
      <c r="N404" s="52" t="str">
        <f ca="1">N403</f>
        <v>14%</v>
      </c>
      <c r="O404" s="52" t="str">
        <f>O403&amp;"     "</f>
        <v xml:space="preserve">Activa     </v>
      </c>
    </row>
    <row r="405" spans="1:15" ht="49.95" customHeight="1">
      <c r="A405" s="52" t="s">
        <v>24</v>
      </c>
      <c r="B405" s="52" t="s">
        <v>898</v>
      </c>
      <c r="C405" s="52" t="s">
        <v>902</v>
      </c>
      <c r="D405" s="52" t="s">
        <v>902</v>
      </c>
      <c r="E405" s="54" t="str">
        <f>"     "&amp;E403</f>
        <v xml:space="preserve">     Guardamanos Cubre Puños Honda Cb500x Cb 500x Nc750x Nc 750x</v>
      </c>
      <c r="F405" s="52" t="s">
        <v>903</v>
      </c>
      <c r="G405" s="53">
        <v>1</v>
      </c>
      <c r="H405" s="52" t="s">
        <v>62</v>
      </c>
      <c r="I405" s="52">
        <f>I403</f>
        <v>79990</v>
      </c>
      <c r="J405" s="52" t="str">
        <f>J403&amp;"     "</f>
        <v xml:space="preserve">$     </v>
      </c>
      <c r="K405" s="52" t="str">
        <f>K403&amp;"     "</f>
        <v xml:space="preserve">Nuevo     </v>
      </c>
      <c r="L405" s="52" t="str">
        <f>L403&amp;"     "</f>
        <v xml:space="preserve">Mercado Envíos gratis     </v>
      </c>
      <c r="M405" s="52" t="str">
        <f>M403&amp;"     "</f>
        <v xml:space="preserve">Clásica     </v>
      </c>
      <c r="N405" s="52" t="str">
        <f ca="1">N403</f>
        <v>14%</v>
      </c>
      <c r="O405" s="52" t="str">
        <f>O403&amp;"     "</f>
        <v xml:space="preserve">Activa     </v>
      </c>
    </row>
    <row r="406" spans="1:15" ht="49.95" customHeight="1">
      <c r="A406" s="52" t="s">
        <v>904</v>
      </c>
      <c r="B406" s="52" t="s">
        <v>905</v>
      </c>
      <c r="C406" s="52" t="s">
        <v>906</v>
      </c>
      <c r="D406" s="52"/>
      <c r="E406" s="52" t="s">
        <v>907</v>
      </c>
      <c r="F406" s="52" t="s">
        <v>907</v>
      </c>
      <c r="G406" s="53">
        <v>2</v>
      </c>
      <c r="H406" s="52" t="s">
        <v>62</v>
      </c>
      <c r="I406" s="53">
        <v>69990</v>
      </c>
      <c r="J406" s="53" t="s">
        <v>63</v>
      </c>
      <c r="K406" s="53" t="s">
        <v>64</v>
      </c>
      <c r="L406" s="53" t="s">
        <v>65</v>
      </c>
      <c r="M406" s="53" t="s">
        <v>66</v>
      </c>
      <c r="N406" s="52" t="str">
        <f ca="1">IF(INDIRECT("M406")="Clásica","14%",IF(INDIRECT("M406")="Premium","18%","-"))</f>
        <v>14%</v>
      </c>
      <c r="O406" s="53" t="s">
        <v>67</v>
      </c>
    </row>
    <row r="407" spans="1:15" ht="49.95" customHeight="1">
      <c r="A407" s="52" t="s">
        <v>908</v>
      </c>
      <c r="B407" s="52" t="s">
        <v>909</v>
      </c>
      <c r="C407" s="52" t="s">
        <v>910</v>
      </c>
      <c r="D407" s="52"/>
      <c r="E407" s="52" t="s">
        <v>911</v>
      </c>
      <c r="F407" s="52" t="s">
        <v>911</v>
      </c>
      <c r="G407" s="53">
        <v>2</v>
      </c>
      <c r="H407" s="52" t="s">
        <v>62</v>
      </c>
      <c r="I407" s="53">
        <v>69990</v>
      </c>
      <c r="J407" s="53" t="s">
        <v>63</v>
      </c>
      <c r="K407" s="53" t="s">
        <v>64</v>
      </c>
      <c r="L407" s="53" t="s">
        <v>65</v>
      </c>
      <c r="M407" s="53" t="s">
        <v>66</v>
      </c>
      <c r="N407" s="52" t="str">
        <f ca="1">IF(INDIRECT("M407")="Clásica","14%",IF(INDIRECT("M407")="Premium","18%","-"))</f>
        <v>14%</v>
      </c>
      <c r="O407" s="53" t="s">
        <v>67</v>
      </c>
    </row>
    <row r="408" spans="1:15" ht="49.95" customHeight="1">
      <c r="A408" s="52" t="s">
        <v>912</v>
      </c>
      <c r="B408" s="52" t="s">
        <v>913</v>
      </c>
      <c r="C408" s="52" t="s">
        <v>914</v>
      </c>
      <c r="D408" s="52"/>
      <c r="E408" s="52" t="s">
        <v>915</v>
      </c>
      <c r="F408" s="52" t="s">
        <v>915</v>
      </c>
      <c r="G408" s="53">
        <v>2</v>
      </c>
      <c r="H408" s="52" t="s">
        <v>62</v>
      </c>
      <c r="I408" s="53">
        <v>29432</v>
      </c>
      <c r="J408" s="53" t="s">
        <v>63</v>
      </c>
      <c r="K408" s="53" t="s">
        <v>64</v>
      </c>
      <c r="L408" s="53" t="s">
        <v>65</v>
      </c>
      <c r="M408" s="53" t="s">
        <v>66</v>
      </c>
      <c r="N408" s="52" t="str">
        <f ca="1">IF(INDIRECT("M408")="Clásica","15%",IF(INDIRECT("M408")="Premium","19%","-"))</f>
        <v>15%</v>
      </c>
      <c r="O408" s="53" t="s">
        <v>67</v>
      </c>
    </row>
    <row r="409" spans="1:15" ht="49.95" customHeight="1">
      <c r="A409" s="52" t="s">
        <v>24</v>
      </c>
      <c r="B409" s="52" t="s">
        <v>916</v>
      </c>
      <c r="C409" s="52"/>
      <c r="D409" s="52"/>
      <c r="E409" s="52" t="s">
        <v>917</v>
      </c>
      <c r="F409" s="52" t="s">
        <v>62</v>
      </c>
      <c r="G409" s="52" t="s">
        <v>82</v>
      </c>
      <c r="H409" s="52" t="s">
        <v>62</v>
      </c>
      <c r="I409" s="53">
        <v>49990</v>
      </c>
      <c r="J409" s="53" t="s">
        <v>63</v>
      </c>
      <c r="K409" s="53" t="s">
        <v>64</v>
      </c>
      <c r="L409" s="53" t="s">
        <v>65</v>
      </c>
      <c r="M409" s="53" t="s">
        <v>66</v>
      </c>
      <c r="N409" s="52" t="str">
        <f ca="1">IF(INDIRECT("M409")="Clásica","15%",IF(INDIRECT("M409")="Premium","19%","-"))</f>
        <v>15%</v>
      </c>
      <c r="O409" s="53" t="s">
        <v>67</v>
      </c>
    </row>
    <row r="410" spans="1:15" ht="49.95" customHeight="1">
      <c r="A410" s="52" t="s">
        <v>24</v>
      </c>
      <c r="B410" s="52" t="s">
        <v>916</v>
      </c>
      <c r="C410" s="52" t="s">
        <v>918</v>
      </c>
      <c r="D410" s="52" t="s">
        <v>918</v>
      </c>
      <c r="E410" s="54" t="str">
        <f>"     "&amp;E409</f>
        <v xml:space="preserve">     Cúpula Parabrisas Ktm Duke Tacómetro Tft 200 390 Ng H. 2023</v>
      </c>
      <c r="F410" s="52" t="s">
        <v>75</v>
      </c>
      <c r="G410" s="53">
        <v>1</v>
      </c>
      <c r="H410" s="52" t="s">
        <v>62</v>
      </c>
      <c r="I410" s="52">
        <f>I409</f>
        <v>49990</v>
      </c>
      <c r="J410" s="52" t="str">
        <f>J409&amp;"     "</f>
        <v xml:space="preserve">$     </v>
      </c>
      <c r="K410" s="52" t="str">
        <f>K409&amp;"     "</f>
        <v xml:space="preserve">Nuevo     </v>
      </c>
      <c r="L410" s="52" t="str">
        <f>L409&amp;"     "</f>
        <v xml:space="preserve">Mercado Envíos gratis     </v>
      </c>
      <c r="M410" s="52" t="str">
        <f>M409&amp;"     "</f>
        <v xml:space="preserve">Clásica     </v>
      </c>
      <c r="N410" s="52" t="str">
        <f ca="1">N409</f>
        <v>15%</v>
      </c>
      <c r="O410" s="52" t="str">
        <f>O409&amp;"     "</f>
        <v xml:space="preserve">Activa     </v>
      </c>
    </row>
    <row r="411" spans="1:15" ht="49.95" customHeight="1">
      <c r="A411" s="52" t="s">
        <v>24</v>
      </c>
      <c r="B411" s="52" t="s">
        <v>916</v>
      </c>
      <c r="C411" s="52" t="s">
        <v>919</v>
      </c>
      <c r="D411" s="52" t="s">
        <v>919</v>
      </c>
      <c r="E411" s="54" t="str">
        <f>"     "&amp;E409</f>
        <v xml:space="preserve">     Cúpula Parabrisas Ktm Duke Tacómetro Tft 200 390 Ng H. 2023</v>
      </c>
      <c r="F411" s="52" t="s">
        <v>86</v>
      </c>
      <c r="G411" s="53">
        <v>2</v>
      </c>
      <c r="H411" s="52" t="s">
        <v>62</v>
      </c>
      <c r="I411" s="52">
        <f>I409</f>
        <v>49990</v>
      </c>
      <c r="J411" s="52" t="str">
        <f>J409&amp;"     "</f>
        <v xml:space="preserve">$     </v>
      </c>
      <c r="K411" s="52" t="str">
        <f>K409&amp;"     "</f>
        <v xml:space="preserve">Nuevo     </v>
      </c>
      <c r="L411" s="52" t="str">
        <f>L409&amp;"     "</f>
        <v xml:space="preserve">Mercado Envíos gratis     </v>
      </c>
      <c r="M411" s="52" t="str">
        <f>M409&amp;"     "</f>
        <v xml:space="preserve">Clásica     </v>
      </c>
      <c r="N411" s="52" t="str">
        <f ca="1">N409</f>
        <v>15%</v>
      </c>
      <c r="O411" s="52" t="str">
        <f>O409&amp;"     "</f>
        <v xml:space="preserve">Activa     </v>
      </c>
    </row>
    <row r="412" spans="1:15" ht="49.95" customHeight="1">
      <c r="A412" s="52" t="s">
        <v>920</v>
      </c>
      <c r="B412" s="52" t="s">
        <v>921</v>
      </c>
      <c r="C412" s="52" t="s">
        <v>922</v>
      </c>
      <c r="D412" s="52"/>
      <c r="E412" s="52" t="s">
        <v>923</v>
      </c>
      <c r="F412" s="52" t="s">
        <v>923</v>
      </c>
      <c r="G412" s="53">
        <v>2</v>
      </c>
      <c r="H412" s="52" t="s">
        <v>62</v>
      </c>
      <c r="I412" s="53">
        <v>89990</v>
      </c>
      <c r="J412" s="53" t="s">
        <v>63</v>
      </c>
      <c r="K412" s="53" t="s">
        <v>64</v>
      </c>
      <c r="L412" s="53" t="s">
        <v>65</v>
      </c>
      <c r="M412" s="53" t="s">
        <v>66</v>
      </c>
      <c r="N412" s="52" t="str">
        <f ca="1">IF(INDIRECT("M412")="Clásica","15%",IF(INDIRECT("M412")="Premium","19%","-"))</f>
        <v>15%</v>
      </c>
      <c r="O412" s="53" t="s">
        <v>67</v>
      </c>
    </row>
    <row r="413" spans="1:15" ht="49.95" customHeight="1">
      <c r="A413" s="52" t="s">
        <v>924</v>
      </c>
      <c r="B413" s="52" t="s">
        <v>925</v>
      </c>
      <c r="C413" s="52" t="s">
        <v>926</v>
      </c>
      <c r="D413" s="52"/>
      <c r="E413" s="52" t="s">
        <v>927</v>
      </c>
      <c r="F413" s="52" t="s">
        <v>927</v>
      </c>
      <c r="G413" s="53">
        <v>1</v>
      </c>
      <c r="H413" s="52" t="s">
        <v>62</v>
      </c>
      <c r="I413" s="53">
        <v>32990</v>
      </c>
      <c r="J413" s="53" t="s">
        <v>63</v>
      </c>
      <c r="K413" s="53" t="s">
        <v>64</v>
      </c>
      <c r="L413" s="53" t="s">
        <v>65</v>
      </c>
      <c r="M413" s="53" t="s">
        <v>66</v>
      </c>
      <c r="N413" s="52" t="str">
        <f ca="1">IF(INDIRECT("M413")="Clásica","14%",IF(INDIRECT("M413")="Premium","18%","-"))</f>
        <v>14%</v>
      </c>
      <c r="O413" s="53" t="s">
        <v>67</v>
      </c>
    </row>
    <row r="414" spans="1:15" ht="49.95" customHeight="1">
      <c r="A414" s="52" t="s">
        <v>928</v>
      </c>
      <c r="B414" s="52" t="s">
        <v>929</v>
      </c>
      <c r="C414" s="52" t="s">
        <v>930</v>
      </c>
      <c r="D414" s="52"/>
      <c r="E414" s="52" t="s">
        <v>931</v>
      </c>
      <c r="F414" s="52" t="s">
        <v>931</v>
      </c>
      <c r="G414" s="53">
        <v>2</v>
      </c>
      <c r="H414" s="52" t="s">
        <v>62</v>
      </c>
      <c r="I414" s="53">
        <v>39990</v>
      </c>
      <c r="J414" s="53" t="s">
        <v>63</v>
      </c>
      <c r="K414" s="53" t="s">
        <v>64</v>
      </c>
      <c r="L414" s="53" t="s">
        <v>65</v>
      </c>
      <c r="M414" s="53" t="s">
        <v>66</v>
      </c>
      <c r="N414" s="52" t="str">
        <f ca="1">IF(INDIRECT("M414")="Clásica","15%",IF(INDIRECT("M414")="Premium","19%","-"))</f>
        <v>15%</v>
      </c>
      <c r="O414" s="53" t="s">
        <v>67</v>
      </c>
    </row>
    <row r="415" spans="1:15" ht="49.95" customHeight="1">
      <c r="A415" s="52" t="s">
        <v>932</v>
      </c>
      <c r="B415" s="52" t="s">
        <v>933</v>
      </c>
      <c r="C415" s="52" t="s">
        <v>934</v>
      </c>
      <c r="D415" s="52"/>
      <c r="E415" s="52" t="s">
        <v>935</v>
      </c>
      <c r="F415" s="52" t="s">
        <v>936</v>
      </c>
      <c r="G415" s="53">
        <v>2</v>
      </c>
      <c r="H415" s="52" t="s">
        <v>62</v>
      </c>
      <c r="I415" s="53">
        <v>70990</v>
      </c>
      <c r="J415" s="53" t="s">
        <v>63</v>
      </c>
      <c r="K415" s="53" t="s">
        <v>64</v>
      </c>
      <c r="L415" s="53" t="s">
        <v>65</v>
      </c>
      <c r="M415" s="53" t="s">
        <v>66</v>
      </c>
      <c r="N415" s="52" t="str">
        <f ca="1">IF(INDIRECT("M415")="Clásica","14%",IF(INDIRECT("M415")="Premium","18%","-"))</f>
        <v>14%</v>
      </c>
      <c r="O415" s="53" t="s">
        <v>67</v>
      </c>
    </row>
    <row r="416" spans="1:15" ht="49.95" customHeight="1">
      <c r="A416" s="52" t="s">
        <v>937</v>
      </c>
      <c r="B416" s="52" t="s">
        <v>938</v>
      </c>
      <c r="C416" s="52" t="s">
        <v>939</v>
      </c>
      <c r="D416" s="52"/>
      <c r="E416" s="52" t="s">
        <v>940</v>
      </c>
      <c r="F416" s="52" t="s">
        <v>86</v>
      </c>
      <c r="G416" s="53">
        <v>2</v>
      </c>
      <c r="H416" s="52" t="s">
        <v>62</v>
      </c>
      <c r="I416" s="53">
        <v>43990</v>
      </c>
      <c r="J416" s="53" t="s">
        <v>63</v>
      </c>
      <c r="K416" s="53" t="s">
        <v>64</v>
      </c>
      <c r="L416" s="53" t="s">
        <v>65</v>
      </c>
      <c r="M416" s="53" t="s">
        <v>66</v>
      </c>
      <c r="N416" s="52" t="str">
        <f ca="1">IF(INDIRECT("M416")="Clásica","14%",IF(INDIRECT("M416")="Premium","18%","-"))</f>
        <v>14%</v>
      </c>
      <c r="O416" s="53" t="s">
        <v>67</v>
      </c>
    </row>
    <row r="417" spans="1:15" ht="49.95" customHeight="1">
      <c r="A417" s="52" t="s">
        <v>941</v>
      </c>
      <c r="B417" s="52" t="s">
        <v>942</v>
      </c>
      <c r="C417" s="52" t="s">
        <v>943</v>
      </c>
      <c r="D417" s="52"/>
      <c r="E417" s="52" t="s">
        <v>944</v>
      </c>
      <c r="F417" s="52" t="s">
        <v>944</v>
      </c>
      <c r="G417" s="53">
        <v>2</v>
      </c>
      <c r="H417" s="52" t="s">
        <v>62</v>
      </c>
      <c r="I417" s="53">
        <v>27990</v>
      </c>
      <c r="J417" s="53" t="s">
        <v>63</v>
      </c>
      <c r="K417" s="53" t="s">
        <v>64</v>
      </c>
      <c r="L417" s="53" t="s">
        <v>65</v>
      </c>
      <c r="M417" s="53" t="s">
        <v>66</v>
      </c>
      <c r="N417" s="52" t="str">
        <f ca="1">IF(INDIRECT("M417")="Clásica","15%",IF(INDIRECT("M417")="Premium","19%","-"))</f>
        <v>15%</v>
      </c>
      <c r="O417" s="53" t="s">
        <v>67</v>
      </c>
    </row>
    <row r="418" spans="1:15" ht="49.95" customHeight="1">
      <c r="A418" s="52" t="s">
        <v>945</v>
      </c>
      <c r="B418" s="52" t="s">
        <v>946</v>
      </c>
      <c r="C418" s="52" t="s">
        <v>947</v>
      </c>
      <c r="D418" s="52"/>
      <c r="E418" s="52" t="s">
        <v>948</v>
      </c>
      <c r="F418" s="52" t="s">
        <v>948</v>
      </c>
      <c r="G418" s="53">
        <v>2</v>
      </c>
      <c r="H418" s="52" t="s">
        <v>62</v>
      </c>
      <c r="I418" s="53">
        <v>13990</v>
      </c>
      <c r="J418" s="53" t="s">
        <v>63</v>
      </c>
      <c r="K418" s="53" t="s">
        <v>64</v>
      </c>
      <c r="L418" s="53" t="s">
        <v>71</v>
      </c>
      <c r="M418" s="53" t="s">
        <v>66</v>
      </c>
      <c r="N418" s="52" t="str">
        <f ca="1">IF(INDIRECT("M418")="Clásica","14%",IF(INDIRECT("M418")="Premium","18%","-"))</f>
        <v>14%</v>
      </c>
      <c r="O418" s="53" t="s">
        <v>67</v>
      </c>
    </row>
    <row r="419" spans="1:15" ht="49.95" customHeight="1">
      <c r="A419" s="52" t="s">
        <v>949</v>
      </c>
      <c r="B419" s="52" t="s">
        <v>950</v>
      </c>
      <c r="C419" s="52" t="s">
        <v>951</v>
      </c>
      <c r="D419" s="52"/>
      <c r="E419" s="52" t="s">
        <v>952</v>
      </c>
      <c r="F419" s="52" t="s">
        <v>952</v>
      </c>
      <c r="G419" s="53">
        <v>1</v>
      </c>
      <c r="H419" s="52" t="s">
        <v>62</v>
      </c>
      <c r="I419" s="53">
        <v>139990</v>
      </c>
      <c r="J419" s="53" t="s">
        <v>63</v>
      </c>
      <c r="K419" s="53" t="s">
        <v>64</v>
      </c>
      <c r="L419" s="53" t="s">
        <v>65</v>
      </c>
      <c r="M419" s="53" t="s">
        <v>66</v>
      </c>
      <c r="N419" s="52" t="str">
        <f ca="1">IF(INDIRECT("M419")="Clásica","14%",IF(INDIRECT("M419")="Premium","18%","-"))</f>
        <v>14%</v>
      </c>
      <c r="O419" s="53" t="s">
        <v>67</v>
      </c>
    </row>
    <row r="420" spans="1:15" ht="49.95" customHeight="1">
      <c r="A420" s="52" t="s">
        <v>953</v>
      </c>
      <c r="B420" s="52" t="s">
        <v>954</v>
      </c>
      <c r="C420" s="52" t="s">
        <v>955</v>
      </c>
      <c r="D420" s="52"/>
      <c r="E420" s="52" t="s">
        <v>956</v>
      </c>
      <c r="F420" s="52" t="s">
        <v>956</v>
      </c>
      <c r="G420" s="53">
        <v>2</v>
      </c>
      <c r="H420" s="52" t="s">
        <v>62</v>
      </c>
      <c r="I420" s="53">
        <v>44990</v>
      </c>
      <c r="J420" s="53" t="s">
        <v>63</v>
      </c>
      <c r="K420" s="53" t="s">
        <v>64</v>
      </c>
      <c r="L420" s="53" t="s">
        <v>65</v>
      </c>
      <c r="M420" s="53" t="s">
        <v>66</v>
      </c>
      <c r="N420" s="52" t="str">
        <f ca="1">IF(INDIRECT("M420")="Clásica","14%",IF(INDIRECT("M420")="Premium","18%","-"))</f>
        <v>14%</v>
      </c>
      <c r="O420" s="53" t="s">
        <v>67</v>
      </c>
    </row>
    <row r="421" spans="1:15" ht="49.95" customHeight="1">
      <c r="A421" s="52" t="s">
        <v>24</v>
      </c>
      <c r="B421" s="52" t="s">
        <v>957</v>
      </c>
      <c r="C421" s="52"/>
      <c r="D421" s="52"/>
      <c r="E421" s="52" t="s">
        <v>958</v>
      </c>
      <c r="F421" s="52" t="s">
        <v>62</v>
      </c>
      <c r="G421" s="52" t="s">
        <v>143</v>
      </c>
      <c r="H421" s="52" t="s">
        <v>62</v>
      </c>
      <c r="I421" s="53">
        <v>29990</v>
      </c>
      <c r="J421" s="53" t="s">
        <v>63</v>
      </c>
      <c r="K421" s="53" t="s">
        <v>64</v>
      </c>
      <c r="L421" s="53" t="s">
        <v>65</v>
      </c>
      <c r="M421" s="53" t="s">
        <v>66</v>
      </c>
      <c r="N421" s="52" t="str">
        <f ca="1">IF(INDIRECT("M421")="Clásica","14%",IF(INDIRECT("M421")="Premium","18%","-"))</f>
        <v>14%</v>
      </c>
      <c r="O421" s="53" t="s">
        <v>67</v>
      </c>
    </row>
    <row r="422" spans="1:15" ht="49.95" customHeight="1">
      <c r="A422" s="52" t="s">
        <v>24</v>
      </c>
      <c r="B422" s="52" t="s">
        <v>957</v>
      </c>
      <c r="C422" s="52" t="s">
        <v>959</v>
      </c>
      <c r="D422" s="52" t="s">
        <v>959</v>
      </c>
      <c r="E422" s="54" t="str">
        <f>"     "&amp;E421</f>
        <v xml:space="preserve">     Protector Radiador Cubierta Yamaha R15 V4 R15 M R 15 V4 M</v>
      </c>
      <c r="F422" s="52" t="s">
        <v>86</v>
      </c>
      <c r="G422" s="53">
        <v>2</v>
      </c>
      <c r="H422" s="52" t="s">
        <v>62</v>
      </c>
      <c r="I422" s="52">
        <f>I421</f>
        <v>29990</v>
      </c>
      <c r="J422" s="52" t="str">
        <f>J421&amp;"     "</f>
        <v xml:space="preserve">$     </v>
      </c>
      <c r="K422" s="52" t="str">
        <f>K421&amp;"     "</f>
        <v xml:space="preserve">Nuevo     </v>
      </c>
      <c r="L422" s="52" t="str">
        <f>L421&amp;"     "</f>
        <v xml:space="preserve">Mercado Envíos gratis     </v>
      </c>
      <c r="M422" s="52" t="str">
        <f>M421&amp;"     "</f>
        <v xml:space="preserve">Clásica     </v>
      </c>
      <c r="N422" s="52" t="str">
        <f ca="1">N421</f>
        <v>14%</v>
      </c>
      <c r="O422" s="52" t="str">
        <f>O421&amp;"     "</f>
        <v xml:space="preserve">Activa     </v>
      </c>
    </row>
    <row r="423" spans="1:15" ht="49.95" customHeight="1">
      <c r="A423" s="52" t="s">
        <v>24</v>
      </c>
      <c r="B423" s="52" t="s">
        <v>957</v>
      </c>
      <c r="C423" s="52" t="s">
        <v>960</v>
      </c>
      <c r="D423" s="52" t="s">
        <v>960</v>
      </c>
      <c r="E423" s="54" t="str">
        <f>"     "&amp;E421</f>
        <v xml:space="preserve">     Protector Radiador Cubierta Yamaha R15 V4 R15 M R 15 V4 M</v>
      </c>
      <c r="F423" s="52" t="s">
        <v>88</v>
      </c>
      <c r="G423" s="53">
        <v>2</v>
      </c>
      <c r="H423" s="52" t="s">
        <v>62</v>
      </c>
      <c r="I423" s="52">
        <f>I421</f>
        <v>29990</v>
      </c>
      <c r="J423" s="52" t="str">
        <f>J421&amp;"     "</f>
        <v xml:space="preserve">$     </v>
      </c>
      <c r="K423" s="52" t="str">
        <f>K421&amp;"     "</f>
        <v xml:space="preserve">Nuevo     </v>
      </c>
      <c r="L423" s="52" t="str">
        <f>L421&amp;"     "</f>
        <v xml:space="preserve">Mercado Envíos gratis     </v>
      </c>
      <c r="M423" s="52" t="str">
        <f>M421&amp;"     "</f>
        <v xml:space="preserve">Clásica     </v>
      </c>
      <c r="N423" s="52" t="str">
        <f ca="1">N421</f>
        <v>14%</v>
      </c>
      <c r="O423" s="52" t="str">
        <f>O421&amp;"     "</f>
        <v xml:space="preserve">Activa     </v>
      </c>
    </row>
    <row r="424" spans="1:15" ht="49.95" customHeight="1">
      <c r="A424" s="52" t="s">
        <v>24</v>
      </c>
      <c r="B424" s="52" t="s">
        <v>961</v>
      </c>
      <c r="C424" s="52"/>
      <c r="D424" s="52"/>
      <c r="E424" s="52" t="s">
        <v>962</v>
      </c>
      <c r="F424" s="52" t="s">
        <v>62</v>
      </c>
      <c r="G424" s="52" t="s">
        <v>112</v>
      </c>
      <c r="H424" s="52" t="s">
        <v>62</v>
      </c>
      <c r="I424" s="53">
        <v>24990</v>
      </c>
      <c r="J424" s="53" t="s">
        <v>63</v>
      </c>
      <c r="K424" s="53" t="s">
        <v>64</v>
      </c>
      <c r="L424" s="53" t="s">
        <v>65</v>
      </c>
      <c r="M424" s="53" t="s">
        <v>66</v>
      </c>
      <c r="N424" s="52" t="str">
        <f ca="1">IF(INDIRECT("M424")="Clásica","14%",IF(INDIRECT("M424")="Premium","18%","-"))</f>
        <v>14%</v>
      </c>
      <c r="O424" s="53" t="s">
        <v>67</v>
      </c>
    </row>
    <row r="425" spans="1:15" ht="49.95" customHeight="1">
      <c r="A425" s="52" t="s">
        <v>24</v>
      </c>
      <c r="B425" s="52" t="s">
        <v>961</v>
      </c>
      <c r="C425" s="52" t="s">
        <v>963</v>
      </c>
      <c r="D425" s="52" t="s">
        <v>963</v>
      </c>
      <c r="E425" s="54" t="str">
        <f>"     "&amp;E424</f>
        <v xml:space="preserve">     Placa Soporte Extensión Pata Apoyo Yamaha Mt03 Mt03a Mt 03</v>
      </c>
      <c r="F425" s="52" t="s">
        <v>84</v>
      </c>
      <c r="G425" s="53">
        <v>2</v>
      </c>
      <c r="H425" s="52" t="s">
        <v>62</v>
      </c>
      <c r="I425" s="52">
        <f>I424</f>
        <v>24990</v>
      </c>
      <c r="J425" s="52" t="str">
        <f>J424&amp;"     "</f>
        <v xml:space="preserve">$     </v>
      </c>
      <c r="K425" s="52" t="str">
        <f>K424&amp;"     "</f>
        <v xml:space="preserve">Nuevo     </v>
      </c>
      <c r="L425" s="52" t="str">
        <f>L424&amp;"     "</f>
        <v xml:space="preserve">Mercado Envíos gratis     </v>
      </c>
      <c r="M425" s="52" t="str">
        <f>M424&amp;"     "</f>
        <v xml:space="preserve">Clásica     </v>
      </c>
      <c r="N425" s="52" t="str">
        <f ca="1">N424</f>
        <v>14%</v>
      </c>
      <c r="O425" s="52" t="str">
        <f>O424&amp;"     "</f>
        <v xml:space="preserve">Activa     </v>
      </c>
    </row>
    <row r="426" spans="1:15" ht="49.95" customHeight="1">
      <c r="A426" s="52" t="s">
        <v>24</v>
      </c>
      <c r="B426" s="52" t="s">
        <v>961</v>
      </c>
      <c r="C426" s="52" t="s">
        <v>964</v>
      </c>
      <c r="D426" s="52" t="s">
        <v>964</v>
      </c>
      <c r="E426" s="54" t="str">
        <f>"     "&amp;E424</f>
        <v xml:space="preserve">     Placa Soporte Extensión Pata Apoyo Yamaha Mt03 Mt03a Mt 03</v>
      </c>
      <c r="F426" s="52" t="s">
        <v>86</v>
      </c>
      <c r="G426" s="53">
        <v>0</v>
      </c>
      <c r="H426" s="52" t="s">
        <v>62</v>
      </c>
      <c r="I426" s="52">
        <f>I424</f>
        <v>24990</v>
      </c>
      <c r="J426" s="52" t="str">
        <f>J424&amp;"     "</f>
        <v xml:space="preserve">$     </v>
      </c>
      <c r="K426" s="52" t="str">
        <f>K424&amp;"     "</f>
        <v xml:space="preserve">Nuevo     </v>
      </c>
      <c r="L426" s="52" t="str">
        <f>L424&amp;"     "</f>
        <v xml:space="preserve">Mercado Envíos gratis     </v>
      </c>
      <c r="M426" s="52" t="str">
        <f>M424&amp;"     "</f>
        <v xml:space="preserve">Clásica     </v>
      </c>
      <c r="N426" s="52" t="str">
        <f ca="1">N424</f>
        <v>14%</v>
      </c>
      <c r="O426" s="52" t="str">
        <f>O424&amp;"     "</f>
        <v xml:space="preserve">Activa     </v>
      </c>
    </row>
    <row r="427" spans="1:15" ht="49.95" customHeight="1">
      <c r="A427" s="52" t="s">
        <v>965</v>
      </c>
      <c r="B427" s="52" t="s">
        <v>966</v>
      </c>
      <c r="C427" s="52" t="s">
        <v>967</v>
      </c>
      <c r="D427" s="52"/>
      <c r="E427" s="52" t="s">
        <v>968</v>
      </c>
      <c r="F427" s="52" t="s">
        <v>968</v>
      </c>
      <c r="G427" s="53">
        <v>2</v>
      </c>
      <c r="H427" s="52" t="s">
        <v>62</v>
      </c>
      <c r="I427" s="53">
        <v>34990</v>
      </c>
      <c r="J427" s="53" t="s">
        <v>63</v>
      </c>
      <c r="K427" s="53" t="s">
        <v>64</v>
      </c>
      <c r="L427" s="53" t="s">
        <v>65</v>
      </c>
      <c r="M427" s="53" t="s">
        <v>66</v>
      </c>
      <c r="N427" s="52" t="str">
        <f ca="1">IF(INDIRECT("M427")="Clásica","14%",IF(INDIRECT("M427")="Premium","18%","-"))</f>
        <v>14%</v>
      </c>
      <c r="O427" s="53" t="s">
        <v>67</v>
      </c>
    </row>
    <row r="428" spans="1:15" ht="49.95" customHeight="1">
      <c r="A428" s="52" t="s">
        <v>969</v>
      </c>
      <c r="B428" s="52" t="s">
        <v>970</v>
      </c>
      <c r="C428" s="52" t="s">
        <v>971</v>
      </c>
      <c r="D428" s="52"/>
      <c r="E428" s="52" t="s">
        <v>972</v>
      </c>
      <c r="F428" s="52" t="s">
        <v>972</v>
      </c>
      <c r="G428" s="53">
        <v>2</v>
      </c>
      <c r="H428" s="52" t="s">
        <v>62</v>
      </c>
      <c r="I428" s="53">
        <v>30990</v>
      </c>
      <c r="J428" s="53" t="s">
        <v>63</v>
      </c>
      <c r="K428" s="53" t="s">
        <v>64</v>
      </c>
      <c r="L428" s="53" t="s">
        <v>65</v>
      </c>
      <c r="M428" s="53" t="s">
        <v>66</v>
      </c>
      <c r="N428" s="52" t="str">
        <f ca="1">IF(INDIRECT("M428")="Clásica","14%",IF(INDIRECT("M428")="Premium","18%","-"))</f>
        <v>14%</v>
      </c>
      <c r="O428" s="53" t="s">
        <v>67</v>
      </c>
    </row>
    <row r="429" spans="1:15" ht="49.95" customHeight="1">
      <c r="A429" s="52" t="s">
        <v>973</v>
      </c>
      <c r="B429" s="52" t="s">
        <v>974</v>
      </c>
      <c r="C429" s="52" t="s">
        <v>975</v>
      </c>
      <c r="D429" s="52"/>
      <c r="E429" s="52" t="s">
        <v>976</v>
      </c>
      <c r="F429" s="52" t="s">
        <v>976</v>
      </c>
      <c r="G429" s="53">
        <v>1</v>
      </c>
      <c r="H429" s="52" t="s">
        <v>62</v>
      </c>
      <c r="I429" s="53">
        <v>156990</v>
      </c>
      <c r="J429" s="53" t="s">
        <v>63</v>
      </c>
      <c r="K429" s="53" t="s">
        <v>64</v>
      </c>
      <c r="L429" s="53" t="s">
        <v>65</v>
      </c>
      <c r="M429" s="53" t="s">
        <v>66</v>
      </c>
      <c r="N429" s="52" t="str">
        <f ca="1">IF(INDIRECT("M429")="Clásica","13%",IF(INDIRECT("M429")="Premium","17%","-"))</f>
        <v>13%</v>
      </c>
      <c r="O429" s="53" t="s">
        <v>67</v>
      </c>
    </row>
    <row r="430" spans="1:15" ht="49.95" customHeight="1">
      <c r="A430" s="52" t="s">
        <v>977</v>
      </c>
      <c r="B430" s="52" t="s">
        <v>978</v>
      </c>
      <c r="C430" s="52" t="s">
        <v>979</v>
      </c>
      <c r="D430" s="52"/>
      <c r="E430" s="52" t="s">
        <v>980</v>
      </c>
      <c r="F430" s="52" t="s">
        <v>86</v>
      </c>
      <c r="G430" s="53">
        <v>2</v>
      </c>
      <c r="H430" s="52" t="s">
        <v>62</v>
      </c>
      <c r="I430" s="52" t="s">
        <v>24</v>
      </c>
      <c r="J430" s="53" t="s">
        <v>63</v>
      </c>
      <c r="K430" s="53" t="s">
        <v>64</v>
      </c>
      <c r="L430" s="53" t="s">
        <v>65</v>
      </c>
      <c r="M430" s="53" t="s">
        <v>66</v>
      </c>
      <c r="N430" s="52" t="str">
        <f ca="1">IF(INDIRECT("M430")="Clásica","14%",IF(INDIRECT("M430")="Premium","18%","-"))</f>
        <v>14%</v>
      </c>
      <c r="O430" s="53" t="s">
        <v>67</v>
      </c>
    </row>
    <row r="431" spans="1:15" ht="49.95" customHeight="1">
      <c r="A431" s="52" t="s">
        <v>981</v>
      </c>
      <c r="B431" s="52" t="s">
        <v>982</v>
      </c>
      <c r="C431" s="52" t="s">
        <v>983</v>
      </c>
      <c r="D431" s="52"/>
      <c r="E431" s="52" t="s">
        <v>984</v>
      </c>
      <c r="F431" s="52" t="s">
        <v>62</v>
      </c>
      <c r="G431" s="53">
        <v>6</v>
      </c>
      <c r="H431" s="52" t="s">
        <v>62</v>
      </c>
      <c r="I431" s="53">
        <v>22990</v>
      </c>
      <c r="J431" s="53" t="s">
        <v>63</v>
      </c>
      <c r="K431" s="52" t="s">
        <v>64</v>
      </c>
      <c r="L431" s="53" t="s">
        <v>65</v>
      </c>
      <c r="M431" s="53" t="s">
        <v>66</v>
      </c>
      <c r="N431" s="52" t="str">
        <f ca="1">IF(INDIRECT("M431")="Clásica","15%",IF(INDIRECT("M431")="Premium","19%","-"))</f>
        <v>15%</v>
      </c>
      <c r="O431" s="53" t="s">
        <v>67</v>
      </c>
    </row>
    <row r="432" spans="1:15" ht="49.95" customHeight="1">
      <c r="A432" s="52" t="s">
        <v>985</v>
      </c>
      <c r="B432" s="52" t="s">
        <v>986</v>
      </c>
      <c r="C432" s="52" t="s">
        <v>987</v>
      </c>
      <c r="D432" s="52"/>
      <c r="E432" s="52" t="s">
        <v>988</v>
      </c>
      <c r="F432" s="52" t="s">
        <v>988</v>
      </c>
      <c r="G432" s="53">
        <v>1</v>
      </c>
      <c r="H432" s="52" t="s">
        <v>62</v>
      </c>
      <c r="I432" s="53">
        <v>31990</v>
      </c>
      <c r="J432" s="53" t="s">
        <v>63</v>
      </c>
      <c r="K432" s="53" t="s">
        <v>64</v>
      </c>
      <c r="L432" s="53" t="s">
        <v>65</v>
      </c>
      <c r="M432" s="53" t="s">
        <v>66</v>
      </c>
      <c r="N432" s="52" t="str">
        <f ca="1">IF(INDIRECT("M432")="Clásica","15%",IF(INDIRECT("M432")="Premium","19%","-"))</f>
        <v>15%</v>
      </c>
      <c r="O432" s="53" t="s">
        <v>67</v>
      </c>
    </row>
    <row r="433" spans="1:15" ht="49.95" customHeight="1">
      <c r="A433" s="52" t="s">
        <v>989</v>
      </c>
      <c r="B433" s="52" t="s">
        <v>990</v>
      </c>
      <c r="C433" s="52" t="s">
        <v>991</v>
      </c>
      <c r="D433" s="52"/>
      <c r="E433" s="52" t="s">
        <v>992</v>
      </c>
      <c r="F433" s="52" t="s">
        <v>936</v>
      </c>
      <c r="G433" s="53">
        <v>2</v>
      </c>
      <c r="H433" s="52" t="s">
        <v>62</v>
      </c>
      <c r="I433" s="53">
        <v>71990</v>
      </c>
      <c r="J433" s="53" t="s">
        <v>63</v>
      </c>
      <c r="K433" s="53" t="s">
        <v>64</v>
      </c>
      <c r="L433" s="53" t="s">
        <v>65</v>
      </c>
      <c r="M433" s="53" t="s">
        <v>66</v>
      </c>
      <c r="N433" s="52" t="str">
        <f ca="1">IF(INDIRECT("M433")="Clásica","14%",IF(INDIRECT("M433")="Premium","18%","-"))</f>
        <v>14%</v>
      </c>
      <c r="O433" s="53" t="s">
        <v>67</v>
      </c>
    </row>
    <row r="434" spans="1:15" ht="49.95" customHeight="1">
      <c r="A434" s="52" t="s">
        <v>993</v>
      </c>
      <c r="B434" s="52" t="s">
        <v>994</v>
      </c>
      <c r="C434" s="52" t="s">
        <v>995</v>
      </c>
      <c r="D434" s="52"/>
      <c r="E434" s="52" t="s">
        <v>996</v>
      </c>
      <c r="F434" s="52" t="s">
        <v>996</v>
      </c>
      <c r="G434" s="53">
        <v>2</v>
      </c>
      <c r="H434" s="52" t="s">
        <v>62</v>
      </c>
      <c r="I434" s="53">
        <v>29990</v>
      </c>
      <c r="J434" s="53" t="s">
        <v>63</v>
      </c>
      <c r="K434" s="53" t="s">
        <v>64</v>
      </c>
      <c r="L434" s="53" t="s">
        <v>65</v>
      </c>
      <c r="M434" s="53" t="s">
        <v>66</v>
      </c>
      <c r="N434" s="52" t="str">
        <f ca="1">IF(INDIRECT("M434")="Clásica","14%",IF(INDIRECT("M434")="Premium","18%","-"))</f>
        <v>14%</v>
      </c>
      <c r="O434" s="53" t="s">
        <v>67</v>
      </c>
    </row>
    <row r="435" spans="1:15" ht="49.95" customHeight="1">
      <c r="A435" s="52" t="s">
        <v>997</v>
      </c>
      <c r="B435" s="52" t="s">
        <v>998</v>
      </c>
      <c r="C435" s="52" t="s">
        <v>999</v>
      </c>
      <c r="D435" s="52"/>
      <c r="E435" s="52" t="s">
        <v>1000</v>
      </c>
      <c r="F435" s="52" t="s">
        <v>1000</v>
      </c>
      <c r="G435" s="53">
        <v>1</v>
      </c>
      <c r="H435" s="52" t="s">
        <v>62</v>
      </c>
      <c r="I435" s="53">
        <v>59990</v>
      </c>
      <c r="J435" s="53" t="s">
        <v>63</v>
      </c>
      <c r="K435" s="53" t="s">
        <v>64</v>
      </c>
      <c r="L435" s="53" t="s">
        <v>65</v>
      </c>
      <c r="M435" s="53" t="s">
        <v>66</v>
      </c>
      <c r="N435" s="52" t="str">
        <f ca="1">IF(INDIRECT("M435")="Clásica","14%",IF(INDIRECT("M435")="Premium","18%","-"))</f>
        <v>14%</v>
      </c>
      <c r="O435" s="53" t="s">
        <v>67</v>
      </c>
    </row>
    <row r="436" spans="1:15" ht="49.95" customHeight="1">
      <c r="A436" s="52" t="s">
        <v>1001</v>
      </c>
      <c r="B436" s="52" t="s">
        <v>1002</v>
      </c>
      <c r="C436" s="52" t="s">
        <v>1003</v>
      </c>
      <c r="D436" s="52"/>
      <c r="E436" s="52" t="s">
        <v>1004</v>
      </c>
      <c r="F436" s="52" t="s">
        <v>1004</v>
      </c>
      <c r="G436" s="53">
        <v>2</v>
      </c>
      <c r="H436" s="52" t="s">
        <v>62</v>
      </c>
      <c r="I436" s="53">
        <v>44990</v>
      </c>
      <c r="J436" s="53" t="s">
        <v>63</v>
      </c>
      <c r="K436" s="53" t="s">
        <v>64</v>
      </c>
      <c r="L436" s="53" t="s">
        <v>65</v>
      </c>
      <c r="M436" s="53" t="s">
        <v>66</v>
      </c>
      <c r="N436" s="52" t="str">
        <f ca="1">IF(INDIRECT("M436")="Clásica","14%",IF(INDIRECT("M436")="Premium","18%","-"))</f>
        <v>14%</v>
      </c>
      <c r="O436" s="53" t="s">
        <v>67</v>
      </c>
    </row>
    <row r="437" spans="1:15" ht="49.95" customHeight="1">
      <c r="A437" s="52" t="s">
        <v>24</v>
      </c>
      <c r="B437" s="52" t="s">
        <v>1005</v>
      </c>
      <c r="C437" s="52"/>
      <c r="D437" s="52"/>
      <c r="E437" s="52" t="s">
        <v>1006</v>
      </c>
      <c r="F437" s="52" t="s">
        <v>62</v>
      </c>
      <c r="G437" s="52" t="s">
        <v>164</v>
      </c>
      <c r="H437" s="52" t="s">
        <v>62</v>
      </c>
      <c r="I437" s="53">
        <v>27990</v>
      </c>
      <c r="J437" s="53" t="s">
        <v>63</v>
      </c>
      <c r="K437" s="53" t="s">
        <v>64</v>
      </c>
      <c r="L437" s="53" t="s">
        <v>65</v>
      </c>
      <c r="M437" s="53" t="s">
        <v>66</v>
      </c>
      <c r="N437" s="52" t="str">
        <f ca="1">IF(INDIRECT("M437")="Clásica","15%",IF(INDIRECT("M437")="Premium","19%","-"))</f>
        <v>15%</v>
      </c>
      <c r="O437" s="53" t="s">
        <v>67</v>
      </c>
    </row>
    <row r="438" spans="1:15" ht="49.95" customHeight="1">
      <c r="A438" s="52" t="s">
        <v>24</v>
      </c>
      <c r="B438" s="52" t="s">
        <v>1005</v>
      </c>
      <c r="C438" s="52" t="s">
        <v>1007</v>
      </c>
      <c r="D438" s="52" t="s">
        <v>1007</v>
      </c>
      <c r="E438" s="54" t="str">
        <f>"     "&amp;E437</f>
        <v xml:space="preserve">     Par Tapas Decorativas Marco Chasis Yamaha R3 R3a Mt03 Mt03a</v>
      </c>
      <c r="F438" s="52" t="s">
        <v>84</v>
      </c>
      <c r="G438" s="53">
        <v>1</v>
      </c>
      <c r="H438" s="52" t="s">
        <v>62</v>
      </c>
      <c r="I438" s="52">
        <f>I437</f>
        <v>27990</v>
      </c>
      <c r="J438" s="52" t="str">
        <f>J437&amp;"     "</f>
        <v xml:space="preserve">$     </v>
      </c>
      <c r="K438" s="52" t="str">
        <f>K437&amp;"     "</f>
        <v xml:space="preserve">Nuevo     </v>
      </c>
      <c r="L438" s="52" t="str">
        <f>L437&amp;"     "</f>
        <v xml:space="preserve">Mercado Envíos gratis     </v>
      </c>
      <c r="M438" s="52" t="str">
        <f>M437&amp;"     "</f>
        <v xml:space="preserve">Clásica     </v>
      </c>
      <c r="N438" s="52" t="str">
        <f ca="1">N437</f>
        <v>15%</v>
      </c>
      <c r="O438" s="52" t="str">
        <f>O437&amp;"     "</f>
        <v xml:space="preserve">Activa     </v>
      </c>
    </row>
    <row r="439" spans="1:15" ht="49.95" customHeight="1">
      <c r="A439" s="52" t="s">
        <v>24</v>
      </c>
      <c r="B439" s="52" t="s">
        <v>1005</v>
      </c>
      <c r="C439" s="52" t="s">
        <v>1008</v>
      </c>
      <c r="D439" s="52" t="s">
        <v>1008</v>
      </c>
      <c r="E439" s="54" t="str">
        <f>"     "&amp;E437</f>
        <v xml:space="preserve">     Par Tapas Decorativas Marco Chasis Yamaha R3 R3a Mt03 Mt03a</v>
      </c>
      <c r="F439" s="52" t="s">
        <v>86</v>
      </c>
      <c r="G439" s="53">
        <v>0</v>
      </c>
      <c r="H439" s="52" t="s">
        <v>62</v>
      </c>
      <c r="I439" s="52">
        <f>I437</f>
        <v>27990</v>
      </c>
      <c r="J439" s="52" t="str">
        <f>J437&amp;"     "</f>
        <v xml:space="preserve">$     </v>
      </c>
      <c r="K439" s="52" t="str">
        <f>K437&amp;"     "</f>
        <v xml:space="preserve">Nuevo     </v>
      </c>
      <c r="L439" s="52" t="str">
        <f>L437&amp;"     "</f>
        <v xml:space="preserve">Mercado Envíos gratis     </v>
      </c>
      <c r="M439" s="52" t="str">
        <f>M437&amp;"     "</f>
        <v xml:space="preserve">Clásica     </v>
      </c>
      <c r="N439" s="52" t="str">
        <f ca="1">N437</f>
        <v>15%</v>
      </c>
      <c r="O439" s="52" t="str">
        <f>O437&amp;"     "</f>
        <v xml:space="preserve">Activa     </v>
      </c>
    </row>
    <row r="440" spans="1:15" ht="49.95" customHeight="1">
      <c r="A440" s="52" t="s">
        <v>24</v>
      </c>
      <c r="B440" s="52" t="s">
        <v>1009</v>
      </c>
      <c r="C440" s="52"/>
      <c r="D440" s="52"/>
      <c r="E440" s="52" t="s">
        <v>1010</v>
      </c>
      <c r="F440" s="52" t="s">
        <v>62</v>
      </c>
      <c r="G440" s="52" t="s">
        <v>143</v>
      </c>
      <c r="H440" s="52" t="s">
        <v>62</v>
      </c>
      <c r="I440" s="53">
        <v>59990</v>
      </c>
      <c r="J440" s="53" t="s">
        <v>63</v>
      </c>
      <c r="K440" s="53" t="s">
        <v>64</v>
      </c>
      <c r="L440" s="53" t="s">
        <v>65</v>
      </c>
      <c r="M440" s="53" t="s">
        <v>66</v>
      </c>
      <c r="N440" s="52" t="str">
        <f ca="1">IF(INDIRECT("M440")="Clásica","14%",IF(INDIRECT("M440")="Premium","18%","-"))</f>
        <v>14%</v>
      </c>
      <c r="O440" s="53" t="s">
        <v>67</v>
      </c>
    </row>
    <row r="441" spans="1:15" ht="49.95" customHeight="1">
      <c r="A441" s="52" t="s">
        <v>24</v>
      </c>
      <c r="B441" s="52" t="s">
        <v>1009</v>
      </c>
      <c r="C441" s="52" t="s">
        <v>1011</v>
      </c>
      <c r="D441" s="52" t="s">
        <v>1011</v>
      </c>
      <c r="E441" s="54" t="str">
        <f>"     "&amp;E440</f>
        <v xml:space="preserve">     Barra Soporte Gps Celular Accesorios Honda Cb190r Cb 190r</v>
      </c>
      <c r="F441" s="52" t="s">
        <v>86</v>
      </c>
      <c r="G441" s="53">
        <v>2</v>
      </c>
      <c r="H441" s="52" t="s">
        <v>62</v>
      </c>
      <c r="I441" s="52">
        <f>I440</f>
        <v>59990</v>
      </c>
      <c r="J441" s="52" t="str">
        <f>J440&amp;"     "</f>
        <v xml:space="preserve">$     </v>
      </c>
      <c r="K441" s="52" t="str">
        <f>K440&amp;"     "</f>
        <v xml:space="preserve">Nuevo     </v>
      </c>
      <c r="L441" s="52" t="str">
        <f>L440&amp;"     "</f>
        <v xml:space="preserve">Mercado Envíos gratis     </v>
      </c>
      <c r="M441" s="52" t="str">
        <f>M440&amp;"     "</f>
        <v xml:space="preserve">Clásica     </v>
      </c>
      <c r="N441" s="52" t="str">
        <f ca="1">N440</f>
        <v>14%</v>
      </c>
      <c r="O441" s="52" t="str">
        <f>O440&amp;"     "</f>
        <v xml:space="preserve">Activa     </v>
      </c>
    </row>
    <row r="442" spans="1:15" ht="49.95" customHeight="1">
      <c r="A442" s="52" t="s">
        <v>24</v>
      </c>
      <c r="B442" s="52" t="s">
        <v>1009</v>
      </c>
      <c r="C442" s="52" t="s">
        <v>1012</v>
      </c>
      <c r="D442" s="52" t="s">
        <v>1012</v>
      </c>
      <c r="E442" s="54" t="str">
        <f>"     "&amp;E440</f>
        <v xml:space="preserve">     Barra Soporte Gps Celular Accesorios Honda Cb190r Cb 190r</v>
      </c>
      <c r="F442" s="52" t="s">
        <v>90</v>
      </c>
      <c r="G442" s="53">
        <v>2</v>
      </c>
      <c r="H442" s="52" t="s">
        <v>62</v>
      </c>
      <c r="I442" s="52">
        <f>I440</f>
        <v>59990</v>
      </c>
      <c r="J442" s="52" t="str">
        <f>J440&amp;"     "</f>
        <v xml:space="preserve">$     </v>
      </c>
      <c r="K442" s="52" t="str">
        <f>K440&amp;"     "</f>
        <v xml:space="preserve">Nuevo     </v>
      </c>
      <c r="L442" s="52" t="str">
        <f>L440&amp;"     "</f>
        <v xml:space="preserve">Mercado Envíos gratis     </v>
      </c>
      <c r="M442" s="52" t="str">
        <f>M440&amp;"     "</f>
        <v xml:space="preserve">Clásica     </v>
      </c>
      <c r="N442" s="52" t="str">
        <f ca="1">N440</f>
        <v>14%</v>
      </c>
      <c r="O442" s="52" t="str">
        <f>O440&amp;"     "</f>
        <v xml:space="preserve">Activa     </v>
      </c>
    </row>
    <row r="443" spans="1:15" ht="49.95" customHeight="1">
      <c r="A443" s="52" t="s">
        <v>1013</v>
      </c>
      <c r="B443" s="52" t="s">
        <v>1014</v>
      </c>
      <c r="C443" s="52" t="s">
        <v>1015</v>
      </c>
      <c r="D443" s="52"/>
      <c r="E443" s="52" t="s">
        <v>1016</v>
      </c>
      <c r="F443" s="52" t="s">
        <v>1016</v>
      </c>
      <c r="G443" s="53">
        <v>2</v>
      </c>
      <c r="H443" s="52" t="s">
        <v>62</v>
      </c>
      <c r="I443" s="53">
        <v>39990</v>
      </c>
      <c r="J443" s="53" t="s">
        <v>63</v>
      </c>
      <c r="K443" s="53" t="s">
        <v>64</v>
      </c>
      <c r="L443" s="53" t="s">
        <v>65</v>
      </c>
      <c r="M443" s="53" t="s">
        <v>66</v>
      </c>
      <c r="N443" s="52" t="str">
        <f ca="1">IF(INDIRECT("M443")="Clásica","14%",IF(INDIRECT("M443")="Premium","18%","-"))</f>
        <v>14%</v>
      </c>
      <c r="O443" s="53" t="s">
        <v>67</v>
      </c>
    </row>
    <row r="444" spans="1:15" ht="49.95" customHeight="1">
      <c r="A444" s="52" t="s">
        <v>1017</v>
      </c>
      <c r="B444" s="52" t="s">
        <v>1018</v>
      </c>
      <c r="C444" s="52" t="s">
        <v>1019</v>
      </c>
      <c r="D444" s="52"/>
      <c r="E444" s="52" t="s">
        <v>1020</v>
      </c>
      <c r="F444" s="52" t="s">
        <v>1020</v>
      </c>
      <c r="G444" s="53">
        <v>2</v>
      </c>
      <c r="H444" s="52" t="s">
        <v>62</v>
      </c>
      <c r="I444" s="53">
        <v>34990</v>
      </c>
      <c r="J444" s="53" t="s">
        <v>63</v>
      </c>
      <c r="K444" s="53" t="s">
        <v>64</v>
      </c>
      <c r="L444" s="53" t="s">
        <v>65</v>
      </c>
      <c r="M444" s="53" t="s">
        <v>66</v>
      </c>
      <c r="N444" s="52" t="str">
        <f ca="1">IF(INDIRECT("M444")="Clásica","14%",IF(INDIRECT("M444")="Premium","18%","-"))</f>
        <v>14%</v>
      </c>
      <c r="O444" s="53" t="s">
        <v>67</v>
      </c>
    </row>
    <row r="445" spans="1:15" ht="49.95" customHeight="1">
      <c r="A445" s="52" t="s">
        <v>1021</v>
      </c>
      <c r="B445" s="52" t="s">
        <v>1022</v>
      </c>
      <c r="C445" s="52" t="s">
        <v>1023</v>
      </c>
      <c r="D445" s="52"/>
      <c r="E445" s="52" t="s">
        <v>1024</v>
      </c>
      <c r="F445" s="52" t="s">
        <v>1024</v>
      </c>
      <c r="G445" s="53">
        <v>2</v>
      </c>
      <c r="H445" s="52" t="s">
        <v>62</v>
      </c>
      <c r="I445" s="53">
        <v>69990</v>
      </c>
      <c r="J445" s="53" t="s">
        <v>63</v>
      </c>
      <c r="K445" s="53" t="s">
        <v>64</v>
      </c>
      <c r="L445" s="53" t="s">
        <v>65</v>
      </c>
      <c r="M445" s="53" t="s">
        <v>66</v>
      </c>
      <c r="N445" s="52" t="str">
        <f ca="1">IF(INDIRECT("M445")="Clásica","14%",IF(INDIRECT("M445")="Premium","18%","-"))</f>
        <v>14%</v>
      </c>
      <c r="O445" s="53" t="s">
        <v>67</v>
      </c>
    </row>
    <row r="446" spans="1:15" ht="49.95" customHeight="1">
      <c r="A446" s="52" t="s">
        <v>1025</v>
      </c>
      <c r="B446" s="52" t="s">
        <v>1026</v>
      </c>
      <c r="C446" s="52" t="s">
        <v>1027</v>
      </c>
      <c r="D446" s="52"/>
      <c r="E446" s="52" t="s">
        <v>1028</v>
      </c>
      <c r="F446" s="52" t="s">
        <v>874</v>
      </c>
      <c r="G446" s="53">
        <v>1</v>
      </c>
      <c r="H446" s="52" t="s">
        <v>62</v>
      </c>
      <c r="I446" s="53">
        <v>74990</v>
      </c>
      <c r="J446" s="53" t="s">
        <v>63</v>
      </c>
      <c r="K446" s="53" t="s">
        <v>64</v>
      </c>
      <c r="L446" s="53" t="s">
        <v>65</v>
      </c>
      <c r="M446" s="53" t="s">
        <v>66</v>
      </c>
      <c r="N446" s="52" t="str">
        <f ca="1">IF(INDIRECT("M446")="Clásica","14%",IF(INDIRECT("M446")="Premium","18%","-"))</f>
        <v>14%</v>
      </c>
      <c r="O446" s="53" t="s">
        <v>67</v>
      </c>
    </row>
    <row r="447" spans="1:15" ht="49.95" customHeight="1">
      <c r="A447" s="52" t="s">
        <v>1029</v>
      </c>
      <c r="B447" s="52" t="s">
        <v>1030</v>
      </c>
      <c r="C447" s="52" t="s">
        <v>1031</v>
      </c>
      <c r="D447" s="52"/>
      <c r="E447" s="52" t="s">
        <v>1032</v>
      </c>
      <c r="F447" s="52" t="s">
        <v>86</v>
      </c>
      <c r="G447" s="53">
        <v>1</v>
      </c>
      <c r="H447" s="52" t="s">
        <v>62</v>
      </c>
      <c r="I447" s="53">
        <v>29990</v>
      </c>
      <c r="J447" s="53" t="s">
        <v>63</v>
      </c>
      <c r="K447" s="53" t="s">
        <v>64</v>
      </c>
      <c r="L447" s="53" t="s">
        <v>65</v>
      </c>
      <c r="M447" s="53" t="s">
        <v>66</v>
      </c>
      <c r="N447" s="52" t="str">
        <f ca="1">IF(INDIRECT("M447")="Clásica","14%",IF(INDIRECT("M447")="Premium","18%","-"))</f>
        <v>14%</v>
      </c>
      <c r="O447" s="53" t="s">
        <v>67</v>
      </c>
    </row>
    <row r="448" spans="1:15" ht="49.95" customHeight="1">
      <c r="A448" s="52" t="s">
        <v>1033</v>
      </c>
      <c r="B448" s="52" t="s">
        <v>1034</v>
      </c>
      <c r="C448" s="52" t="s">
        <v>1035</v>
      </c>
      <c r="D448" s="52"/>
      <c r="E448" s="52" t="s">
        <v>1036</v>
      </c>
      <c r="F448" s="52" t="s">
        <v>524</v>
      </c>
      <c r="G448" s="53">
        <v>1</v>
      </c>
      <c r="H448" s="52" t="s">
        <v>62</v>
      </c>
      <c r="I448" s="53">
        <v>68990</v>
      </c>
      <c r="J448" s="53" t="s">
        <v>63</v>
      </c>
      <c r="K448" s="53" t="s">
        <v>64</v>
      </c>
      <c r="L448" s="53" t="s">
        <v>65</v>
      </c>
      <c r="M448" s="53" t="s">
        <v>66</v>
      </c>
      <c r="N448" s="52" t="str">
        <f ca="1">IF(INDIRECT("M448")="Clásica","14%",IF(INDIRECT("M448")="Premium","18%","-"))</f>
        <v>14%</v>
      </c>
      <c r="O448" s="53" t="s">
        <v>67</v>
      </c>
    </row>
    <row r="449" spans="1:15" ht="49.95" customHeight="1">
      <c r="A449" s="52" t="s">
        <v>1037</v>
      </c>
      <c r="B449" s="52" t="s">
        <v>1038</v>
      </c>
      <c r="C449" s="52" t="s">
        <v>1039</v>
      </c>
      <c r="D449" s="52"/>
      <c r="E449" s="52" t="s">
        <v>1040</v>
      </c>
      <c r="F449" s="52" t="s">
        <v>936</v>
      </c>
      <c r="G449" s="53">
        <v>2</v>
      </c>
      <c r="H449" s="52" t="s">
        <v>62</v>
      </c>
      <c r="I449" s="53">
        <v>137990</v>
      </c>
      <c r="J449" s="53" t="s">
        <v>63</v>
      </c>
      <c r="K449" s="53" t="s">
        <v>64</v>
      </c>
      <c r="L449" s="53" t="s">
        <v>65</v>
      </c>
      <c r="M449" s="53" t="s">
        <v>66</v>
      </c>
      <c r="N449" s="52" t="str">
        <f ca="1">IF(INDIRECT("M449")="Clásica","14%",IF(INDIRECT("M449")="Premium","18%","-"))</f>
        <v>14%</v>
      </c>
      <c r="O449" s="53" t="s">
        <v>67</v>
      </c>
    </row>
    <row r="450" spans="1:15" ht="49.95" customHeight="1">
      <c r="A450" s="52" t="s">
        <v>1041</v>
      </c>
      <c r="B450" s="52" t="s">
        <v>1042</v>
      </c>
      <c r="C450" s="52" t="s">
        <v>1043</v>
      </c>
      <c r="D450" s="52"/>
      <c r="E450" s="52" t="s">
        <v>1044</v>
      </c>
      <c r="F450" s="52" t="s">
        <v>1044</v>
      </c>
      <c r="G450" s="53">
        <v>1</v>
      </c>
      <c r="H450" s="52" t="s">
        <v>62</v>
      </c>
      <c r="I450" s="53">
        <v>44990</v>
      </c>
      <c r="J450" s="53" t="s">
        <v>63</v>
      </c>
      <c r="K450" s="53" t="s">
        <v>64</v>
      </c>
      <c r="L450" s="53" t="s">
        <v>65</v>
      </c>
      <c r="M450" s="53" t="s">
        <v>66</v>
      </c>
      <c r="N450" s="52" t="str">
        <f ca="1">IF(INDIRECT("M450")="Clásica","14%",IF(INDIRECT("M450")="Premium","18%","-"))</f>
        <v>14%</v>
      </c>
      <c r="O450" s="53" t="s">
        <v>67</v>
      </c>
    </row>
    <row r="451" spans="1:15" ht="49.95" customHeight="1">
      <c r="A451" s="52" t="s">
        <v>1045</v>
      </c>
      <c r="B451" s="52" t="s">
        <v>1046</v>
      </c>
      <c r="C451" s="52" t="s">
        <v>1047</v>
      </c>
      <c r="D451" s="52"/>
      <c r="E451" s="52" t="s">
        <v>1048</v>
      </c>
      <c r="F451" s="52" t="s">
        <v>1049</v>
      </c>
      <c r="G451" s="53">
        <v>2</v>
      </c>
      <c r="H451" s="52" t="s">
        <v>62</v>
      </c>
      <c r="I451" s="53">
        <v>545990</v>
      </c>
      <c r="J451" s="53" t="s">
        <v>63</v>
      </c>
      <c r="K451" s="53" t="s">
        <v>64</v>
      </c>
      <c r="L451" s="53" t="s">
        <v>65</v>
      </c>
      <c r="M451" s="53" t="s">
        <v>66</v>
      </c>
      <c r="N451" s="52" t="str">
        <f ca="1">IF(INDIRECT("M451")="Clásica","15%",IF(INDIRECT("M451")="Premium","19%","-"))</f>
        <v>15%</v>
      </c>
      <c r="O451" s="53" t="s">
        <v>67</v>
      </c>
    </row>
    <row r="452" spans="1:15" ht="49.95" customHeight="1">
      <c r="A452" s="52" t="s">
        <v>1050</v>
      </c>
      <c r="B452" s="52" t="s">
        <v>1051</v>
      </c>
      <c r="C452" s="52" t="s">
        <v>1052</v>
      </c>
      <c r="D452" s="52"/>
      <c r="E452" s="52" t="s">
        <v>1053</v>
      </c>
      <c r="F452" s="52" t="s">
        <v>1049</v>
      </c>
      <c r="G452" s="53">
        <v>1</v>
      </c>
      <c r="H452" s="52" t="s">
        <v>62</v>
      </c>
      <c r="I452" s="53">
        <v>507990</v>
      </c>
      <c r="J452" s="53" t="s">
        <v>63</v>
      </c>
      <c r="K452" s="53" t="s">
        <v>64</v>
      </c>
      <c r="L452" s="53" t="s">
        <v>65</v>
      </c>
      <c r="M452" s="53" t="s">
        <v>66</v>
      </c>
      <c r="N452" s="52" t="str">
        <f ca="1">IF(INDIRECT("M452")="Clásica","15%",IF(INDIRECT("M452")="Premium","19%","-"))</f>
        <v>15%</v>
      </c>
      <c r="O452" s="53" t="s">
        <v>67</v>
      </c>
    </row>
    <row r="453" spans="1:15" ht="49.95" customHeight="1">
      <c r="A453" s="52" t="s">
        <v>1054</v>
      </c>
      <c r="B453" s="52" t="s">
        <v>1055</v>
      </c>
      <c r="C453" s="52" t="s">
        <v>1056</v>
      </c>
      <c r="D453" s="52"/>
      <c r="E453" s="52" t="s">
        <v>1057</v>
      </c>
      <c r="F453" s="52" t="s">
        <v>1057</v>
      </c>
      <c r="G453" s="53">
        <v>4</v>
      </c>
      <c r="H453" s="52" t="s">
        <v>62</v>
      </c>
      <c r="I453" s="53">
        <v>11990</v>
      </c>
      <c r="J453" s="53" t="s">
        <v>63</v>
      </c>
      <c r="K453" s="53" t="s">
        <v>64</v>
      </c>
      <c r="L453" s="53" t="s">
        <v>71</v>
      </c>
      <c r="M453" s="53" t="s">
        <v>66</v>
      </c>
      <c r="N453" s="52" t="str">
        <f ca="1">IF(INDIRECT("M453")="Clásica","15%",IF(INDIRECT("M453")="Premium","19%","-"))</f>
        <v>15%</v>
      </c>
      <c r="O453" s="53" t="s">
        <v>67</v>
      </c>
    </row>
    <row r="454" spans="1:15" ht="49.95" customHeight="1">
      <c r="A454" s="52" t="s">
        <v>1058</v>
      </c>
      <c r="B454" s="52" t="s">
        <v>1059</v>
      </c>
      <c r="C454" s="52" t="s">
        <v>1060</v>
      </c>
      <c r="D454" s="52"/>
      <c r="E454" s="52" t="s">
        <v>1061</v>
      </c>
      <c r="F454" s="52" t="s">
        <v>1061</v>
      </c>
      <c r="G454" s="53">
        <v>4</v>
      </c>
      <c r="H454" s="52" t="s">
        <v>62</v>
      </c>
      <c r="I454" s="53">
        <v>13990</v>
      </c>
      <c r="J454" s="53" t="s">
        <v>63</v>
      </c>
      <c r="K454" s="53" t="s">
        <v>64</v>
      </c>
      <c r="L454" s="53" t="s">
        <v>71</v>
      </c>
      <c r="M454" s="53" t="s">
        <v>66</v>
      </c>
      <c r="N454" s="52" t="str">
        <f ca="1">IF(INDIRECT("M454")="Clásica","15%",IF(INDIRECT("M454")="Premium","19%","-"))</f>
        <v>15%</v>
      </c>
      <c r="O454" s="53" t="s">
        <v>67</v>
      </c>
    </row>
    <row r="455" spans="1:15" ht="49.95" customHeight="1">
      <c r="A455" s="52" t="s">
        <v>1062</v>
      </c>
      <c r="B455" s="52" t="s">
        <v>1063</v>
      </c>
      <c r="C455" s="52" t="s">
        <v>1064</v>
      </c>
      <c r="D455" s="52"/>
      <c r="E455" s="52" t="s">
        <v>1065</v>
      </c>
      <c r="F455" s="52" t="s">
        <v>1065</v>
      </c>
      <c r="G455" s="53">
        <v>2</v>
      </c>
      <c r="H455" s="52" t="s">
        <v>62</v>
      </c>
      <c r="I455" s="53">
        <v>37990</v>
      </c>
      <c r="J455" s="53" t="s">
        <v>63</v>
      </c>
      <c r="K455" s="53" t="s">
        <v>64</v>
      </c>
      <c r="L455" s="53" t="s">
        <v>65</v>
      </c>
      <c r="M455" s="53" t="s">
        <v>66</v>
      </c>
      <c r="N455" s="52" t="str">
        <f ca="1">IF(INDIRECT("M455")="Clásica","14%",IF(INDIRECT("M455")="Premium","18%","-"))</f>
        <v>14%</v>
      </c>
      <c r="O455" s="53" t="s">
        <v>67</v>
      </c>
    </row>
    <row r="456" spans="1:15" ht="49.95" customHeight="1">
      <c r="A456" s="52" t="s">
        <v>1066</v>
      </c>
      <c r="B456" s="52" t="s">
        <v>1067</v>
      </c>
      <c r="C456" s="52" t="s">
        <v>1068</v>
      </c>
      <c r="D456" s="52"/>
      <c r="E456" s="52" t="s">
        <v>1069</v>
      </c>
      <c r="F456" s="52" t="s">
        <v>1069</v>
      </c>
      <c r="G456" s="53">
        <v>2</v>
      </c>
      <c r="H456" s="52" t="s">
        <v>62</v>
      </c>
      <c r="I456" s="53">
        <v>37990</v>
      </c>
      <c r="J456" s="53" t="s">
        <v>63</v>
      </c>
      <c r="K456" s="53" t="s">
        <v>64</v>
      </c>
      <c r="L456" s="53" t="s">
        <v>65</v>
      </c>
      <c r="M456" s="53" t="s">
        <v>66</v>
      </c>
      <c r="N456" s="52" t="str">
        <f ca="1">IF(INDIRECT("M456")="Clásica","14%",IF(INDIRECT("M456")="Premium","18%","-"))</f>
        <v>14%</v>
      </c>
      <c r="O456" s="53" t="s">
        <v>67</v>
      </c>
    </row>
    <row r="457" spans="1:15" ht="49.95" customHeight="1">
      <c r="A457" s="52" t="s">
        <v>1070</v>
      </c>
      <c r="B457" s="52" t="s">
        <v>1071</v>
      </c>
      <c r="C457" s="52" t="s">
        <v>1072</v>
      </c>
      <c r="D457" s="52"/>
      <c r="E457" s="52" t="s">
        <v>1073</v>
      </c>
      <c r="F457" s="52" t="s">
        <v>1073</v>
      </c>
      <c r="G457" s="53">
        <v>1</v>
      </c>
      <c r="H457" s="52" t="s">
        <v>62</v>
      </c>
      <c r="I457" s="53">
        <v>39990</v>
      </c>
      <c r="J457" s="53" t="s">
        <v>63</v>
      </c>
      <c r="K457" s="53" t="s">
        <v>64</v>
      </c>
      <c r="L457" s="53" t="s">
        <v>65</v>
      </c>
      <c r="M457" s="53" t="s">
        <v>66</v>
      </c>
      <c r="N457" s="52" t="str">
        <f ca="1">IF(INDIRECT("M457")="Clásica","14%",IF(INDIRECT("M457")="Premium","18%","-"))</f>
        <v>14%</v>
      </c>
      <c r="O457" s="53" t="s">
        <v>67</v>
      </c>
    </row>
    <row r="458" spans="1:15" ht="49.95" customHeight="1">
      <c r="A458" s="52" t="s">
        <v>1074</v>
      </c>
      <c r="B458" s="52" t="s">
        <v>1075</v>
      </c>
      <c r="C458" s="52" t="s">
        <v>1076</v>
      </c>
      <c r="D458" s="52"/>
      <c r="E458" s="52" t="s">
        <v>1077</v>
      </c>
      <c r="F458" s="52" t="s">
        <v>1077</v>
      </c>
      <c r="G458" s="53">
        <v>2</v>
      </c>
      <c r="H458" s="52" t="s">
        <v>62</v>
      </c>
      <c r="I458" s="53">
        <v>114990</v>
      </c>
      <c r="J458" s="53" t="s">
        <v>63</v>
      </c>
      <c r="K458" s="53" t="s">
        <v>64</v>
      </c>
      <c r="L458" s="53" t="s">
        <v>65</v>
      </c>
      <c r="M458" s="53" t="s">
        <v>66</v>
      </c>
      <c r="N458" s="52" t="str">
        <f ca="1">IF(INDIRECT("M458")="Clásica","14%",IF(INDIRECT("M458")="Premium","18%","-"))</f>
        <v>14%</v>
      </c>
      <c r="O458" s="53" t="s">
        <v>67</v>
      </c>
    </row>
    <row r="459" spans="1:15" ht="49.95" customHeight="1">
      <c r="A459" s="52" t="s">
        <v>1078</v>
      </c>
      <c r="B459" s="52" t="s">
        <v>1079</v>
      </c>
      <c r="C459" s="52" t="s">
        <v>1080</v>
      </c>
      <c r="D459" s="52"/>
      <c r="E459" s="52" t="s">
        <v>1081</v>
      </c>
      <c r="F459" s="52" t="s">
        <v>86</v>
      </c>
      <c r="G459" s="53">
        <v>1</v>
      </c>
      <c r="H459" s="52" t="s">
        <v>62</v>
      </c>
      <c r="I459" s="53">
        <v>26990</v>
      </c>
      <c r="J459" s="53" t="s">
        <v>63</v>
      </c>
      <c r="K459" s="53" t="s">
        <v>64</v>
      </c>
      <c r="L459" s="53" t="s">
        <v>65</v>
      </c>
      <c r="M459" s="53" t="s">
        <v>66</v>
      </c>
      <c r="N459" s="52" t="str">
        <f ca="1">IF(INDIRECT("M459")="Clásica","14%",IF(INDIRECT("M459")="Premium","18%","-"))</f>
        <v>14%</v>
      </c>
      <c r="O459" s="53" t="s">
        <v>67</v>
      </c>
    </row>
    <row r="460" spans="1:15" ht="49.95" customHeight="1">
      <c r="A460" s="52" t="s">
        <v>1082</v>
      </c>
      <c r="B460" s="52" t="s">
        <v>1083</v>
      </c>
      <c r="C460" s="52" t="s">
        <v>1084</v>
      </c>
      <c r="D460" s="52"/>
      <c r="E460" s="52" t="s">
        <v>1085</v>
      </c>
      <c r="F460" s="52" t="s">
        <v>86</v>
      </c>
      <c r="G460" s="53">
        <v>1</v>
      </c>
      <c r="H460" s="52" t="s">
        <v>62</v>
      </c>
      <c r="I460" s="52" t="s">
        <v>24</v>
      </c>
      <c r="J460" s="53" t="s">
        <v>63</v>
      </c>
      <c r="K460" s="53" t="s">
        <v>64</v>
      </c>
      <c r="L460" s="53" t="s">
        <v>71</v>
      </c>
      <c r="M460" s="53" t="s">
        <v>66</v>
      </c>
      <c r="N460" s="52" t="str">
        <f ca="1">IF(INDIRECT("M460")="Clásica","14%",IF(INDIRECT("M460")="Premium","18%","-"))</f>
        <v>14%</v>
      </c>
      <c r="O460" s="53" t="s">
        <v>67</v>
      </c>
    </row>
    <row r="461" spans="1:15" ht="49.95" customHeight="1">
      <c r="A461" s="52" t="s">
        <v>1086</v>
      </c>
      <c r="B461" s="52" t="s">
        <v>1087</v>
      </c>
      <c r="C461" s="52" t="s">
        <v>1088</v>
      </c>
      <c r="D461" s="52"/>
      <c r="E461" s="52" t="s">
        <v>1089</v>
      </c>
      <c r="F461" s="52" t="s">
        <v>936</v>
      </c>
      <c r="G461" s="53">
        <v>2</v>
      </c>
      <c r="H461" s="52" t="s">
        <v>62</v>
      </c>
      <c r="I461" s="53">
        <v>191990</v>
      </c>
      <c r="J461" s="53" t="s">
        <v>63</v>
      </c>
      <c r="K461" s="53" t="s">
        <v>64</v>
      </c>
      <c r="L461" s="53" t="s">
        <v>65</v>
      </c>
      <c r="M461" s="53" t="s">
        <v>66</v>
      </c>
      <c r="N461" s="52" t="str">
        <f ca="1">IF(INDIRECT("M461")="Clásica","14%",IF(INDIRECT("M461")="Premium","18%","-"))</f>
        <v>14%</v>
      </c>
      <c r="O461" s="53" t="s">
        <v>67</v>
      </c>
    </row>
    <row r="462" spans="1:15" ht="49.95" customHeight="1">
      <c r="A462" s="52" t="s">
        <v>1090</v>
      </c>
      <c r="B462" s="52" t="s">
        <v>1091</v>
      </c>
      <c r="C462" s="52" t="s">
        <v>1092</v>
      </c>
      <c r="D462" s="52"/>
      <c r="E462" s="52" t="s">
        <v>1093</v>
      </c>
      <c r="F462" s="52" t="s">
        <v>1093</v>
      </c>
      <c r="G462" s="53">
        <v>2</v>
      </c>
      <c r="H462" s="52" t="s">
        <v>62</v>
      </c>
      <c r="I462" s="53">
        <v>39990</v>
      </c>
      <c r="J462" s="53" t="s">
        <v>63</v>
      </c>
      <c r="K462" s="53" t="s">
        <v>64</v>
      </c>
      <c r="L462" s="53" t="s">
        <v>65</v>
      </c>
      <c r="M462" s="53" t="s">
        <v>66</v>
      </c>
      <c r="N462" s="52" t="str">
        <f ca="1">IF(INDIRECT("M462")="Clásica","14%",IF(INDIRECT("M462")="Premium","18%","-"))</f>
        <v>14%</v>
      </c>
      <c r="O462" s="53" t="s">
        <v>67</v>
      </c>
    </row>
    <row r="463" spans="1:15" ht="49.95" customHeight="1">
      <c r="A463" s="52" t="s">
        <v>1094</v>
      </c>
      <c r="B463" s="52" t="s">
        <v>1095</v>
      </c>
      <c r="C463" s="52" t="s">
        <v>1096</v>
      </c>
      <c r="D463" s="52"/>
      <c r="E463" s="52" t="s">
        <v>1097</v>
      </c>
      <c r="F463" s="52" t="s">
        <v>1097</v>
      </c>
      <c r="G463" s="53">
        <v>1</v>
      </c>
      <c r="H463" s="52" t="s">
        <v>62</v>
      </c>
      <c r="I463" s="53">
        <v>43990</v>
      </c>
      <c r="J463" s="53" t="s">
        <v>63</v>
      </c>
      <c r="K463" s="53" t="s">
        <v>64</v>
      </c>
      <c r="L463" s="53" t="s">
        <v>65</v>
      </c>
      <c r="M463" s="53" t="s">
        <v>66</v>
      </c>
      <c r="N463" s="52" t="str">
        <f ca="1">IF(INDIRECT("M463")="Clásica","14%",IF(INDIRECT("M463")="Premium","18%","-"))</f>
        <v>14%</v>
      </c>
      <c r="O463" s="53" t="s">
        <v>67</v>
      </c>
    </row>
    <row r="464" spans="1:15" ht="49.95" customHeight="1">
      <c r="A464" s="52" t="s">
        <v>1098</v>
      </c>
      <c r="B464" s="52" t="s">
        <v>1099</v>
      </c>
      <c r="C464" s="52" t="s">
        <v>1100</v>
      </c>
      <c r="D464" s="52"/>
      <c r="E464" s="55" t="s">
        <v>1101</v>
      </c>
      <c r="F464" s="52" t="s">
        <v>100</v>
      </c>
      <c r="G464" s="53">
        <v>2</v>
      </c>
      <c r="H464" s="52" t="s">
        <v>62</v>
      </c>
      <c r="I464" s="53">
        <v>44990</v>
      </c>
      <c r="J464" s="53" t="s">
        <v>63</v>
      </c>
      <c r="K464" s="53" t="s">
        <v>64</v>
      </c>
      <c r="L464" s="53" t="s">
        <v>65</v>
      </c>
      <c r="M464" s="53" t="s">
        <v>66</v>
      </c>
      <c r="N464" s="52" t="str">
        <f ca="1">IF(INDIRECT("M464")="Clásica","14%",IF(INDIRECT("M464")="Premium","18%","-"))</f>
        <v>14%</v>
      </c>
      <c r="O464" s="53" t="s">
        <v>67</v>
      </c>
    </row>
    <row r="465" spans="1:15" ht="49.95" customHeight="1">
      <c r="A465" s="52" t="s">
        <v>1102</v>
      </c>
      <c r="B465" s="52" t="s">
        <v>1103</v>
      </c>
      <c r="C465" s="52" t="s">
        <v>1104</v>
      </c>
      <c r="D465" s="52"/>
      <c r="E465" s="55" t="s">
        <v>1105</v>
      </c>
      <c r="F465" s="52" t="s">
        <v>1105</v>
      </c>
      <c r="G465" s="53">
        <v>2</v>
      </c>
      <c r="H465" s="52" t="s">
        <v>62</v>
      </c>
      <c r="I465" s="53">
        <v>29990</v>
      </c>
      <c r="J465" s="53" t="s">
        <v>63</v>
      </c>
      <c r="K465" s="53" t="s">
        <v>64</v>
      </c>
      <c r="L465" s="53" t="s">
        <v>65</v>
      </c>
      <c r="M465" s="53" t="s">
        <v>66</v>
      </c>
      <c r="N465" s="52" t="str">
        <f ca="1">IF(INDIRECT("M465")="Clásica","14%",IF(INDIRECT("M465")="Premium","18%","-"))</f>
        <v>14%</v>
      </c>
      <c r="O465" s="53" t="s">
        <v>67</v>
      </c>
    </row>
    <row r="466" spans="1:15" ht="49.95" customHeight="1">
      <c r="A466" s="52" t="s">
        <v>1106</v>
      </c>
      <c r="B466" s="52" t="s">
        <v>1107</v>
      </c>
      <c r="C466" s="52" t="s">
        <v>1108</v>
      </c>
      <c r="D466" s="52"/>
      <c r="E466" s="55" t="s">
        <v>1109</v>
      </c>
      <c r="F466" s="52" t="s">
        <v>1109</v>
      </c>
      <c r="G466" s="53">
        <v>2</v>
      </c>
      <c r="H466" s="52" t="s">
        <v>62</v>
      </c>
      <c r="I466" s="53">
        <v>74990</v>
      </c>
      <c r="J466" s="53" t="s">
        <v>63</v>
      </c>
      <c r="K466" s="53" t="s">
        <v>64</v>
      </c>
      <c r="L466" s="53" t="s">
        <v>65</v>
      </c>
      <c r="M466" s="53" t="s">
        <v>66</v>
      </c>
      <c r="N466" s="52" t="str">
        <f ca="1">IF(INDIRECT("M466")="Clásica","14%",IF(INDIRECT("M466")="Premium","18%","-"))</f>
        <v>14%</v>
      </c>
      <c r="O466" s="53" t="s">
        <v>67</v>
      </c>
    </row>
    <row r="467" spans="1:15" ht="49.95" customHeight="1">
      <c r="A467" s="52" t="s">
        <v>24</v>
      </c>
      <c r="B467" s="52" t="s">
        <v>1110</v>
      </c>
      <c r="C467" s="52"/>
      <c r="D467" s="52"/>
      <c r="E467" s="55" t="s">
        <v>1111</v>
      </c>
      <c r="F467" s="52" t="s">
        <v>62</v>
      </c>
      <c r="G467" s="52" t="s">
        <v>112</v>
      </c>
      <c r="H467" s="52" t="s">
        <v>62</v>
      </c>
      <c r="I467" s="53">
        <v>59990</v>
      </c>
      <c r="J467" s="53" t="s">
        <v>63</v>
      </c>
      <c r="K467" s="53" t="s">
        <v>64</v>
      </c>
      <c r="L467" s="53" t="s">
        <v>65</v>
      </c>
      <c r="M467" s="53" t="s">
        <v>66</v>
      </c>
      <c r="N467" s="52" t="str">
        <f ca="1">IF(INDIRECT("M467")="Clásica","14%",IF(INDIRECT("M467")="Premium","18%","-"))</f>
        <v>14%</v>
      </c>
      <c r="O467" s="53" t="s">
        <v>67</v>
      </c>
    </row>
    <row r="468" spans="1:15" ht="49.95" customHeight="1">
      <c r="A468" s="52" t="s">
        <v>24</v>
      </c>
      <c r="B468" s="52" t="s">
        <v>1110</v>
      </c>
      <c r="C468" s="52" t="s">
        <v>1112</v>
      </c>
      <c r="D468" s="52" t="s">
        <v>1112</v>
      </c>
      <c r="E468" s="54" t="str">
        <f>"     "&amp;E467</f>
        <v xml:space="preserve">     Par Protectores Pie Estribera Reposapiés Yamaha R3 R3a</v>
      </c>
      <c r="F468" s="52" t="s">
        <v>84</v>
      </c>
      <c r="G468" s="53">
        <v>1</v>
      </c>
      <c r="H468" s="52" t="s">
        <v>62</v>
      </c>
      <c r="I468" s="52">
        <f>I467</f>
        <v>59990</v>
      </c>
      <c r="J468" s="52" t="str">
        <f>J467&amp;"     "</f>
        <v xml:space="preserve">$     </v>
      </c>
      <c r="K468" s="52" t="str">
        <f>K467&amp;"     "</f>
        <v xml:space="preserve">Nuevo     </v>
      </c>
      <c r="L468" s="52" t="str">
        <f>L467&amp;"     "</f>
        <v xml:space="preserve">Mercado Envíos gratis     </v>
      </c>
      <c r="M468" s="52" t="str">
        <f>M467&amp;"     "</f>
        <v xml:space="preserve">Clásica     </v>
      </c>
      <c r="N468" s="52" t="str">
        <f ca="1">N467</f>
        <v>14%</v>
      </c>
      <c r="O468" s="52" t="str">
        <f>O467&amp;"     "</f>
        <v xml:space="preserve">Activa     </v>
      </c>
    </row>
    <row r="469" spans="1:15" ht="49.95" customHeight="1">
      <c r="A469" s="52" t="s">
        <v>24</v>
      </c>
      <c r="B469" s="52" t="s">
        <v>1110</v>
      </c>
      <c r="C469" s="52" t="s">
        <v>1113</v>
      </c>
      <c r="D469" s="52" t="s">
        <v>1113</v>
      </c>
      <c r="E469" s="54" t="str">
        <f>"     "&amp;E467</f>
        <v xml:space="preserve">     Par Protectores Pie Estribera Reposapiés Yamaha R3 R3a</v>
      </c>
      <c r="F469" s="52" t="s">
        <v>86</v>
      </c>
      <c r="G469" s="53">
        <v>1</v>
      </c>
      <c r="H469" s="52" t="s">
        <v>62</v>
      </c>
      <c r="I469" s="52">
        <f>I467</f>
        <v>59990</v>
      </c>
      <c r="J469" s="52" t="str">
        <f>J467&amp;"     "</f>
        <v xml:space="preserve">$     </v>
      </c>
      <c r="K469" s="52" t="str">
        <f>K467&amp;"     "</f>
        <v xml:space="preserve">Nuevo     </v>
      </c>
      <c r="L469" s="52" t="str">
        <f>L467&amp;"     "</f>
        <v xml:space="preserve">Mercado Envíos gratis     </v>
      </c>
      <c r="M469" s="52" t="str">
        <f>M467&amp;"     "</f>
        <v xml:space="preserve">Clásica     </v>
      </c>
      <c r="N469" s="52" t="str">
        <f ca="1">N467</f>
        <v>14%</v>
      </c>
      <c r="O469" s="52" t="str">
        <f>O467&amp;"     "</f>
        <v xml:space="preserve">Activa     </v>
      </c>
    </row>
    <row r="470" spans="1:15" ht="49.95" customHeight="1">
      <c r="A470" s="52" t="s">
        <v>1114</v>
      </c>
      <c r="B470" s="52" t="s">
        <v>1115</v>
      </c>
      <c r="C470" s="52" t="s">
        <v>1116</v>
      </c>
      <c r="D470" s="52"/>
      <c r="E470" s="55" t="s">
        <v>1117</v>
      </c>
      <c r="F470" s="52" t="s">
        <v>1118</v>
      </c>
      <c r="G470" s="53">
        <v>1</v>
      </c>
      <c r="H470" s="52" t="s">
        <v>62</v>
      </c>
      <c r="I470" s="53">
        <v>89990</v>
      </c>
      <c r="J470" s="53" t="s">
        <v>63</v>
      </c>
      <c r="K470" s="53" t="s">
        <v>64</v>
      </c>
      <c r="L470" s="53" t="s">
        <v>65</v>
      </c>
      <c r="M470" s="53" t="s">
        <v>66</v>
      </c>
      <c r="N470" s="52" t="str">
        <f ca="1">IF(INDIRECT("M470")="Clásica","15%",IF(INDIRECT("M470")="Premium","19%","-"))</f>
        <v>15%</v>
      </c>
      <c r="O470" s="53" t="s">
        <v>67</v>
      </c>
    </row>
    <row r="471" spans="1:15" ht="49.95" customHeight="1">
      <c r="A471" s="52" t="s">
        <v>1119</v>
      </c>
      <c r="B471" s="52" t="s">
        <v>1120</v>
      </c>
      <c r="C471" s="52" t="s">
        <v>1121</v>
      </c>
      <c r="D471" s="52"/>
      <c r="E471" s="55" t="s">
        <v>1122</v>
      </c>
      <c r="F471" s="52" t="s">
        <v>1122</v>
      </c>
      <c r="G471" s="53">
        <v>1</v>
      </c>
      <c r="H471" s="52" t="s">
        <v>62</v>
      </c>
      <c r="I471" s="53">
        <v>69990</v>
      </c>
      <c r="J471" s="53" t="s">
        <v>63</v>
      </c>
      <c r="K471" s="53" t="s">
        <v>64</v>
      </c>
      <c r="L471" s="53" t="s">
        <v>65</v>
      </c>
      <c r="M471" s="53" t="s">
        <v>66</v>
      </c>
      <c r="N471" s="52" t="str">
        <f ca="1">IF(INDIRECT("M471")="Clásica","14%",IF(INDIRECT("M471")="Premium","18%","-"))</f>
        <v>14%</v>
      </c>
      <c r="O471" s="53" t="s">
        <v>67</v>
      </c>
    </row>
    <row r="472" spans="1:15" ht="49.95" customHeight="1">
      <c r="A472" s="52" t="s">
        <v>1123</v>
      </c>
      <c r="B472" s="52" t="s">
        <v>1124</v>
      </c>
      <c r="C472" s="52" t="s">
        <v>1125</v>
      </c>
      <c r="D472" s="52"/>
      <c r="E472" s="55" t="s">
        <v>1126</v>
      </c>
      <c r="F472" s="52" t="s">
        <v>819</v>
      </c>
      <c r="G472" s="53">
        <v>1</v>
      </c>
      <c r="H472" s="52" t="s">
        <v>62</v>
      </c>
      <c r="I472" s="53">
        <v>27990</v>
      </c>
      <c r="J472" s="53" t="s">
        <v>63</v>
      </c>
      <c r="K472" s="53" t="s">
        <v>64</v>
      </c>
      <c r="L472" s="53" t="s">
        <v>65</v>
      </c>
      <c r="M472" s="53" t="s">
        <v>66</v>
      </c>
      <c r="N472" s="52" t="str">
        <f ca="1">IF(INDIRECT("M472")="Clásica","14%",IF(INDIRECT("M472")="Premium","18%","-"))</f>
        <v>14%</v>
      </c>
      <c r="O472" s="53" t="s">
        <v>67</v>
      </c>
    </row>
    <row r="473" spans="1:15" ht="49.95" customHeight="1">
      <c r="A473" s="52" t="s">
        <v>24</v>
      </c>
      <c r="B473" s="52" t="s">
        <v>1127</v>
      </c>
      <c r="C473" s="52"/>
      <c r="D473" s="52"/>
      <c r="E473" s="55" t="s">
        <v>1128</v>
      </c>
      <c r="F473" s="52" t="s">
        <v>62</v>
      </c>
      <c r="G473" s="52" t="s">
        <v>104</v>
      </c>
      <c r="H473" s="52" t="s">
        <v>62</v>
      </c>
      <c r="I473" s="53">
        <v>59990</v>
      </c>
      <c r="J473" s="53" t="s">
        <v>63</v>
      </c>
      <c r="K473" s="53" t="s">
        <v>64</v>
      </c>
      <c r="L473" s="53" t="s">
        <v>65</v>
      </c>
      <c r="M473" s="53" t="s">
        <v>66</v>
      </c>
      <c r="N473" s="52" t="str">
        <f ca="1">IF(INDIRECT("M473")="Clásica","14%",IF(INDIRECT("M473")="Premium","18%","-"))</f>
        <v>14%</v>
      </c>
      <c r="O473" s="53" t="s">
        <v>67</v>
      </c>
    </row>
    <row r="474" spans="1:15" ht="49.95" customHeight="1">
      <c r="A474" s="52" t="s">
        <v>24</v>
      </c>
      <c r="B474" s="52" t="s">
        <v>1127</v>
      </c>
      <c r="C474" s="52" t="s">
        <v>1129</v>
      </c>
      <c r="D474" s="52" t="s">
        <v>1129</v>
      </c>
      <c r="E474" s="54" t="str">
        <f>"     "&amp;E473</f>
        <v xml:space="preserve">     Soporte Patente Cola C/luz Fijo Yamaha R15 V1 V2 V3 V4 Logo</v>
      </c>
      <c r="F474" s="52" t="s">
        <v>84</v>
      </c>
      <c r="G474" s="53">
        <v>2</v>
      </c>
      <c r="H474" s="52" t="s">
        <v>62</v>
      </c>
      <c r="I474" s="52">
        <f>I473</f>
        <v>59990</v>
      </c>
      <c r="J474" s="52" t="str">
        <f>J473&amp;"     "</f>
        <v xml:space="preserve">$     </v>
      </c>
      <c r="K474" s="52" t="str">
        <f>K473&amp;"     "</f>
        <v xml:space="preserve">Nuevo     </v>
      </c>
      <c r="L474" s="52" t="str">
        <f>L473&amp;"     "</f>
        <v xml:space="preserve">Mercado Envíos gratis     </v>
      </c>
      <c r="M474" s="52" t="str">
        <f>M473&amp;"     "</f>
        <v xml:space="preserve">Clásica     </v>
      </c>
      <c r="N474" s="52" t="str">
        <f ca="1">N473</f>
        <v>14%</v>
      </c>
      <c r="O474" s="52" t="str">
        <f>O473&amp;"     "</f>
        <v xml:space="preserve">Activa     </v>
      </c>
    </row>
    <row r="475" spans="1:15" ht="49.95" customHeight="1">
      <c r="A475" s="52" t="s">
        <v>24</v>
      </c>
      <c r="B475" s="52" t="s">
        <v>1127</v>
      </c>
      <c r="C475" s="52" t="s">
        <v>1130</v>
      </c>
      <c r="D475" s="52" t="s">
        <v>1130</v>
      </c>
      <c r="E475" s="54" t="str">
        <f>"     "&amp;E473</f>
        <v xml:space="preserve">     Soporte Patente Cola C/luz Fijo Yamaha R15 V1 V2 V3 V4 Logo</v>
      </c>
      <c r="F475" s="52" t="s">
        <v>86</v>
      </c>
      <c r="G475" s="53">
        <v>2</v>
      </c>
      <c r="H475" s="52" t="s">
        <v>62</v>
      </c>
      <c r="I475" s="52">
        <f>I473</f>
        <v>59990</v>
      </c>
      <c r="J475" s="52" t="str">
        <f>J473&amp;"     "</f>
        <v xml:space="preserve">$     </v>
      </c>
      <c r="K475" s="52" t="str">
        <f>K473&amp;"     "</f>
        <v xml:space="preserve">Nuevo     </v>
      </c>
      <c r="L475" s="52" t="str">
        <f>L473&amp;"     "</f>
        <v xml:space="preserve">Mercado Envíos gratis     </v>
      </c>
      <c r="M475" s="52" t="str">
        <f>M473&amp;"     "</f>
        <v xml:space="preserve">Clásica     </v>
      </c>
      <c r="N475" s="52" t="str">
        <f ca="1">N473</f>
        <v>14%</v>
      </c>
      <c r="O475" s="52" t="str">
        <f>O473&amp;"     "</f>
        <v xml:space="preserve">Activa     </v>
      </c>
    </row>
    <row r="476" spans="1:15" ht="49.95" customHeight="1">
      <c r="A476" s="52" t="s">
        <v>24</v>
      </c>
      <c r="B476" s="52" t="s">
        <v>1127</v>
      </c>
      <c r="C476" s="52" t="s">
        <v>1131</v>
      </c>
      <c r="D476" s="52" t="s">
        <v>1131</v>
      </c>
      <c r="E476" s="54" t="str">
        <f>"     "&amp;E473</f>
        <v xml:space="preserve">     Soporte Patente Cola C/luz Fijo Yamaha R15 V1 V2 V3 V4 Logo</v>
      </c>
      <c r="F476" s="52" t="s">
        <v>90</v>
      </c>
      <c r="G476" s="53">
        <v>2</v>
      </c>
      <c r="H476" s="52" t="s">
        <v>62</v>
      </c>
      <c r="I476" s="52">
        <f>I473</f>
        <v>59990</v>
      </c>
      <c r="J476" s="52" t="str">
        <f>J473&amp;"     "</f>
        <v xml:space="preserve">$     </v>
      </c>
      <c r="K476" s="52" t="str">
        <f>K473&amp;"     "</f>
        <v xml:space="preserve">Nuevo     </v>
      </c>
      <c r="L476" s="52" t="str">
        <f>L473&amp;"     "</f>
        <v xml:space="preserve">Mercado Envíos gratis     </v>
      </c>
      <c r="M476" s="52" t="str">
        <f>M473&amp;"     "</f>
        <v xml:space="preserve">Clásica     </v>
      </c>
      <c r="N476" s="52" t="str">
        <f ca="1">N473</f>
        <v>14%</v>
      </c>
      <c r="O476" s="52" t="str">
        <f>O473&amp;"     "</f>
        <v xml:space="preserve">Activa     </v>
      </c>
    </row>
    <row r="477" spans="1:15" ht="49.95" customHeight="1">
      <c r="A477" s="52" t="s">
        <v>1132</v>
      </c>
      <c r="B477" s="52" t="s">
        <v>1133</v>
      </c>
      <c r="C477" s="52" t="s">
        <v>1134</v>
      </c>
      <c r="D477" s="52"/>
      <c r="E477" s="55" t="s">
        <v>1135</v>
      </c>
      <c r="F477" s="52" t="s">
        <v>1135</v>
      </c>
      <c r="G477" s="53">
        <v>1</v>
      </c>
      <c r="H477" s="52" t="s">
        <v>62</v>
      </c>
      <c r="I477" s="52" t="s">
        <v>24</v>
      </c>
      <c r="J477" s="53" t="s">
        <v>63</v>
      </c>
      <c r="K477" s="53" t="s">
        <v>64</v>
      </c>
      <c r="L477" s="53" t="s">
        <v>65</v>
      </c>
      <c r="M477" s="53" t="s">
        <v>66</v>
      </c>
      <c r="N477" s="52" t="str">
        <f ca="1">IF(INDIRECT("M477")="Clásica","15%",IF(INDIRECT("M477")="Premium","19%","-"))</f>
        <v>15%</v>
      </c>
      <c r="O477" s="53" t="s">
        <v>67</v>
      </c>
    </row>
    <row r="478" spans="1:15" ht="49.95" customHeight="1">
      <c r="A478" s="52" t="s">
        <v>1136</v>
      </c>
      <c r="B478" s="52" t="s">
        <v>1137</v>
      </c>
      <c r="C478" s="52" t="s">
        <v>1138</v>
      </c>
      <c r="D478" s="52"/>
      <c r="E478" s="55" t="s">
        <v>1139</v>
      </c>
      <c r="F478" s="52" t="s">
        <v>1139</v>
      </c>
      <c r="G478" s="53">
        <v>2</v>
      </c>
      <c r="H478" s="52" t="s">
        <v>62</v>
      </c>
      <c r="I478" s="53">
        <v>82990</v>
      </c>
      <c r="J478" s="53" t="s">
        <v>63</v>
      </c>
      <c r="K478" s="53" t="s">
        <v>64</v>
      </c>
      <c r="L478" s="53" t="s">
        <v>65</v>
      </c>
      <c r="M478" s="53" t="s">
        <v>66</v>
      </c>
      <c r="N478" s="52" t="str">
        <f ca="1">IF(INDIRECT("M478")="Clásica","15%",IF(INDIRECT("M478")="Premium","19%","-"))</f>
        <v>15%</v>
      </c>
      <c r="O478" s="53" t="s">
        <v>67</v>
      </c>
    </row>
    <row r="479" spans="1:15" ht="49.95" customHeight="1">
      <c r="A479" s="52" t="s">
        <v>973</v>
      </c>
      <c r="B479" s="52" t="s">
        <v>1140</v>
      </c>
      <c r="C479" s="52" t="s">
        <v>975</v>
      </c>
      <c r="D479" s="52"/>
      <c r="E479" s="52" t="s">
        <v>1141</v>
      </c>
      <c r="F479" s="52" t="s">
        <v>62</v>
      </c>
      <c r="G479" s="53">
        <v>1</v>
      </c>
      <c r="H479" s="52" t="s">
        <v>62</v>
      </c>
      <c r="I479" s="53">
        <v>156990</v>
      </c>
      <c r="J479" s="53" t="s">
        <v>63</v>
      </c>
      <c r="K479" s="52" t="s">
        <v>64</v>
      </c>
      <c r="L479" s="53" t="s">
        <v>65</v>
      </c>
      <c r="M479" s="53" t="s">
        <v>66</v>
      </c>
      <c r="N479" s="52" t="str">
        <f ca="1">IF(INDIRECT("M479")="Clásica","13%",IF(INDIRECT("M479")="Premium","17%","-"))</f>
        <v>13%</v>
      </c>
      <c r="O479" s="53" t="s">
        <v>67</v>
      </c>
    </row>
    <row r="480" spans="1:15" ht="49.95" customHeight="1">
      <c r="A480" s="52" t="s">
        <v>784</v>
      </c>
      <c r="B480" s="52" t="s">
        <v>1142</v>
      </c>
      <c r="C480" s="52" t="s">
        <v>786</v>
      </c>
      <c r="D480" s="52"/>
      <c r="E480" s="52" t="s">
        <v>1143</v>
      </c>
      <c r="F480" s="52" t="s">
        <v>62</v>
      </c>
      <c r="G480" s="53">
        <v>4</v>
      </c>
      <c r="H480" s="52" t="s">
        <v>62</v>
      </c>
      <c r="I480" s="53">
        <v>13990</v>
      </c>
      <c r="J480" s="53" t="s">
        <v>63</v>
      </c>
      <c r="K480" s="52" t="s">
        <v>64</v>
      </c>
      <c r="L480" s="53" t="s">
        <v>71</v>
      </c>
      <c r="M480" s="53" t="s">
        <v>66</v>
      </c>
      <c r="N480" s="52" t="str">
        <f ca="1">IF(INDIRECT("M480")="Clásica","15%",IF(INDIRECT("M480")="Premium","19%","-"))</f>
        <v>15%</v>
      </c>
      <c r="O480" s="53" t="s">
        <v>67</v>
      </c>
    </row>
    <row r="481" spans="1:15" ht="49.95" customHeight="1">
      <c r="A481" s="52" t="s">
        <v>24</v>
      </c>
      <c r="B481" s="52" t="s">
        <v>1144</v>
      </c>
      <c r="C481" s="52"/>
      <c r="D481" s="52"/>
      <c r="E481" s="55" t="s">
        <v>1145</v>
      </c>
      <c r="F481" s="52" t="s">
        <v>62</v>
      </c>
      <c r="G481" s="52" t="s">
        <v>143</v>
      </c>
      <c r="H481" s="52" t="s">
        <v>62</v>
      </c>
      <c r="I481" s="53">
        <v>69990</v>
      </c>
      <c r="J481" s="53" t="s">
        <v>63</v>
      </c>
      <c r="K481" s="53" t="s">
        <v>64</v>
      </c>
      <c r="L481" s="53" t="s">
        <v>65</v>
      </c>
      <c r="M481" s="53" t="s">
        <v>66</v>
      </c>
      <c r="N481" s="52" t="str">
        <f ca="1">IF(INDIRECT("M481")="Clásica","14%",IF(INDIRECT("M481")="Premium","18%","-"))</f>
        <v>14%</v>
      </c>
      <c r="O481" s="53" t="s">
        <v>67</v>
      </c>
    </row>
    <row r="482" spans="1:15" ht="49.95" customHeight="1">
      <c r="A482" s="52" t="s">
        <v>24</v>
      </c>
      <c r="B482" s="52" t="s">
        <v>1144</v>
      </c>
      <c r="C482" s="52" t="s">
        <v>1146</v>
      </c>
      <c r="D482" s="52" t="s">
        <v>1146</v>
      </c>
      <c r="E482" s="54" t="str">
        <f>"     "&amp;E481</f>
        <v xml:space="preserve">     Sliders Topes De Caída Honda Cb500x Cbr500r Desde Año 2019</v>
      </c>
      <c r="F482" s="52" t="s">
        <v>90</v>
      </c>
      <c r="G482" s="53">
        <v>2</v>
      </c>
      <c r="H482" s="52" t="s">
        <v>62</v>
      </c>
      <c r="I482" s="52">
        <f>I481</f>
        <v>69990</v>
      </c>
      <c r="J482" s="52" t="str">
        <f>J481&amp;"     "</f>
        <v xml:space="preserve">$     </v>
      </c>
      <c r="K482" s="52" t="str">
        <f>K481&amp;"     "</f>
        <v xml:space="preserve">Nuevo     </v>
      </c>
      <c r="L482" s="52" t="str">
        <f>L481&amp;"     "</f>
        <v xml:space="preserve">Mercado Envíos gratis     </v>
      </c>
      <c r="M482" s="52" t="str">
        <f>M481&amp;"     "</f>
        <v xml:space="preserve">Clásica     </v>
      </c>
      <c r="N482" s="52" t="str">
        <f ca="1">N481</f>
        <v>14%</v>
      </c>
      <c r="O482" s="52" t="str">
        <f>O481&amp;"     "</f>
        <v xml:space="preserve">Activa     </v>
      </c>
    </row>
    <row r="483" spans="1:15" ht="49.95" customHeight="1">
      <c r="A483" s="52" t="s">
        <v>24</v>
      </c>
      <c r="B483" s="52" t="s">
        <v>1144</v>
      </c>
      <c r="C483" s="52" t="s">
        <v>1147</v>
      </c>
      <c r="D483" s="52" t="s">
        <v>1147</v>
      </c>
      <c r="E483" s="54" t="str">
        <f>"     "&amp;E481</f>
        <v xml:space="preserve">     Sliders Topes De Caída Honda Cb500x Cbr500r Desde Año 2019</v>
      </c>
      <c r="F483" s="52" t="s">
        <v>86</v>
      </c>
      <c r="G483" s="53">
        <v>2</v>
      </c>
      <c r="H483" s="52" t="s">
        <v>62</v>
      </c>
      <c r="I483" s="52">
        <f>I481</f>
        <v>69990</v>
      </c>
      <c r="J483" s="52" t="str">
        <f>J481&amp;"     "</f>
        <v xml:space="preserve">$     </v>
      </c>
      <c r="K483" s="52" t="str">
        <f>K481&amp;"     "</f>
        <v xml:space="preserve">Nuevo     </v>
      </c>
      <c r="L483" s="52" t="str">
        <f>L481&amp;"     "</f>
        <v xml:space="preserve">Mercado Envíos gratis     </v>
      </c>
      <c r="M483" s="52" t="str">
        <f>M481&amp;"     "</f>
        <v xml:space="preserve">Clásica     </v>
      </c>
      <c r="N483" s="52" t="str">
        <f ca="1">N481</f>
        <v>14%</v>
      </c>
      <c r="O483" s="52" t="str">
        <f>O481&amp;"     "</f>
        <v xml:space="preserve">Activa     </v>
      </c>
    </row>
    <row r="484" spans="1:15" ht="49.95" customHeight="1">
      <c r="A484" s="52" t="s">
        <v>1148</v>
      </c>
      <c r="B484" s="52" t="s">
        <v>1149</v>
      </c>
      <c r="C484" s="52" t="s">
        <v>1150</v>
      </c>
      <c r="D484" s="52"/>
      <c r="E484" s="55" t="s">
        <v>1151</v>
      </c>
      <c r="F484" s="52" t="s">
        <v>524</v>
      </c>
      <c r="G484" s="53">
        <v>2</v>
      </c>
      <c r="H484" s="52" t="s">
        <v>62</v>
      </c>
      <c r="I484" s="53">
        <v>69990</v>
      </c>
      <c r="J484" s="53" t="s">
        <v>63</v>
      </c>
      <c r="K484" s="53" t="s">
        <v>64</v>
      </c>
      <c r="L484" s="53" t="s">
        <v>65</v>
      </c>
      <c r="M484" s="53" t="s">
        <v>66</v>
      </c>
      <c r="N484" s="52" t="str">
        <f ca="1">IF(INDIRECT("M484")="Clásica","14%",IF(INDIRECT("M484")="Premium","18%","-"))</f>
        <v>14%</v>
      </c>
      <c r="O484" s="53" t="s">
        <v>67</v>
      </c>
    </row>
    <row r="485" spans="1:15" ht="49.95" customHeight="1">
      <c r="A485" s="52" t="s">
        <v>1152</v>
      </c>
      <c r="B485" s="52" t="s">
        <v>1153</v>
      </c>
      <c r="C485" s="52" t="s">
        <v>1154</v>
      </c>
      <c r="D485" s="52"/>
      <c r="E485" s="55" t="s">
        <v>1155</v>
      </c>
      <c r="F485" s="52" t="s">
        <v>1155</v>
      </c>
      <c r="G485" s="53">
        <v>2</v>
      </c>
      <c r="H485" s="52" t="s">
        <v>62</v>
      </c>
      <c r="I485" s="53">
        <v>18990</v>
      </c>
      <c r="J485" s="53" t="s">
        <v>63</v>
      </c>
      <c r="K485" s="53" t="s">
        <v>64</v>
      </c>
      <c r="L485" s="53" t="s">
        <v>71</v>
      </c>
      <c r="M485" s="53" t="s">
        <v>66</v>
      </c>
      <c r="N485" s="52" t="str">
        <f ca="1">IF(INDIRECT("M485")="Clásica","15%",IF(INDIRECT("M485")="Premium","19%","-"))</f>
        <v>15%</v>
      </c>
      <c r="O485" s="53" t="s">
        <v>67</v>
      </c>
    </row>
    <row r="486" spans="1:15" ht="49.95" customHeight="1">
      <c r="A486" s="52" t="s">
        <v>1156</v>
      </c>
      <c r="B486" s="52" t="s">
        <v>1157</v>
      </c>
      <c r="C486" s="52" t="s">
        <v>1158</v>
      </c>
      <c r="D486" s="52"/>
      <c r="E486" s="55" t="s">
        <v>1159</v>
      </c>
      <c r="F486" s="52" t="s">
        <v>1159</v>
      </c>
      <c r="G486" s="53">
        <v>2</v>
      </c>
      <c r="H486" s="52" t="s">
        <v>62</v>
      </c>
      <c r="I486" s="53">
        <v>7990</v>
      </c>
      <c r="J486" s="53" t="s">
        <v>63</v>
      </c>
      <c r="K486" s="53" t="s">
        <v>64</v>
      </c>
      <c r="L486" s="53" t="s">
        <v>71</v>
      </c>
      <c r="M486" s="53" t="s">
        <v>66</v>
      </c>
      <c r="N486" s="52" t="str">
        <f ca="1">IF(INDIRECT("M486")="Clásica","15%",IF(INDIRECT("M486")="Premium","19%","-"))</f>
        <v>15%</v>
      </c>
      <c r="O486" s="53" t="s">
        <v>67</v>
      </c>
    </row>
    <row r="487" spans="1:15" ht="49.95" customHeight="1">
      <c r="A487" s="52" t="s">
        <v>1160</v>
      </c>
      <c r="B487" s="52" t="s">
        <v>1161</v>
      </c>
      <c r="C487" s="52" t="s">
        <v>1162</v>
      </c>
      <c r="D487" s="52"/>
      <c r="E487" s="55" t="s">
        <v>1163</v>
      </c>
      <c r="F487" s="52" t="s">
        <v>100</v>
      </c>
      <c r="G487" s="53">
        <v>2</v>
      </c>
      <c r="H487" s="52" t="s">
        <v>62</v>
      </c>
      <c r="I487" s="53">
        <v>81990</v>
      </c>
      <c r="J487" s="53" t="s">
        <v>63</v>
      </c>
      <c r="K487" s="53" t="s">
        <v>64</v>
      </c>
      <c r="L487" s="53" t="s">
        <v>65</v>
      </c>
      <c r="M487" s="53" t="s">
        <v>66</v>
      </c>
      <c r="N487" s="52" t="str">
        <f ca="1">IF(INDIRECT("M487")="Clásica","15%",IF(INDIRECT("M487")="Premium","19%","-"))</f>
        <v>15%</v>
      </c>
      <c r="O487" s="53" t="s">
        <v>67</v>
      </c>
    </row>
    <row r="488" spans="1:15" ht="49.95" customHeight="1">
      <c r="A488" s="52" t="s">
        <v>1164</v>
      </c>
      <c r="B488" s="52" t="s">
        <v>1165</v>
      </c>
      <c r="C488" s="52" t="s">
        <v>1166</v>
      </c>
      <c r="D488" s="52"/>
      <c r="E488" s="55" t="s">
        <v>1167</v>
      </c>
      <c r="F488" s="52" t="s">
        <v>1167</v>
      </c>
      <c r="G488" s="53">
        <v>2</v>
      </c>
      <c r="H488" s="52" t="s">
        <v>62</v>
      </c>
      <c r="I488" s="53">
        <v>70990</v>
      </c>
      <c r="J488" s="53" t="s">
        <v>63</v>
      </c>
      <c r="K488" s="53" t="s">
        <v>64</v>
      </c>
      <c r="L488" s="53" t="s">
        <v>65</v>
      </c>
      <c r="M488" s="53" t="s">
        <v>66</v>
      </c>
      <c r="N488" s="52" t="str">
        <f ca="1">IF(INDIRECT("M488")="Clásica","14%",IF(INDIRECT("M488")="Premium","18%","-"))</f>
        <v>14%</v>
      </c>
      <c r="O488" s="53" t="s">
        <v>67</v>
      </c>
    </row>
    <row r="489" spans="1:15" ht="49.95" customHeight="1">
      <c r="A489" s="52" t="s">
        <v>1168</v>
      </c>
      <c r="B489" s="52" t="s">
        <v>1169</v>
      </c>
      <c r="C489" s="52" t="s">
        <v>1170</v>
      </c>
      <c r="D489" s="52"/>
      <c r="E489" s="55" t="s">
        <v>1171</v>
      </c>
      <c r="F489" s="52" t="s">
        <v>1171</v>
      </c>
      <c r="G489" s="53">
        <v>1</v>
      </c>
      <c r="H489" s="52" t="s">
        <v>62</v>
      </c>
      <c r="I489" s="53">
        <v>19490</v>
      </c>
      <c r="J489" s="53" t="s">
        <v>63</v>
      </c>
      <c r="K489" s="53" t="s">
        <v>64</v>
      </c>
      <c r="L489" s="53" t="s">
        <v>71</v>
      </c>
      <c r="M489" s="53" t="s">
        <v>66</v>
      </c>
      <c r="N489" s="52" t="str">
        <f ca="1">IF(INDIRECT("M489")="Clásica","14%",IF(INDIRECT("M489")="Premium","18%","-"))</f>
        <v>14%</v>
      </c>
      <c r="O489" s="53" t="s">
        <v>67</v>
      </c>
    </row>
    <row r="490" spans="1:15" ht="49.95" customHeight="1">
      <c r="A490" s="52" t="s">
        <v>1172</v>
      </c>
      <c r="B490" s="52" t="s">
        <v>1173</v>
      </c>
      <c r="C490" s="52" t="s">
        <v>1174</v>
      </c>
      <c r="D490" s="52"/>
      <c r="E490" s="55" t="s">
        <v>1175</v>
      </c>
      <c r="F490" s="52" t="s">
        <v>1175</v>
      </c>
      <c r="G490" s="53">
        <v>6</v>
      </c>
      <c r="H490" s="52" t="s">
        <v>62</v>
      </c>
      <c r="I490" s="53">
        <v>22990</v>
      </c>
      <c r="J490" s="53" t="s">
        <v>63</v>
      </c>
      <c r="K490" s="53" t="s">
        <v>64</v>
      </c>
      <c r="L490" s="53" t="s">
        <v>65</v>
      </c>
      <c r="M490" s="53" t="s">
        <v>66</v>
      </c>
      <c r="N490" s="52" t="str">
        <f ca="1">IF(INDIRECT("M490")="Clásica","15%",IF(INDIRECT("M490")="Premium","19%","-"))</f>
        <v>15%</v>
      </c>
      <c r="O490" s="53" t="s">
        <v>67</v>
      </c>
    </row>
    <row r="491" spans="1:15" ht="49.95" customHeight="1">
      <c r="A491" s="52" t="s">
        <v>1172</v>
      </c>
      <c r="B491" s="52" t="s">
        <v>1176</v>
      </c>
      <c r="C491" s="52" t="s">
        <v>1174</v>
      </c>
      <c r="D491" s="52"/>
      <c r="E491" s="52" t="s">
        <v>1177</v>
      </c>
      <c r="F491" s="52" t="s">
        <v>62</v>
      </c>
      <c r="G491" s="53">
        <v>6</v>
      </c>
      <c r="H491" s="52" t="s">
        <v>62</v>
      </c>
      <c r="I491" s="53">
        <v>22990</v>
      </c>
      <c r="J491" s="53" t="s">
        <v>63</v>
      </c>
      <c r="K491" s="52" t="s">
        <v>64</v>
      </c>
      <c r="L491" s="53" t="s">
        <v>65</v>
      </c>
      <c r="M491" s="53" t="s">
        <v>66</v>
      </c>
      <c r="N491" s="52" t="str">
        <f ca="1">IF(INDIRECT("M491")="Clásica","15%",IF(INDIRECT("M491")="Premium","19%","-"))</f>
        <v>15%</v>
      </c>
      <c r="O491" s="53" t="s">
        <v>67</v>
      </c>
    </row>
    <row r="492" spans="1:15" ht="49.95" customHeight="1">
      <c r="A492" s="52" t="s">
        <v>1178</v>
      </c>
      <c r="B492" s="52" t="s">
        <v>1179</v>
      </c>
      <c r="C492" s="52" t="s">
        <v>1180</v>
      </c>
      <c r="D492" s="52"/>
      <c r="E492" s="55" t="s">
        <v>1181</v>
      </c>
      <c r="F492" s="52" t="s">
        <v>1181</v>
      </c>
      <c r="G492" s="53">
        <v>2</v>
      </c>
      <c r="H492" s="52" t="s">
        <v>62</v>
      </c>
      <c r="I492" s="53">
        <v>18990</v>
      </c>
      <c r="J492" s="53" t="s">
        <v>63</v>
      </c>
      <c r="K492" s="53" t="s">
        <v>64</v>
      </c>
      <c r="L492" s="53" t="s">
        <v>71</v>
      </c>
      <c r="M492" s="53" t="s">
        <v>66</v>
      </c>
      <c r="N492" s="52" t="str">
        <f ca="1">IF(INDIRECT("M492")="Clásica","14%",IF(INDIRECT("M492")="Premium","18%","-"))</f>
        <v>14%</v>
      </c>
      <c r="O492" s="53" t="s">
        <v>67</v>
      </c>
    </row>
    <row r="493" spans="1:15" ht="49.95" customHeight="1">
      <c r="A493" s="52" t="s">
        <v>1182</v>
      </c>
      <c r="B493" s="52" t="s">
        <v>1183</v>
      </c>
      <c r="C493" s="52" t="s">
        <v>1184</v>
      </c>
      <c r="D493" s="52"/>
      <c r="E493" s="55" t="s">
        <v>1185</v>
      </c>
      <c r="F493" s="52" t="s">
        <v>1185</v>
      </c>
      <c r="G493" s="53">
        <v>2</v>
      </c>
      <c r="H493" s="52" t="s">
        <v>62</v>
      </c>
      <c r="I493" s="53">
        <v>326990</v>
      </c>
      <c r="J493" s="53" t="s">
        <v>63</v>
      </c>
      <c r="K493" s="53" t="s">
        <v>64</v>
      </c>
      <c r="L493" s="53" t="s">
        <v>65</v>
      </c>
      <c r="M493" s="53" t="s">
        <v>66</v>
      </c>
      <c r="N493" s="52" t="str">
        <f ca="1">IF(INDIRECT("M493")="Clásica","15%",IF(INDIRECT("M493")="Premium","19%","-"))</f>
        <v>15%</v>
      </c>
      <c r="O493" s="53" t="s">
        <v>67</v>
      </c>
    </row>
    <row r="494" spans="1:15" ht="49.95" customHeight="1">
      <c r="A494" s="52" t="s">
        <v>1186</v>
      </c>
      <c r="B494" s="52" t="s">
        <v>1187</v>
      </c>
      <c r="C494" s="52" t="s">
        <v>1188</v>
      </c>
      <c r="D494" s="52"/>
      <c r="E494" s="55" t="s">
        <v>1189</v>
      </c>
      <c r="F494" s="52" t="s">
        <v>1189</v>
      </c>
      <c r="G494" s="53">
        <v>6</v>
      </c>
      <c r="H494" s="52" t="s">
        <v>62</v>
      </c>
      <c r="I494" s="53">
        <v>22990</v>
      </c>
      <c r="J494" s="53" t="s">
        <v>63</v>
      </c>
      <c r="K494" s="53" t="s">
        <v>64</v>
      </c>
      <c r="L494" s="53" t="s">
        <v>65</v>
      </c>
      <c r="M494" s="53" t="s">
        <v>66</v>
      </c>
      <c r="N494" s="52" t="str">
        <f ca="1">IF(INDIRECT("M494")="Clásica","15%",IF(INDIRECT("M494")="Premium","19%","-"))</f>
        <v>15%</v>
      </c>
      <c r="O494" s="53" t="s">
        <v>67</v>
      </c>
    </row>
    <row r="495" spans="1:15" ht="49.95" customHeight="1">
      <c r="A495" s="52" t="s">
        <v>1186</v>
      </c>
      <c r="B495" s="52" t="s">
        <v>1190</v>
      </c>
      <c r="C495" s="52" t="s">
        <v>1188</v>
      </c>
      <c r="D495" s="52"/>
      <c r="E495" s="52" t="s">
        <v>1191</v>
      </c>
      <c r="F495" s="52" t="s">
        <v>62</v>
      </c>
      <c r="G495" s="53">
        <v>6</v>
      </c>
      <c r="H495" s="52" t="s">
        <v>62</v>
      </c>
      <c r="I495" s="53">
        <v>22990</v>
      </c>
      <c r="J495" s="53" t="s">
        <v>63</v>
      </c>
      <c r="K495" s="52" t="s">
        <v>64</v>
      </c>
      <c r="L495" s="53" t="s">
        <v>65</v>
      </c>
      <c r="M495" s="53" t="s">
        <v>66</v>
      </c>
      <c r="N495" s="52" t="str">
        <f ca="1">IF(INDIRECT("M495")="Clásica","15%",IF(INDIRECT("M495")="Premium","19%","-"))</f>
        <v>15%</v>
      </c>
      <c r="O495" s="53" t="s">
        <v>67</v>
      </c>
    </row>
    <row r="496" spans="1:15" ht="49.95" customHeight="1">
      <c r="A496" s="52" t="s">
        <v>1192</v>
      </c>
      <c r="B496" s="52" t="s">
        <v>1193</v>
      </c>
      <c r="C496" s="52" t="s">
        <v>1194</v>
      </c>
      <c r="D496" s="52"/>
      <c r="E496" s="55" t="s">
        <v>1195</v>
      </c>
      <c r="F496" s="52" t="s">
        <v>1195</v>
      </c>
      <c r="G496" s="53">
        <v>6</v>
      </c>
      <c r="H496" s="52" t="s">
        <v>62</v>
      </c>
      <c r="I496" s="53">
        <v>19490</v>
      </c>
      <c r="J496" s="53" t="s">
        <v>63</v>
      </c>
      <c r="K496" s="53" t="s">
        <v>64</v>
      </c>
      <c r="L496" s="52" t="s">
        <v>158</v>
      </c>
      <c r="M496" s="53" t="s">
        <v>66</v>
      </c>
      <c r="N496" s="52" t="str">
        <f ca="1">IF(INDIRECT("M496")="Clásica","15%",IF(INDIRECT("M496")="Premium","19%","-"))</f>
        <v>15%</v>
      </c>
      <c r="O496" s="53" t="s">
        <v>67</v>
      </c>
    </row>
    <row r="497" spans="1:15" ht="49.95" customHeight="1">
      <c r="A497" s="52" t="s">
        <v>1196</v>
      </c>
      <c r="B497" s="52" t="s">
        <v>1197</v>
      </c>
      <c r="C497" s="52" t="s">
        <v>1198</v>
      </c>
      <c r="D497" s="52"/>
      <c r="E497" s="55" t="s">
        <v>1199</v>
      </c>
      <c r="F497" s="52" t="s">
        <v>86</v>
      </c>
      <c r="G497" s="53">
        <v>2</v>
      </c>
      <c r="H497" s="52" t="s">
        <v>62</v>
      </c>
      <c r="I497" s="53">
        <v>22990</v>
      </c>
      <c r="J497" s="53" t="s">
        <v>63</v>
      </c>
      <c r="K497" s="53" t="s">
        <v>64</v>
      </c>
      <c r="L497" s="53" t="s">
        <v>65</v>
      </c>
      <c r="M497" s="53" t="s">
        <v>66</v>
      </c>
      <c r="N497" s="52" t="str">
        <f ca="1">IF(INDIRECT("M497")="Clásica","14%",IF(INDIRECT("M497")="Premium","18%","-"))</f>
        <v>14%</v>
      </c>
      <c r="O497" s="53" t="s">
        <v>67</v>
      </c>
    </row>
    <row r="498" spans="1:15" ht="49.95" customHeight="1">
      <c r="A498" s="52" t="s">
        <v>1200</v>
      </c>
      <c r="B498" s="52" t="s">
        <v>1201</v>
      </c>
      <c r="C498" s="52" t="s">
        <v>1202</v>
      </c>
      <c r="D498" s="52"/>
      <c r="E498" s="55" t="s">
        <v>1203</v>
      </c>
      <c r="F498" s="52" t="s">
        <v>90</v>
      </c>
      <c r="G498" s="53">
        <v>2</v>
      </c>
      <c r="H498" s="52" t="s">
        <v>62</v>
      </c>
      <c r="I498" s="53">
        <v>53990</v>
      </c>
      <c r="J498" s="53" t="s">
        <v>63</v>
      </c>
      <c r="K498" s="53" t="s">
        <v>64</v>
      </c>
      <c r="L498" s="53" t="s">
        <v>65</v>
      </c>
      <c r="M498" s="53" t="s">
        <v>66</v>
      </c>
      <c r="N498" s="52" t="str">
        <f ca="1">IF(INDIRECT("M498")="Clásica","14%",IF(INDIRECT("M498")="Premium","18%","-"))</f>
        <v>14%</v>
      </c>
      <c r="O498" s="53" t="s">
        <v>67</v>
      </c>
    </row>
    <row r="499" spans="1:15" ht="49.95" customHeight="1">
      <c r="A499" s="52" t="s">
        <v>1204</v>
      </c>
      <c r="B499" s="52" t="s">
        <v>1205</v>
      </c>
      <c r="C499" s="52" t="s">
        <v>1206</v>
      </c>
      <c r="D499" s="52"/>
      <c r="E499" s="55" t="s">
        <v>1207</v>
      </c>
      <c r="F499" s="52" t="s">
        <v>1207</v>
      </c>
      <c r="G499" s="53">
        <v>6</v>
      </c>
      <c r="H499" s="52" t="s">
        <v>62</v>
      </c>
      <c r="I499" s="53">
        <v>22990</v>
      </c>
      <c r="J499" s="53" t="s">
        <v>63</v>
      </c>
      <c r="K499" s="53" t="s">
        <v>64</v>
      </c>
      <c r="L499" s="53" t="s">
        <v>65</v>
      </c>
      <c r="M499" s="53" t="s">
        <v>66</v>
      </c>
      <c r="N499" s="52" t="str">
        <f ca="1">IF(INDIRECT("M499")="Clásica","15%",IF(INDIRECT("M499")="Premium","19%","-"))</f>
        <v>15%</v>
      </c>
      <c r="O499" s="53" t="s">
        <v>67</v>
      </c>
    </row>
    <row r="500" spans="1:15" ht="49.95" customHeight="1">
      <c r="A500" s="52" t="s">
        <v>1208</v>
      </c>
      <c r="B500" s="52" t="s">
        <v>1209</v>
      </c>
      <c r="C500" s="52" t="s">
        <v>1210</v>
      </c>
      <c r="D500" s="52"/>
      <c r="E500" s="55" t="s">
        <v>1211</v>
      </c>
      <c r="F500" s="52" t="s">
        <v>1211</v>
      </c>
      <c r="G500" s="53">
        <v>2</v>
      </c>
      <c r="H500" s="52" t="s">
        <v>62</v>
      </c>
      <c r="I500" s="53">
        <v>23990</v>
      </c>
      <c r="J500" s="53" t="s">
        <v>63</v>
      </c>
      <c r="K500" s="53" t="s">
        <v>64</v>
      </c>
      <c r="L500" s="53" t="s">
        <v>65</v>
      </c>
      <c r="M500" s="53" t="s">
        <v>66</v>
      </c>
      <c r="N500" s="52" t="str">
        <f ca="1">IF(INDIRECT("M500")="Clásica","14%",IF(INDIRECT("M500")="Premium","18%","-"))</f>
        <v>14%</v>
      </c>
      <c r="O500" s="53" t="s">
        <v>67</v>
      </c>
    </row>
    <row r="501" spans="1:15" ht="49.95" customHeight="1">
      <c r="A501" s="52" t="s">
        <v>1212</v>
      </c>
      <c r="B501" s="52" t="s">
        <v>1213</v>
      </c>
      <c r="C501" s="52" t="s">
        <v>1214</v>
      </c>
      <c r="D501" s="52"/>
      <c r="E501" s="55" t="s">
        <v>1215</v>
      </c>
      <c r="F501" s="52" t="s">
        <v>1215</v>
      </c>
      <c r="G501" s="53">
        <v>2</v>
      </c>
      <c r="H501" s="52" t="s">
        <v>62</v>
      </c>
      <c r="I501" s="53">
        <v>199990</v>
      </c>
      <c r="J501" s="53" t="s">
        <v>63</v>
      </c>
      <c r="K501" s="53" t="s">
        <v>64</v>
      </c>
      <c r="L501" s="53" t="s">
        <v>65</v>
      </c>
      <c r="M501" s="53" t="s">
        <v>66</v>
      </c>
      <c r="N501" s="52" t="str">
        <f ca="1">IF(INDIRECT("M501")="Clásica","14%",IF(INDIRECT("M501")="Premium","18%","-"))</f>
        <v>14%</v>
      </c>
      <c r="O501" s="53" t="s">
        <v>67</v>
      </c>
    </row>
    <row r="502" spans="1:15" ht="49.95" customHeight="1">
      <c r="A502" s="52" t="s">
        <v>1216</v>
      </c>
      <c r="B502" s="52" t="s">
        <v>1217</v>
      </c>
      <c r="C502" s="52" t="s">
        <v>1218</v>
      </c>
      <c r="D502" s="52"/>
      <c r="E502" s="55" t="s">
        <v>1219</v>
      </c>
      <c r="F502" s="52" t="s">
        <v>1219</v>
      </c>
      <c r="G502" s="53">
        <v>2</v>
      </c>
      <c r="H502" s="52" t="s">
        <v>62</v>
      </c>
      <c r="I502" s="53">
        <v>49990</v>
      </c>
      <c r="J502" s="53" t="s">
        <v>63</v>
      </c>
      <c r="K502" s="53" t="s">
        <v>64</v>
      </c>
      <c r="L502" s="53" t="s">
        <v>65</v>
      </c>
      <c r="M502" s="53" t="s">
        <v>66</v>
      </c>
      <c r="N502" s="52" t="str">
        <f ca="1">IF(INDIRECT("M502")="Clásica","14%",IF(INDIRECT("M502")="Premium","18%","-"))</f>
        <v>14%</v>
      </c>
      <c r="O502" s="53" t="s">
        <v>67</v>
      </c>
    </row>
    <row r="503" spans="1:15" ht="49.95" customHeight="1">
      <c r="A503" s="52" t="s">
        <v>1220</v>
      </c>
      <c r="B503" s="52" t="s">
        <v>1221</v>
      </c>
      <c r="C503" s="52" t="s">
        <v>1222</v>
      </c>
      <c r="D503" s="52"/>
      <c r="E503" s="55" t="s">
        <v>1223</v>
      </c>
      <c r="F503" s="52" t="s">
        <v>1223</v>
      </c>
      <c r="G503" s="53">
        <v>2</v>
      </c>
      <c r="H503" s="52" t="s">
        <v>62</v>
      </c>
      <c r="I503" s="53">
        <v>34990</v>
      </c>
      <c r="J503" s="53" t="s">
        <v>63</v>
      </c>
      <c r="K503" s="53" t="s">
        <v>64</v>
      </c>
      <c r="L503" s="53" t="s">
        <v>65</v>
      </c>
      <c r="M503" s="53" t="s">
        <v>66</v>
      </c>
      <c r="N503" s="52" t="str">
        <f ca="1">IF(INDIRECT("M503")="Clásica","14%",IF(INDIRECT("M503")="Premium","18%","-"))</f>
        <v>14%</v>
      </c>
      <c r="O503" s="53" t="s">
        <v>67</v>
      </c>
    </row>
    <row r="504" spans="1:15" ht="49.95" customHeight="1">
      <c r="A504" s="52" t="s">
        <v>24</v>
      </c>
      <c r="B504" s="52" t="s">
        <v>1224</v>
      </c>
      <c r="C504" s="52"/>
      <c r="D504" s="52"/>
      <c r="E504" s="55" t="s">
        <v>1225</v>
      </c>
      <c r="F504" s="52" t="s">
        <v>62</v>
      </c>
      <c r="G504" s="52" t="s">
        <v>164</v>
      </c>
      <c r="H504" s="52" t="s">
        <v>62</v>
      </c>
      <c r="I504" s="53">
        <v>39990</v>
      </c>
      <c r="J504" s="53" t="s">
        <v>63</v>
      </c>
      <c r="K504" s="53" t="s">
        <v>64</v>
      </c>
      <c r="L504" s="53" t="s">
        <v>65</v>
      </c>
      <c r="M504" s="53" t="s">
        <v>66</v>
      </c>
      <c r="N504" s="52" t="str">
        <f ca="1">IF(INDIRECT("M504")="Clásica","15%",IF(INDIRECT("M504")="Premium","19%","-"))</f>
        <v>15%</v>
      </c>
      <c r="O504" s="53" t="s">
        <v>67</v>
      </c>
    </row>
    <row r="505" spans="1:15" ht="49.95" customHeight="1">
      <c r="A505" s="52" t="s">
        <v>24</v>
      </c>
      <c r="B505" s="52" t="s">
        <v>1224</v>
      </c>
      <c r="C505" s="52" t="s">
        <v>1226</v>
      </c>
      <c r="D505" s="52" t="s">
        <v>1226</v>
      </c>
      <c r="E505" s="54" t="str">
        <f>"     "&amp;E504</f>
        <v xml:space="preserve">     Set 4 Tapas Depósito Líquido Freno Tapón Yamaha R3 R3a</v>
      </c>
      <c r="F505" s="52" t="s">
        <v>84</v>
      </c>
      <c r="G505" s="53">
        <v>1</v>
      </c>
      <c r="H505" s="52" t="s">
        <v>62</v>
      </c>
      <c r="I505" s="52">
        <f>I504</f>
        <v>39990</v>
      </c>
      <c r="J505" s="52" t="str">
        <f>J504&amp;"     "</f>
        <v xml:space="preserve">$     </v>
      </c>
      <c r="K505" s="52" t="str">
        <f>K504&amp;"     "</f>
        <v xml:space="preserve">Nuevo     </v>
      </c>
      <c r="L505" s="52" t="str">
        <f>L504&amp;"     "</f>
        <v xml:space="preserve">Mercado Envíos gratis     </v>
      </c>
      <c r="M505" s="52" t="str">
        <f>M504&amp;"     "</f>
        <v xml:space="preserve">Clásica     </v>
      </c>
      <c r="N505" s="52" t="str">
        <f ca="1">N504</f>
        <v>15%</v>
      </c>
      <c r="O505" s="52" t="str">
        <f>O504&amp;"     "</f>
        <v xml:space="preserve">Activa     </v>
      </c>
    </row>
    <row r="506" spans="1:15" ht="49.95" customHeight="1">
      <c r="A506" s="52" t="s">
        <v>24</v>
      </c>
      <c r="B506" s="52" t="s">
        <v>1224</v>
      </c>
      <c r="C506" s="52" t="s">
        <v>1227</v>
      </c>
      <c r="D506" s="52" t="s">
        <v>1227</v>
      </c>
      <c r="E506" s="54" t="str">
        <f>"     "&amp;E504</f>
        <v xml:space="preserve">     Set 4 Tapas Depósito Líquido Freno Tapón Yamaha R3 R3a</v>
      </c>
      <c r="F506" s="52" t="s">
        <v>86</v>
      </c>
      <c r="G506" s="53">
        <v>0</v>
      </c>
      <c r="H506" s="52" t="s">
        <v>62</v>
      </c>
      <c r="I506" s="52">
        <f>I504</f>
        <v>39990</v>
      </c>
      <c r="J506" s="52" t="str">
        <f>J504&amp;"     "</f>
        <v xml:space="preserve">$     </v>
      </c>
      <c r="K506" s="52" t="str">
        <f>K504&amp;"     "</f>
        <v xml:space="preserve">Nuevo     </v>
      </c>
      <c r="L506" s="52" t="str">
        <f>L504&amp;"     "</f>
        <v xml:space="preserve">Mercado Envíos gratis     </v>
      </c>
      <c r="M506" s="52" t="str">
        <f>M504&amp;"     "</f>
        <v xml:space="preserve">Clásica     </v>
      </c>
      <c r="N506" s="52" t="str">
        <f ca="1">N504</f>
        <v>15%</v>
      </c>
      <c r="O506" s="52" t="str">
        <f>O504&amp;"     "</f>
        <v xml:space="preserve">Activa     </v>
      </c>
    </row>
    <row r="507" spans="1:15" ht="49.95" customHeight="1">
      <c r="A507" s="52" t="s">
        <v>1228</v>
      </c>
      <c r="B507" s="52" t="s">
        <v>1229</v>
      </c>
      <c r="C507" s="52" t="s">
        <v>1230</v>
      </c>
      <c r="D507" s="52"/>
      <c r="E507" s="55" t="s">
        <v>1231</v>
      </c>
      <c r="F507" s="52" t="s">
        <v>1231</v>
      </c>
      <c r="G507" s="53">
        <v>1</v>
      </c>
      <c r="H507" s="52" t="s">
        <v>62</v>
      </c>
      <c r="I507" s="53">
        <v>64990</v>
      </c>
      <c r="J507" s="53" t="s">
        <v>63</v>
      </c>
      <c r="K507" s="53" t="s">
        <v>64</v>
      </c>
      <c r="L507" s="53" t="s">
        <v>65</v>
      </c>
      <c r="M507" s="53" t="s">
        <v>66</v>
      </c>
      <c r="N507" s="52" t="str">
        <f ca="1">IF(INDIRECT("M507")="Clásica","14%",IF(INDIRECT("M507")="Premium","18%","-"))</f>
        <v>14%</v>
      </c>
      <c r="O507" s="53" t="s">
        <v>67</v>
      </c>
    </row>
    <row r="508" spans="1:15" ht="49.95" customHeight="1">
      <c r="A508" s="52" t="s">
        <v>1232</v>
      </c>
      <c r="B508" s="52" t="s">
        <v>1233</v>
      </c>
      <c r="C508" s="52" t="s">
        <v>1234</v>
      </c>
      <c r="D508" s="52"/>
      <c r="E508" s="55" t="s">
        <v>1235</v>
      </c>
      <c r="F508" s="52" t="s">
        <v>1235</v>
      </c>
      <c r="G508" s="53">
        <v>2</v>
      </c>
      <c r="H508" s="52" t="s">
        <v>62</v>
      </c>
      <c r="I508" s="53">
        <v>54990</v>
      </c>
      <c r="J508" s="53" t="s">
        <v>63</v>
      </c>
      <c r="K508" s="53" t="s">
        <v>64</v>
      </c>
      <c r="L508" s="53" t="s">
        <v>65</v>
      </c>
      <c r="M508" s="53" t="s">
        <v>66</v>
      </c>
      <c r="N508" s="52" t="str">
        <f ca="1">IF(INDIRECT("M508")="Clásica","14%",IF(INDIRECT("M508")="Premium","18%","-"))</f>
        <v>14%</v>
      </c>
      <c r="O508" s="53" t="s">
        <v>67</v>
      </c>
    </row>
    <row r="509" spans="1:15" ht="49.95" customHeight="1">
      <c r="A509" s="52" t="s">
        <v>1236</v>
      </c>
      <c r="B509" s="52" t="s">
        <v>1237</v>
      </c>
      <c r="C509" s="52" t="s">
        <v>1238</v>
      </c>
      <c r="D509" s="52"/>
      <c r="E509" s="55" t="s">
        <v>1239</v>
      </c>
      <c r="F509" s="52" t="s">
        <v>1049</v>
      </c>
      <c r="G509" s="53">
        <v>1</v>
      </c>
      <c r="H509" s="52" t="s">
        <v>62</v>
      </c>
      <c r="I509" s="53">
        <v>214990</v>
      </c>
      <c r="J509" s="53" t="s">
        <v>63</v>
      </c>
      <c r="K509" s="53" t="s">
        <v>64</v>
      </c>
      <c r="L509" s="53" t="s">
        <v>65</v>
      </c>
      <c r="M509" s="53" t="s">
        <v>1240</v>
      </c>
      <c r="N509" s="52" t="str">
        <f ca="1">IF(INDIRECT("M509")="Clásica","15%",IF(INDIRECT("M509")="Premium","19%","-"))</f>
        <v>19%</v>
      </c>
      <c r="O509" s="53" t="s">
        <v>67</v>
      </c>
    </row>
    <row r="510" spans="1:15" ht="49.95" customHeight="1">
      <c r="A510" s="52" t="s">
        <v>1236</v>
      </c>
      <c r="B510" s="52" t="s">
        <v>1241</v>
      </c>
      <c r="C510" s="52" t="s">
        <v>1238</v>
      </c>
      <c r="D510" s="52"/>
      <c r="E510" s="55" t="s">
        <v>1239</v>
      </c>
      <c r="F510" s="52" t="s">
        <v>1049</v>
      </c>
      <c r="G510" s="53">
        <v>1</v>
      </c>
      <c r="H510" s="52" t="s">
        <v>62</v>
      </c>
      <c r="I510" s="53">
        <v>203990</v>
      </c>
      <c r="J510" s="53" t="s">
        <v>63</v>
      </c>
      <c r="K510" s="53" t="s">
        <v>64</v>
      </c>
      <c r="L510" s="53" t="s">
        <v>65</v>
      </c>
      <c r="M510" s="53" t="s">
        <v>66</v>
      </c>
      <c r="N510" s="52" t="str">
        <f ca="1">IF(INDIRECT("M510")="Clásica","15%",IF(INDIRECT("M510")="Premium","19%","-"))</f>
        <v>15%</v>
      </c>
      <c r="O510" s="53" t="s">
        <v>67</v>
      </c>
    </row>
    <row r="511" spans="1:15" ht="49.95" customHeight="1">
      <c r="A511" s="52" t="s">
        <v>1242</v>
      </c>
      <c r="B511" s="52" t="s">
        <v>1243</v>
      </c>
      <c r="C511" s="52" t="s">
        <v>1244</v>
      </c>
      <c r="D511" s="52"/>
      <c r="E511" s="55" t="s">
        <v>1245</v>
      </c>
      <c r="F511" s="52" t="s">
        <v>1245</v>
      </c>
      <c r="G511" s="53">
        <v>2</v>
      </c>
      <c r="H511" s="52" t="s">
        <v>62</v>
      </c>
      <c r="I511" s="53">
        <v>139990</v>
      </c>
      <c r="J511" s="53" t="s">
        <v>63</v>
      </c>
      <c r="K511" s="53" t="s">
        <v>64</v>
      </c>
      <c r="L511" s="53" t="s">
        <v>65</v>
      </c>
      <c r="M511" s="53" t="s">
        <v>66</v>
      </c>
      <c r="N511" s="52" t="str">
        <f ca="1">IF(INDIRECT("M511")="Clásica","14%",IF(INDIRECT("M511")="Premium","18%","-"))</f>
        <v>14%</v>
      </c>
      <c r="O511" s="53" t="s">
        <v>67</v>
      </c>
    </row>
    <row r="512" spans="1:15" ht="49.95" customHeight="1">
      <c r="A512" s="52" t="s">
        <v>1246</v>
      </c>
      <c r="B512" s="52" t="s">
        <v>1247</v>
      </c>
      <c r="C512" s="52" t="s">
        <v>1248</v>
      </c>
      <c r="D512" s="52"/>
      <c r="E512" s="55" t="s">
        <v>1249</v>
      </c>
      <c r="F512" s="52" t="s">
        <v>1249</v>
      </c>
      <c r="G512" s="53">
        <v>2</v>
      </c>
      <c r="H512" s="52" t="s">
        <v>62</v>
      </c>
      <c r="I512" s="53">
        <v>139990</v>
      </c>
      <c r="J512" s="53" t="s">
        <v>63</v>
      </c>
      <c r="K512" s="53" t="s">
        <v>64</v>
      </c>
      <c r="L512" s="53" t="s">
        <v>65</v>
      </c>
      <c r="M512" s="53" t="s">
        <v>66</v>
      </c>
      <c r="N512" s="52" t="str">
        <f ca="1">IF(INDIRECT("M512")="Clásica","14%",IF(INDIRECT("M512")="Premium","18%","-"))</f>
        <v>14%</v>
      </c>
      <c r="O512" s="53" t="s">
        <v>67</v>
      </c>
    </row>
    <row r="513" spans="1:15" ht="49.95" customHeight="1">
      <c r="A513" s="52" t="s">
        <v>1250</v>
      </c>
      <c r="B513" s="52" t="s">
        <v>1251</v>
      </c>
      <c r="C513" s="52" t="s">
        <v>1252</v>
      </c>
      <c r="D513" s="52"/>
      <c r="E513" s="55" t="s">
        <v>1253</v>
      </c>
      <c r="F513" s="52" t="s">
        <v>1253</v>
      </c>
      <c r="G513" s="53">
        <v>1</v>
      </c>
      <c r="H513" s="52" t="s">
        <v>62</v>
      </c>
      <c r="I513" s="53">
        <v>79990</v>
      </c>
      <c r="J513" s="53" t="s">
        <v>63</v>
      </c>
      <c r="K513" s="53" t="s">
        <v>64</v>
      </c>
      <c r="L513" s="53" t="s">
        <v>65</v>
      </c>
      <c r="M513" s="53" t="s">
        <v>66</v>
      </c>
      <c r="N513" s="52" t="str">
        <f ca="1">IF(INDIRECT("M513")="Clásica","15%",IF(INDIRECT("M513")="Premium","19%","-"))</f>
        <v>15%</v>
      </c>
      <c r="O513" s="53" t="s">
        <v>67</v>
      </c>
    </row>
    <row r="514" spans="1:15" ht="49.95" customHeight="1">
      <c r="A514" s="52" t="s">
        <v>1254</v>
      </c>
      <c r="B514" s="52" t="s">
        <v>1255</v>
      </c>
      <c r="C514" s="52" t="s">
        <v>1256</v>
      </c>
      <c r="D514" s="52"/>
      <c r="E514" s="55" t="s">
        <v>1257</v>
      </c>
      <c r="F514" s="52" t="s">
        <v>1257</v>
      </c>
      <c r="G514" s="53">
        <v>2</v>
      </c>
      <c r="H514" s="52" t="s">
        <v>62</v>
      </c>
      <c r="I514" s="53">
        <v>39990</v>
      </c>
      <c r="J514" s="53" t="s">
        <v>63</v>
      </c>
      <c r="K514" s="53" t="s">
        <v>64</v>
      </c>
      <c r="L514" s="53" t="s">
        <v>65</v>
      </c>
      <c r="M514" s="53" t="s">
        <v>66</v>
      </c>
      <c r="N514" s="52" t="str">
        <f ca="1">IF(INDIRECT("M514")="Clásica","14%",IF(INDIRECT("M514")="Premium","18%","-"))</f>
        <v>14%</v>
      </c>
      <c r="O514" s="53" t="s">
        <v>67</v>
      </c>
    </row>
    <row r="515" spans="1:15" ht="49.95" customHeight="1">
      <c r="A515" s="52" t="s">
        <v>1258</v>
      </c>
      <c r="B515" s="52" t="s">
        <v>1259</v>
      </c>
      <c r="C515" s="52" t="s">
        <v>1260</v>
      </c>
      <c r="D515" s="52"/>
      <c r="E515" s="55" t="s">
        <v>1261</v>
      </c>
      <c r="F515" s="52" t="s">
        <v>1261</v>
      </c>
      <c r="G515" s="53">
        <v>2</v>
      </c>
      <c r="H515" s="52" t="s">
        <v>62</v>
      </c>
      <c r="I515" s="53">
        <v>109990</v>
      </c>
      <c r="J515" s="53" t="s">
        <v>63</v>
      </c>
      <c r="K515" s="53" t="s">
        <v>64</v>
      </c>
      <c r="L515" s="53" t="s">
        <v>65</v>
      </c>
      <c r="M515" s="53" t="s">
        <v>66</v>
      </c>
      <c r="N515" s="52" t="str">
        <f ca="1">IF(INDIRECT("M515")="Clásica","14%",IF(INDIRECT("M515")="Premium","18%","-"))</f>
        <v>14%</v>
      </c>
      <c r="O515" s="53" t="s">
        <v>67</v>
      </c>
    </row>
    <row r="516" spans="1:15" ht="49.95" customHeight="1">
      <c r="A516" s="52" t="s">
        <v>1262</v>
      </c>
      <c r="B516" s="52" t="s">
        <v>1263</v>
      </c>
      <c r="C516" s="52" t="s">
        <v>1264</v>
      </c>
      <c r="D516" s="52"/>
      <c r="E516" s="55" t="s">
        <v>1265</v>
      </c>
      <c r="F516" s="52" t="s">
        <v>1265</v>
      </c>
      <c r="G516" s="53">
        <v>1</v>
      </c>
      <c r="H516" s="52" t="s">
        <v>62</v>
      </c>
      <c r="I516" s="53">
        <v>89990</v>
      </c>
      <c r="J516" s="53" t="s">
        <v>63</v>
      </c>
      <c r="K516" s="53" t="s">
        <v>64</v>
      </c>
      <c r="L516" s="53" t="s">
        <v>65</v>
      </c>
      <c r="M516" s="53" t="s">
        <v>66</v>
      </c>
      <c r="N516" s="52" t="str">
        <f ca="1">IF(INDIRECT("M516")="Clásica","15%",IF(INDIRECT("M516")="Premium","19%","-"))</f>
        <v>15%</v>
      </c>
      <c r="O516" s="53" t="s">
        <v>67</v>
      </c>
    </row>
    <row r="517" spans="1:15" ht="49.95" customHeight="1">
      <c r="A517" s="52" t="s">
        <v>1266</v>
      </c>
      <c r="B517" s="52" t="s">
        <v>1267</v>
      </c>
      <c r="C517" s="52" t="s">
        <v>1268</v>
      </c>
      <c r="D517" s="52"/>
      <c r="E517" s="55" t="s">
        <v>1269</v>
      </c>
      <c r="F517" s="52" t="s">
        <v>1269</v>
      </c>
      <c r="G517" s="53">
        <v>1</v>
      </c>
      <c r="H517" s="52" t="s">
        <v>62</v>
      </c>
      <c r="I517" s="53">
        <v>99990</v>
      </c>
      <c r="J517" s="53" t="s">
        <v>63</v>
      </c>
      <c r="K517" s="53" t="s">
        <v>64</v>
      </c>
      <c r="L517" s="53" t="s">
        <v>65</v>
      </c>
      <c r="M517" s="53" t="s">
        <v>66</v>
      </c>
      <c r="N517" s="52" t="str">
        <f ca="1">IF(INDIRECT("M517")="Clásica","15%",IF(INDIRECT("M517")="Premium","19%","-"))</f>
        <v>15%</v>
      </c>
      <c r="O517" s="53" t="s">
        <v>67</v>
      </c>
    </row>
    <row r="518" spans="1:15" ht="49.95" customHeight="1">
      <c r="A518" s="52" t="s">
        <v>24</v>
      </c>
      <c r="B518" s="52" t="s">
        <v>1270</v>
      </c>
      <c r="C518" s="52"/>
      <c r="D518" s="52"/>
      <c r="E518" s="55" t="s">
        <v>1271</v>
      </c>
      <c r="F518" s="52" t="s">
        <v>62</v>
      </c>
      <c r="G518" s="52" t="s">
        <v>104</v>
      </c>
      <c r="H518" s="52" t="s">
        <v>62</v>
      </c>
      <c r="I518" s="53">
        <v>44990</v>
      </c>
      <c r="J518" s="53" t="s">
        <v>63</v>
      </c>
      <c r="K518" s="53" t="s">
        <v>64</v>
      </c>
      <c r="L518" s="53" t="s">
        <v>65</v>
      </c>
      <c r="M518" s="53" t="s">
        <v>66</v>
      </c>
      <c r="N518" s="52" t="str">
        <f ca="1">IF(INDIRECT("M518")="Clásica","14%",IF(INDIRECT("M518")="Premium","18%","-"))</f>
        <v>14%</v>
      </c>
      <c r="O518" s="53" t="s">
        <v>67</v>
      </c>
    </row>
    <row r="519" spans="1:15" ht="49.95" customHeight="1">
      <c r="A519" s="52" t="s">
        <v>24</v>
      </c>
      <c r="B519" s="52" t="s">
        <v>1270</v>
      </c>
      <c r="C519" s="52" t="s">
        <v>1272</v>
      </c>
      <c r="D519" s="52" t="s">
        <v>1272</v>
      </c>
      <c r="E519" s="54" t="str">
        <f>"     "&amp;E518</f>
        <v xml:space="preserve">     Manilla Corta Acrobacias Stunt C/soporte 22mm Deportiva</v>
      </c>
      <c r="F519" s="52" t="s">
        <v>90</v>
      </c>
      <c r="G519" s="53">
        <v>2</v>
      </c>
      <c r="H519" s="52" t="s">
        <v>62</v>
      </c>
      <c r="I519" s="52">
        <f>I518</f>
        <v>44990</v>
      </c>
      <c r="J519" s="52" t="str">
        <f>J518&amp;"     "</f>
        <v xml:space="preserve">$     </v>
      </c>
      <c r="K519" s="52" t="str">
        <f>K518&amp;"     "</f>
        <v xml:space="preserve">Nuevo     </v>
      </c>
      <c r="L519" s="52" t="str">
        <f>L518&amp;"     "</f>
        <v xml:space="preserve">Mercado Envíos gratis     </v>
      </c>
      <c r="M519" s="52" t="str">
        <f>M518&amp;"     "</f>
        <v xml:space="preserve">Clásica     </v>
      </c>
      <c r="N519" s="52" t="str">
        <f ca="1">N518</f>
        <v>14%</v>
      </c>
      <c r="O519" s="52" t="str">
        <f>O518&amp;"     "</f>
        <v xml:space="preserve">Activa     </v>
      </c>
    </row>
    <row r="520" spans="1:15" ht="49.95" customHeight="1">
      <c r="A520" s="52" t="s">
        <v>24</v>
      </c>
      <c r="B520" s="52" t="s">
        <v>1270</v>
      </c>
      <c r="C520" s="52" t="s">
        <v>1273</v>
      </c>
      <c r="D520" s="52" t="s">
        <v>1273</v>
      </c>
      <c r="E520" s="54" t="str">
        <f>"     "&amp;E518</f>
        <v xml:space="preserve">     Manilla Corta Acrobacias Stunt C/soporte 22mm Deportiva</v>
      </c>
      <c r="F520" s="52" t="s">
        <v>97</v>
      </c>
      <c r="G520" s="53">
        <v>2</v>
      </c>
      <c r="H520" s="52" t="s">
        <v>62</v>
      </c>
      <c r="I520" s="52">
        <f>I518</f>
        <v>44990</v>
      </c>
      <c r="J520" s="52" t="str">
        <f>J518&amp;"     "</f>
        <v xml:space="preserve">$     </v>
      </c>
      <c r="K520" s="52" t="str">
        <f>K518&amp;"     "</f>
        <v xml:space="preserve">Nuevo     </v>
      </c>
      <c r="L520" s="52" t="str">
        <f>L518&amp;"     "</f>
        <v xml:space="preserve">Mercado Envíos gratis     </v>
      </c>
      <c r="M520" s="52" t="str">
        <f>M518&amp;"     "</f>
        <v xml:space="preserve">Clásica     </v>
      </c>
      <c r="N520" s="52" t="str">
        <f ca="1">N518</f>
        <v>14%</v>
      </c>
      <c r="O520" s="52" t="str">
        <f>O518&amp;"     "</f>
        <v xml:space="preserve">Activa     </v>
      </c>
    </row>
    <row r="521" spans="1:15" ht="49.95" customHeight="1">
      <c r="A521" s="52" t="s">
        <v>24</v>
      </c>
      <c r="B521" s="52" t="s">
        <v>1270</v>
      </c>
      <c r="C521" s="52" t="s">
        <v>1274</v>
      </c>
      <c r="D521" s="52" t="s">
        <v>1274</v>
      </c>
      <c r="E521" s="54" t="str">
        <f>"     "&amp;E518</f>
        <v xml:space="preserve">     Manilla Corta Acrobacias Stunt C/soporte 22mm Deportiva</v>
      </c>
      <c r="F521" s="52" t="s">
        <v>86</v>
      </c>
      <c r="G521" s="53">
        <v>2</v>
      </c>
      <c r="H521" s="52" t="s">
        <v>62</v>
      </c>
      <c r="I521" s="52">
        <f>I518</f>
        <v>44990</v>
      </c>
      <c r="J521" s="52" t="str">
        <f>J518&amp;"     "</f>
        <v xml:space="preserve">$     </v>
      </c>
      <c r="K521" s="52" t="str">
        <f>K518&amp;"     "</f>
        <v xml:space="preserve">Nuevo     </v>
      </c>
      <c r="L521" s="52" t="str">
        <f>L518&amp;"     "</f>
        <v xml:space="preserve">Mercado Envíos gratis     </v>
      </c>
      <c r="M521" s="52" t="str">
        <f>M518&amp;"     "</f>
        <v xml:space="preserve">Clásica     </v>
      </c>
      <c r="N521" s="52" t="str">
        <f ca="1">N518</f>
        <v>14%</v>
      </c>
      <c r="O521" s="52" t="str">
        <f>O518&amp;"     "</f>
        <v xml:space="preserve">Activa     </v>
      </c>
    </row>
    <row r="522" spans="1:15" ht="49.95" customHeight="1">
      <c r="A522" s="52" t="s">
        <v>1275</v>
      </c>
      <c r="B522" s="52" t="s">
        <v>1276</v>
      </c>
      <c r="C522" s="52" t="s">
        <v>1277</v>
      </c>
      <c r="D522" s="52"/>
      <c r="E522" s="55" t="s">
        <v>1278</v>
      </c>
      <c r="F522" s="52" t="s">
        <v>1278</v>
      </c>
      <c r="G522" s="53">
        <v>2</v>
      </c>
      <c r="H522" s="52" t="s">
        <v>62</v>
      </c>
      <c r="I522" s="53">
        <v>29990</v>
      </c>
      <c r="J522" s="53" t="s">
        <v>63</v>
      </c>
      <c r="K522" s="53" t="s">
        <v>64</v>
      </c>
      <c r="L522" s="53" t="s">
        <v>65</v>
      </c>
      <c r="M522" s="53" t="s">
        <v>66</v>
      </c>
      <c r="N522" s="52" t="str">
        <f ca="1">IF(INDIRECT("M522")="Clásica","14%",IF(INDIRECT("M522")="Premium","18%","-"))</f>
        <v>14%</v>
      </c>
      <c r="O522" s="53" t="s">
        <v>67</v>
      </c>
    </row>
    <row r="523" spans="1:15" ht="49.95" customHeight="1">
      <c r="A523" s="52" t="s">
        <v>1279</v>
      </c>
      <c r="B523" s="52" t="s">
        <v>1280</v>
      </c>
      <c r="C523" s="52" t="s">
        <v>1281</v>
      </c>
      <c r="D523" s="52"/>
      <c r="E523" s="55" t="s">
        <v>1282</v>
      </c>
      <c r="F523" s="52" t="s">
        <v>86</v>
      </c>
      <c r="G523" s="53">
        <v>2</v>
      </c>
      <c r="H523" s="52" t="s">
        <v>62</v>
      </c>
      <c r="I523" s="53">
        <v>39990</v>
      </c>
      <c r="J523" s="53" t="s">
        <v>63</v>
      </c>
      <c r="K523" s="53" t="s">
        <v>64</v>
      </c>
      <c r="L523" s="53" t="s">
        <v>65</v>
      </c>
      <c r="M523" s="53" t="s">
        <v>66</v>
      </c>
      <c r="N523" s="52" t="str">
        <f ca="1">IF(INDIRECT("M523")="Clásica","14%",IF(INDIRECT("M523")="Premium","18%","-"))</f>
        <v>14%</v>
      </c>
      <c r="O523" s="53" t="s">
        <v>67</v>
      </c>
    </row>
    <row r="524" spans="1:15" ht="49.95" customHeight="1">
      <c r="A524" s="52" t="s">
        <v>1283</v>
      </c>
      <c r="B524" s="52" t="s">
        <v>1284</v>
      </c>
      <c r="C524" s="52" t="s">
        <v>1285</v>
      </c>
      <c r="D524" s="52"/>
      <c r="E524" s="55" t="s">
        <v>1286</v>
      </c>
      <c r="F524" s="52" t="s">
        <v>1286</v>
      </c>
      <c r="G524" s="53">
        <v>1</v>
      </c>
      <c r="H524" s="52" t="s">
        <v>62</v>
      </c>
      <c r="I524" s="53">
        <v>59990</v>
      </c>
      <c r="J524" s="53" t="s">
        <v>63</v>
      </c>
      <c r="K524" s="53" t="s">
        <v>64</v>
      </c>
      <c r="L524" s="53" t="s">
        <v>65</v>
      </c>
      <c r="M524" s="53" t="s">
        <v>66</v>
      </c>
      <c r="N524" s="52" t="str">
        <f ca="1">IF(INDIRECT("M524")="Clásica","15%",IF(INDIRECT("M524")="Premium","19%","-"))</f>
        <v>15%</v>
      </c>
      <c r="O524" s="53" t="s">
        <v>67</v>
      </c>
    </row>
    <row r="525" spans="1:15" ht="49.95" customHeight="1">
      <c r="A525" s="52" t="s">
        <v>1287</v>
      </c>
      <c r="B525" s="52" t="s">
        <v>1288</v>
      </c>
      <c r="C525" s="52" t="s">
        <v>1289</v>
      </c>
      <c r="D525" s="52"/>
      <c r="E525" s="55" t="s">
        <v>1290</v>
      </c>
      <c r="F525" s="52" t="s">
        <v>524</v>
      </c>
      <c r="G525" s="53">
        <v>1</v>
      </c>
      <c r="H525" s="52" t="s">
        <v>62</v>
      </c>
      <c r="I525" s="53">
        <v>140990</v>
      </c>
      <c r="J525" s="53" t="s">
        <v>63</v>
      </c>
      <c r="K525" s="53" t="s">
        <v>64</v>
      </c>
      <c r="L525" s="53" t="s">
        <v>65</v>
      </c>
      <c r="M525" s="53" t="s">
        <v>66</v>
      </c>
      <c r="N525" s="52" t="str">
        <f ca="1">IF(INDIRECT("M525")="Clásica","14%",IF(INDIRECT("M525")="Premium","18%","-"))</f>
        <v>14%</v>
      </c>
      <c r="O525" s="53" t="s">
        <v>67</v>
      </c>
    </row>
    <row r="526" spans="1:15" ht="49.95" customHeight="1">
      <c r="A526" s="52" t="s">
        <v>1291</v>
      </c>
      <c r="B526" s="52" t="s">
        <v>1292</v>
      </c>
      <c r="C526" s="52" t="s">
        <v>1293</v>
      </c>
      <c r="D526" s="52"/>
      <c r="E526" s="55" t="s">
        <v>1294</v>
      </c>
      <c r="F526" s="52" t="s">
        <v>524</v>
      </c>
      <c r="G526" s="53">
        <v>2</v>
      </c>
      <c r="H526" s="52" t="s">
        <v>62</v>
      </c>
      <c r="I526" s="53">
        <v>43990</v>
      </c>
      <c r="J526" s="53" t="s">
        <v>63</v>
      </c>
      <c r="K526" s="53" t="s">
        <v>64</v>
      </c>
      <c r="L526" s="53" t="s">
        <v>65</v>
      </c>
      <c r="M526" s="53" t="s">
        <v>66</v>
      </c>
      <c r="N526" s="52" t="str">
        <f ca="1">IF(INDIRECT("M526")="Clásica","14%",IF(INDIRECT("M526")="Premium","18%","-"))</f>
        <v>14%</v>
      </c>
      <c r="O526" s="53" t="s">
        <v>67</v>
      </c>
    </row>
    <row r="527" spans="1:15" ht="49.95" customHeight="1">
      <c r="A527" s="52" t="s">
        <v>1295</v>
      </c>
      <c r="B527" s="52" t="s">
        <v>1296</v>
      </c>
      <c r="C527" s="52" t="s">
        <v>1297</v>
      </c>
      <c r="D527" s="52"/>
      <c r="E527" s="55" t="s">
        <v>1298</v>
      </c>
      <c r="F527" s="52" t="s">
        <v>1298</v>
      </c>
      <c r="G527" s="53">
        <v>2</v>
      </c>
      <c r="H527" s="52" t="s">
        <v>62</v>
      </c>
      <c r="I527" s="53">
        <v>26990</v>
      </c>
      <c r="J527" s="53" t="s">
        <v>63</v>
      </c>
      <c r="K527" s="53" t="s">
        <v>64</v>
      </c>
      <c r="L527" s="53" t="s">
        <v>65</v>
      </c>
      <c r="M527" s="53" t="s">
        <v>66</v>
      </c>
      <c r="N527" s="52" t="str">
        <f ca="1">IF(INDIRECT("M527")="Clásica","14%",IF(INDIRECT("M527")="Premium","18%","-"))</f>
        <v>14%</v>
      </c>
      <c r="O527" s="53" t="s">
        <v>67</v>
      </c>
    </row>
    <row r="528" spans="1:15" ht="49.95" customHeight="1">
      <c r="A528" s="52" t="s">
        <v>1299</v>
      </c>
      <c r="B528" s="52" t="s">
        <v>1300</v>
      </c>
      <c r="C528" s="52" t="s">
        <v>1301</v>
      </c>
      <c r="D528" s="52"/>
      <c r="E528" s="55" t="s">
        <v>1302</v>
      </c>
      <c r="F528" s="52" t="s">
        <v>75</v>
      </c>
      <c r="G528" s="53">
        <v>2</v>
      </c>
      <c r="H528" s="52" t="s">
        <v>62</v>
      </c>
      <c r="I528" s="53">
        <v>54990</v>
      </c>
      <c r="J528" s="53" t="s">
        <v>63</v>
      </c>
      <c r="K528" s="53" t="s">
        <v>64</v>
      </c>
      <c r="L528" s="53" t="s">
        <v>65</v>
      </c>
      <c r="M528" s="53" t="s">
        <v>66</v>
      </c>
      <c r="N528" s="52" t="str">
        <f ca="1">IF(INDIRECT("M528")="Clásica","15%",IF(INDIRECT("M528")="Premium","19%","-"))</f>
        <v>15%</v>
      </c>
      <c r="O528" s="53" t="s">
        <v>67</v>
      </c>
    </row>
    <row r="529" spans="1:15" ht="49.95" customHeight="1">
      <c r="A529" s="52" t="s">
        <v>1303</v>
      </c>
      <c r="B529" s="52" t="s">
        <v>1304</v>
      </c>
      <c r="C529" s="52" t="s">
        <v>1305</v>
      </c>
      <c r="D529" s="52"/>
      <c r="E529" s="55" t="s">
        <v>1306</v>
      </c>
      <c r="F529" s="52" t="s">
        <v>524</v>
      </c>
      <c r="G529" s="53">
        <v>2</v>
      </c>
      <c r="H529" s="52" t="s">
        <v>62</v>
      </c>
      <c r="I529" s="52" t="s">
        <v>24</v>
      </c>
      <c r="J529" s="53" t="s">
        <v>63</v>
      </c>
      <c r="K529" s="53" t="s">
        <v>64</v>
      </c>
      <c r="L529" s="53" t="s">
        <v>65</v>
      </c>
      <c r="M529" s="53" t="s">
        <v>66</v>
      </c>
      <c r="N529" s="52" t="str">
        <f ca="1">IF(INDIRECT("M529")="Clásica","14%",IF(INDIRECT("M529")="Premium","18%","-"))</f>
        <v>14%</v>
      </c>
      <c r="O529" s="53" t="s">
        <v>67</v>
      </c>
    </row>
    <row r="530" spans="1:15" ht="49.95" customHeight="1">
      <c r="A530" s="52" t="s">
        <v>1307</v>
      </c>
      <c r="B530" s="52" t="s">
        <v>1308</v>
      </c>
      <c r="C530" s="52" t="s">
        <v>1309</v>
      </c>
      <c r="D530" s="52"/>
      <c r="E530" s="55" t="s">
        <v>1310</v>
      </c>
      <c r="F530" s="52" t="s">
        <v>524</v>
      </c>
      <c r="G530" s="53">
        <v>1</v>
      </c>
      <c r="H530" s="52" t="s">
        <v>62</v>
      </c>
      <c r="I530" s="53">
        <v>25990</v>
      </c>
      <c r="J530" s="53" t="s">
        <v>63</v>
      </c>
      <c r="K530" s="53" t="s">
        <v>64</v>
      </c>
      <c r="L530" s="53" t="s">
        <v>65</v>
      </c>
      <c r="M530" s="53" t="s">
        <v>66</v>
      </c>
      <c r="N530" s="52" t="str">
        <f ca="1">IF(INDIRECT("M530")="Clásica","14%",IF(INDIRECT("M530")="Premium","18%","-"))</f>
        <v>14%</v>
      </c>
      <c r="O530" s="53" t="s">
        <v>67</v>
      </c>
    </row>
    <row r="531" spans="1:15" ht="49.95" customHeight="1">
      <c r="A531" s="52" t="s">
        <v>1311</v>
      </c>
      <c r="B531" s="52" t="s">
        <v>1312</v>
      </c>
      <c r="C531" s="52" t="s">
        <v>1313</v>
      </c>
      <c r="D531" s="52"/>
      <c r="E531" s="55" t="s">
        <v>1314</v>
      </c>
      <c r="F531" s="52" t="s">
        <v>1314</v>
      </c>
      <c r="G531" s="53">
        <v>1</v>
      </c>
      <c r="H531" s="52" t="s">
        <v>62</v>
      </c>
      <c r="I531" s="53">
        <v>192990</v>
      </c>
      <c r="J531" s="53" t="s">
        <v>63</v>
      </c>
      <c r="K531" s="53" t="s">
        <v>64</v>
      </c>
      <c r="L531" s="53" t="s">
        <v>65</v>
      </c>
      <c r="M531" s="53" t="s">
        <v>66</v>
      </c>
      <c r="N531" s="52" t="str">
        <f ca="1">IF(INDIRECT("M531")="Clásica","15%",IF(INDIRECT("M531")="Premium","19%","-"))</f>
        <v>15%</v>
      </c>
      <c r="O531" s="53" t="s">
        <v>67</v>
      </c>
    </row>
    <row r="532" spans="1:15" ht="49.95" customHeight="1">
      <c r="A532" s="52" t="s">
        <v>1315</v>
      </c>
      <c r="B532" s="52" t="s">
        <v>1316</v>
      </c>
      <c r="C532" s="52" t="s">
        <v>1317</v>
      </c>
      <c r="D532" s="52"/>
      <c r="E532" s="55" t="s">
        <v>1318</v>
      </c>
      <c r="F532" s="52" t="s">
        <v>1318</v>
      </c>
      <c r="G532" s="53">
        <v>2</v>
      </c>
      <c r="H532" s="52" t="s">
        <v>62</v>
      </c>
      <c r="I532" s="53">
        <v>38990</v>
      </c>
      <c r="J532" s="53" t="s">
        <v>63</v>
      </c>
      <c r="K532" s="53" t="s">
        <v>64</v>
      </c>
      <c r="L532" s="53" t="s">
        <v>65</v>
      </c>
      <c r="M532" s="53" t="s">
        <v>66</v>
      </c>
      <c r="N532" s="52" t="str">
        <f ca="1">IF(INDIRECT("M532")="Clásica","15%",IF(INDIRECT("M532")="Premium","19%","-"))</f>
        <v>15%</v>
      </c>
      <c r="O532" s="53" t="s">
        <v>67</v>
      </c>
    </row>
    <row r="533" spans="1:15" ht="49.95" customHeight="1">
      <c r="A533" s="52" t="s">
        <v>1319</v>
      </c>
      <c r="B533" s="52" t="s">
        <v>1320</v>
      </c>
      <c r="C533" s="52" t="s">
        <v>1321</v>
      </c>
      <c r="D533" s="52"/>
      <c r="E533" s="55" t="s">
        <v>1322</v>
      </c>
      <c r="F533" s="52" t="s">
        <v>1322</v>
      </c>
      <c r="G533" s="53">
        <v>1</v>
      </c>
      <c r="H533" s="52" t="s">
        <v>62</v>
      </c>
      <c r="I533" s="53">
        <v>41990</v>
      </c>
      <c r="J533" s="53" t="s">
        <v>63</v>
      </c>
      <c r="K533" s="53" t="s">
        <v>64</v>
      </c>
      <c r="L533" s="53" t="s">
        <v>65</v>
      </c>
      <c r="M533" s="53" t="s">
        <v>66</v>
      </c>
      <c r="N533" s="52" t="str">
        <f ca="1">IF(INDIRECT("M533")="Clásica","15%",IF(INDIRECT("M533")="Premium","19%","-"))</f>
        <v>15%</v>
      </c>
      <c r="O533" s="53" t="s">
        <v>67</v>
      </c>
    </row>
    <row r="534" spans="1:15" ht="49.95" customHeight="1">
      <c r="A534" s="52" t="s">
        <v>1323</v>
      </c>
      <c r="B534" s="52" t="s">
        <v>1324</v>
      </c>
      <c r="C534" s="52" t="s">
        <v>1325</v>
      </c>
      <c r="D534" s="52"/>
      <c r="E534" s="55" t="s">
        <v>1326</v>
      </c>
      <c r="F534" s="52" t="s">
        <v>86</v>
      </c>
      <c r="G534" s="53">
        <v>1</v>
      </c>
      <c r="H534" s="52" t="s">
        <v>62</v>
      </c>
      <c r="I534" s="53">
        <v>91990</v>
      </c>
      <c r="J534" s="53" t="s">
        <v>63</v>
      </c>
      <c r="K534" s="53" t="s">
        <v>64</v>
      </c>
      <c r="L534" s="53" t="s">
        <v>65</v>
      </c>
      <c r="M534" s="53" t="s">
        <v>66</v>
      </c>
      <c r="N534" s="52" t="str">
        <f ca="1">IF(INDIRECT("M534")="Clásica","14%",IF(INDIRECT("M534")="Premium","18%","-"))</f>
        <v>14%</v>
      </c>
      <c r="O534" s="53" t="s">
        <v>67</v>
      </c>
    </row>
    <row r="535" spans="1:15" ht="49.95" customHeight="1">
      <c r="A535" s="52" t="s">
        <v>1327</v>
      </c>
      <c r="B535" s="52" t="s">
        <v>1328</v>
      </c>
      <c r="C535" s="52" t="s">
        <v>1329</v>
      </c>
      <c r="D535" s="52"/>
      <c r="E535" s="55" t="s">
        <v>1330</v>
      </c>
      <c r="F535" s="52" t="s">
        <v>1330</v>
      </c>
      <c r="G535" s="53">
        <v>2</v>
      </c>
      <c r="H535" s="52" t="s">
        <v>62</v>
      </c>
      <c r="I535" s="53">
        <v>113990</v>
      </c>
      <c r="J535" s="53" t="s">
        <v>63</v>
      </c>
      <c r="K535" s="53" t="s">
        <v>64</v>
      </c>
      <c r="L535" s="53" t="s">
        <v>65</v>
      </c>
      <c r="M535" s="53" t="s">
        <v>66</v>
      </c>
      <c r="N535" s="52" t="str">
        <f ca="1">IF(INDIRECT("M535")="Clásica","15%",IF(INDIRECT("M535")="Premium","19%","-"))</f>
        <v>15%</v>
      </c>
      <c r="O535" s="53" t="s">
        <v>67</v>
      </c>
    </row>
    <row r="536" spans="1:15" ht="49.95" customHeight="1">
      <c r="A536" s="52" t="s">
        <v>1331</v>
      </c>
      <c r="B536" s="52" t="s">
        <v>1332</v>
      </c>
      <c r="C536" s="52" t="s">
        <v>1333</v>
      </c>
      <c r="D536" s="52"/>
      <c r="E536" s="55" t="s">
        <v>1334</v>
      </c>
      <c r="F536" s="52" t="s">
        <v>1334</v>
      </c>
      <c r="G536" s="53">
        <v>1</v>
      </c>
      <c r="H536" s="52" t="s">
        <v>62</v>
      </c>
      <c r="I536" s="53">
        <v>67990</v>
      </c>
      <c r="J536" s="53" t="s">
        <v>63</v>
      </c>
      <c r="K536" s="53" t="s">
        <v>64</v>
      </c>
      <c r="L536" s="53" t="s">
        <v>65</v>
      </c>
      <c r="M536" s="53" t="s">
        <v>66</v>
      </c>
      <c r="N536" s="52" t="str">
        <f ca="1">IF(INDIRECT("M536")="Clásica","15%",IF(INDIRECT("M536")="Premium","19%","-"))</f>
        <v>15%</v>
      </c>
      <c r="O536" s="53" t="s">
        <v>67</v>
      </c>
    </row>
    <row r="537" spans="1:15" ht="49.95" customHeight="1">
      <c r="A537" s="52" t="s">
        <v>1335</v>
      </c>
      <c r="B537" s="52" t="s">
        <v>1336</v>
      </c>
      <c r="C537" s="52" t="s">
        <v>1337</v>
      </c>
      <c r="D537" s="52"/>
      <c r="E537" s="55" t="s">
        <v>1338</v>
      </c>
      <c r="F537" s="52" t="s">
        <v>1338</v>
      </c>
      <c r="G537" s="53">
        <v>2</v>
      </c>
      <c r="H537" s="52" t="s">
        <v>62</v>
      </c>
      <c r="I537" s="53">
        <v>74990</v>
      </c>
      <c r="J537" s="53" t="s">
        <v>63</v>
      </c>
      <c r="K537" s="53" t="s">
        <v>64</v>
      </c>
      <c r="L537" s="53" t="s">
        <v>65</v>
      </c>
      <c r="M537" s="53" t="s">
        <v>66</v>
      </c>
      <c r="N537" s="52" t="str">
        <f ca="1">IF(INDIRECT("M537")="Clásica","14%",IF(INDIRECT("M537")="Premium","18%","-"))</f>
        <v>14%</v>
      </c>
      <c r="O537" s="53" t="s">
        <v>67</v>
      </c>
    </row>
    <row r="538" spans="1:15" ht="49.95" customHeight="1">
      <c r="A538" s="52" t="s">
        <v>1339</v>
      </c>
      <c r="B538" s="52" t="s">
        <v>1340</v>
      </c>
      <c r="C538" s="52" t="s">
        <v>1341</v>
      </c>
      <c r="D538" s="52"/>
      <c r="E538" s="55" t="s">
        <v>337</v>
      </c>
      <c r="F538" s="52" t="s">
        <v>337</v>
      </c>
      <c r="G538" s="53">
        <v>1</v>
      </c>
      <c r="H538" s="52" t="s">
        <v>62</v>
      </c>
      <c r="I538" s="53">
        <v>89990</v>
      </c>
      <c r="J538" s="53" t="s">
        <v>63</v>
      </c>
      <c r="K538" s="53" t="s">
        <v>64</v>
      </c>
      <c r="L538" s="53" t="s">
        <v>65</v>
      </c>
      <c r="M538" s="53" t="s">
        <v>66</v>
      </c>
      <c r="N538" s="52" t="str">
        <f ca="1">IF(INDIRECT("M538")="Clásica","15%",IF(INDIRECT("M538")="Premium","19%","-"))</f>
        <v>15%</v>
      </c>
      <c r="O538" s="53" t="s">
        <v>67</v>
      </c>
    </row>
    <row r="539" spans="1:15" ht="49.95" customHeight="1">
      <c r="A539" s="52" t="s">
        <v>1342</v>
      </c>
      <c r="B539" s="52" t="s">
        <v>1343</v>
      </c>
      <c r="C539" s="52" t="s">
        <v>1344</v>
      </c>
      <c r="D539" s="52"/>
      <c r="E539" s="55" t="s">
        <v>1345</v>
      </c>
      <c r="F539" s="52" t="s">
        <v>1345</v>
      </c>
      <c r="G539" s="53">
        <v>2</v>
      </c>
      <c r="H539" s="52" t="s">
        <v>62</v>
      </c>
      <c r="I539" s="53">
        <v>15990</v>
      </c>
      <c r="J539" s="53" t="s">
        <v>63</v>
      </c>
      <c r="K539" s="53" t="s">
        <v>64</v>
      </c>
      <c r="L539" s="53" t="s">
        <v>71</v>
      </c>
      <c r="M539" s="53" t="s">
        <v>66</v>
      </c>
      <c r="N539" s="52" t="str">
        <f ca="1">IF(INDIRECT("M539")="Clásica","14%",IF(INDIRECT("M539")="Premium","18%","-"))</f>
        <v>14%</v>
      </c>
      <c r="O539" s="53" t="s">
        <v>67</v>
      </c>
    </row>
    <row r="540" spans="1:15" ht="49.95" customHeight="1">
      <c r="A540" s="52" t="s">
        <v>1346</v>
      </c>
      <c r="B540" s="52" t="s">
        <v>1347</v>
      </c>
      <c r="C540" s="52" t="s">
        <v>1348</v>
      </c>
      <c r="D540" s="52"/>
      <c r="E540" s="55" t="s">
        <v>1349</v>
      </c>
      <c r="F540" s="52" t="s">
        <v>1349</v>
      </c>
      <c r="G540" s="53">
        <v>2</v>
      </c>
      <c r="H540" s="52" t="s">
        <v>62</v>
      </c>
      <c r="I540" s="53">
        <v>15990</v>
      </c>
      <c r="J540" s="53" t="s">
        <v>63</v>
      </c>
      <c r="K540" s="53" t="s">
        <v>64</v>
      </c>
      <c r="L540" s="53" t="s">
        <v>71</v>
      </c>
      <c r="M540" s="53" t="s">
        <v>66</v>
      </c>
      <c r="N540" s="52" t="str">
        <f ca="1">IF(INDIRECT("M540")="Clásica","14%",IF(INDIRECT("M540")="Premium","18%","-"))</f>
        <v>14%</v>
      </c>
      <c r="O540" s="53" t="s">
        <v>67</v>
      </c>
    </row>
    <row r="541" spans="1:15" ht="49.95" customHeight="1">
      <c r="A541" s="52" t="s">
        <v>1350</v>
      </c>
      <c r="B541" s="52" t="s">
        <v>1351</v>
      </c>
      <c r="C541" s="52" t="s">
        <v>1352</v>
      </c>
      <c r="D541" s="52"/>
      <c r="E541" s="55" t="s">
        <v>1353</v>
      </c>
      <c r="F541" s="52" t="s">
        <v>97</v>
      </c>
      <c r="G541" s="53">
        <v>2</v>
      </c>
      <c r="H541" s="52" t="s">
        <v>62</v>
      </c>
      <c r="I541" s="53">
        <v>99990</v>
      </c>
      <c r="J541" s="53" t="s">
        <v>63</v>
      </c>
      <c r="K541" s="53" t="s">
        <v>64</v>
      </c>
      <c r="L541" s="53" t="s">
        <v>65</v>
      </c>
      <c r="M541" s="53" t="s">
        <v>66</v>
      </c>
      <c r="N541" s="52" t="str">
        <f ca="1">IF(INDIRECT("M541")="Clásica","14%",IF(INDIRECT("M541")="Premium","18%","-"))</f>
        <v>14%</v>
      </c>
      <c r="O541" s="53" t="s">
        <v>67</v>
      </c>
    </row>
    <row r="542" spans="1:15" ht="49.95" customHeight="1">
      <c r="A542" s="52" t="s">
        <v>1354</v>
      </c>
      <c r="B542" s="52" t="s">
        <v>1355</v>
      </c>
      <c r="C542" s="52" t="s">
        <v>1356</v>
      </c>
      <c r="D542" s="52"/>
      <c r="E542" s="55" t="s">
        <v>1357</v>
      </c>
      <c r="F542" s="52" t="s">
        <v>1357</v>
      </c>
      <c r="G542" s="53">
        <v>2</v>
      </c>
      <c r="H542" s="52" t="s">
        <v>62</v>
      </c>
      <c r="I542" s="53">
        <v>39990</v>
      </c>
      <c r="J542" s="53" t="s">
        <v>63</v>
      </c>
      <c r="K542" s="53" t="s">
        <v>64</v>
      </c>
      <c r="L542" s="53" t="s">
        <v>65</v>
      </c>
      <c r="M542" s="53" t="s">
        <v>66</v>
      </c>
      <c r="N542" s="52" t="str">
        <f ca="1">IF(INDIRECT("M542")="Clásica","14%",IF(INDIRECT("M542")="Premium","18%","-"))</f>
        <v>14%</v>
      </c>
      <c r="O542" s="53" t="s">
        <v>67</v>
      </c>
    </row>
    <row r="543" spans="1:15" ht="49.95" customHeight="1">
      <c r="A543" s="52" t="s">
        <v>1358</v>
      </c>
      <c r="B543" s="52" t="s">
        <v>1359</v>
      </c>
      <c r="C543" s="52" t="s">
        <v>1360</v>
      </c>
      <c r="D543" s="52"/>
      <c r="E543" s="55" t="s">
        <v>1361</v>
      </c>
      <c r="F543" s="52" t="s">
        <v>1361</v>
      </c>
      <c r="G543" s="53">
        <v>2</v>
      </c>
      <c r="H543" s="52" t="s">
        <v>62</v>
      </c>
      <c r="I543" s="53">
        <v>37990</v>
      </c>
      <c r="J543" s="53" t="s">
        <v>63</v>
      </c>
      <c r="K543" s="53" t="s">
        <v>64</v>
      </c>
      <c r="L543" s="53" t="s">
        <v>65</v>
      </c>
      <c r="M543" s="53" t="s">
        <v>66</v>
      </c>
      <c r="N543" s="52" t="str">
        <f ca="1">IF(INDIRECT("M543")="Clásica","14%",IF(INDIRECT("M543")="Premium","18%","-"))</f>
        <v>14%</v>
      </c>
      <c r="O543" s="53" t="s">
        <v>67</v>
      </c>
    </row>
    <row r="544" spans="1:15" ht="49.95" customHeight="1">
      <c r="A544" s="52" t="s">
        <v>1362</v>
      </c>
      <c r="B544" s="52" t="s">
        <v>1363</v>
      </c>
      <c r="C544" s="52" t="s">
        <v>1364</v>
      </c>
      <c r="D544" s="52"/>
      <c r="E544" s="55" t="s">
        <v>1365</v>
      </c>
      <c r="F544" s="52" t="s">
        <v>1365</v>
      </c>
      <c r="G544" s="53">
        <v>2</v>
      </c>
      <c r="H544" s="52" t="s">
        <v>62</v>
      </c>
      <c r="I544" s="53">
        <v>37990</v>
      </c>
      <c r="J544" s="53" t="s">
        <v>63</v>
      </c>
      <c r="K544" s="53" t="s">
        <v>64</v>
      </c>
      <c r="L544" s="53" t="s">
        <v>65</v>
      </c>
      <c r="M544" s="53" t="s">
        <v>66</v>
      </c>
      <c r="N544" s="52" t="str">
        <f ca="1">IF(INDIRECT("M544")="Clásica","14%",IF(INDIRECT("M544")="Premium","18%","-"))</f>
        <v>14%</v>
      </c>
      <c r="O544" s="53" t="s">
        <v>67</v>
      </c>
    </row>
    <row r="545" spans="1:15" ht="49.95" customHeight="1">
      <c r="A545" s="52" t="s">
        <v>24</v>
      </c>
      <c r="B545" s="52" t="s">
        <v>1366</v>
      </c>
      <c r="C545" s="52"/>
      <c r="D545" s="52"/>
      <c r="E545" s="55" t="s">
        <v>1367</v>
      </c>
      <c r="F545" s="52" t="s">
        <v>62</v>
      </c>
      <c r="G545" s="52" t="s">
        <v>143</v>
      </c>
      <c r="H545" s="52" t="s">
        <v>62</v>
      </c>
      <c r="I545" s="53">
        <v>34990</v>
      </c>
      <c r="J545" s="53" t="s">
        <v>63</v>
      </c>
      <c r="K545" s="53" t="s">
        <v>64</v>
      </c>
      <c r="L545" s="52" t="s">
        <v>158</v>
      </c>
      <c r="M545" s="53" t="s">
        <v>66</v>
      </c>
      <c r="N545" s="52" t="str">
        <f ca="1">IF(INDIRECT("M545")="Clásica","15%",IF(INDIRECT("M545")="Premium","19%","-"))</f>
        <v>15%</v>
      </c>
      <c r="O545" s="53" t="s">
        <v>67</v>
      </c>
    </row>
    <row r="546" spans="1:15" ht="49.95" customHeight="1">
      <c r="A546" s="52" t="s">
        <v>24</v>
      </c>
      <c r="B546" s="52" t="s">
        <v>1366</v>
      </c>
      <c r="C546" s="52" t="s">
        <v>1368</v>
      </c>
      <c r="D546" s="52" t="s">
        <v>1368</v>
      </c>
      <c r="E546" s="54" t="str">
        <f>"     "&amp;E545</f>
        <v xml:space="preserve">     Set 3 Tapas Depósito Líquido Freno Tapón Yamaha R3 R3a</v>
      </c>
      <c r="F546" s="52" t="s">
        <v>84</v>
      </c>
      <c r="G546" s="53">
        <v>2</v>
      </c>
      <c r="H546" s="52" t="s">
        <v>62</v>
      </c>
      <c r="I546" s="52">
        <f>I545</f>
        <v>34990</v>
      </c>
      <c r="J546" s="52" t="str">
        <f>J545&amp;"     "</f>
        <v xml:space="preserve">$     </v>
      </c>
      <c r="K546" s="52" t="str">
        <f>K545&amp;"     "</f>
        <v xml:space="preserve">Nuevo     </v>
      </c>
      <c r="L546" s="52" t="str">
        <f>L545&amp;"     "</f>
        <v xml:space="preserve">No disponible     </v>
      </c>
      <c r="M546" s="52" t="str">
        <f>M545&amp;"     "</f>
        <v xml:space="preserve">Clásica     </v>
      </c>
      <c r="N546" s="52" t="str">
        <f ca="1">N545</f>
        <v>15%</v>
      </c>
      <c r="O546" s="52" t="str">
        <f>O545&amp;"     "</f>
        <v xml:space="preserve">Activa     </v>
      </c>
    </row>
    <row r="547" spans="1:15" ht="49.95" customHeight="1">
      <c r="A547" s="52" t="s">
        <v>24</v>
      </c>
      <c r="B547" s="52" t="s">
        <v>1366</v>
      </c>
      <c r="C547" s="52" t="s">
        <v>1369</v>
      </c>
      <c r="D547" s="52" t="s">
        <v>1369</v>
      </c>
      <c r="E547" s="54" t="str">
        <f>"     "&amp;E545</f>
        <v xml:space="preserve">     Set 3 Tapas Depósito Líquido Freno Tapón Yamaha R3 R3a</v>
      </c>
      <c r="F547" s="52" t="s">
        <v>86</v>
      </c>
      <c r="G547" s="53">
        <v>2</v>
      </c>
      <c r="H547" s="52" t="s">
        <v>62</v>
      </c>
      <c r="I547" s="52">
        <f>I545</f>
        <v>34990</v>
      </c>
      <c r="J547" s="52" t="str">
        <f>J545&amp;"     "</f>
        <v xml:space="preserve">$     </v>
      </c>
      <c r="K547" s="52" t="str">
        <f>K545&amp;"     "</f>
        <v xml:space="preserve">Nuevo     </v>
      </c>
      <c r="L547" s="52" t="str">
        <f>L545&amp;"     "</f>
        <v xml:space="preserve">No disponible     </v>
      </c>
      <c r="M547" s="52" t="str">
        <f>M545&amp;"     "</f>
        <v xml:space="preserve">Clásica     </v>
      </c>
      <c r="N547" s="52" t="str">
        <f ca="1">N545</f>
        <v>15%</v>
      </c>
      <c r="O547" s="52" t="str">
        <f>O545&amp;"     "</f>
        <v xml:space="preserve">Activa     </v>
      </c>
    </row>
    <row r="548" spans="1:15" ht="49.95" customHeight="1">
      <c r="A548" s="52" t="s">
        <v>1160</v>
      </c>
      <c r="B548" s="52" t="s">
        <v>1370</v>
      </c>
      <c r="C548" s="52" t="s">
        <v>1371</v>
      </c>
      <c r="D548" s="52"/>
      <c r="E548" s="55" t="s">
        <v>1163</v>
      </c>
      <c r="F548" s="52" t="s">
        <v>86</v>
      </c>
      <c r="G548" s="53">
        <v>2</v>
      </c>
      <c r="H548" s="52" t="s">
        <v>62</v>
      </c>
      <c r="I548" s="53">
        <v>81990</v>
      </c>
      <c r="J548" s="53" t="s">
        <v>63</v>
      </c>
      <c r="K548" s="53" t="s">
        <v>64</v>
      </c>
      <c r="L548" s="53" t="s">
        <v>65</v>
      </c>
      <c r="M548" s="53" t="s">
        <v>66</v>
      </c>
      <c r="N548" s="52" t="str">
        <f ca="1">IF(INDIRECT("M548")="Clásica","15%",IF(INDIRECT("M548")="Premium","19%","-"))</f>
        <v>15%</v>
      </c>
      <c r="O548" s="53" t="s">
        <v>67</v>
      </c>
    </row>
    <row r="549" spans="1:15" ht="49.95" customHeight="1">
      <c r="A549" s="52" t="s">
        <v>1372</v>
      </c>
      <c r="B549" s="52" t="s">
        <v>1373</v>
      </c>
      <c r="C549" s="52" t="s">
        <v>1374</v>
      </c>
      <c r="D549" s="52"/>
      <c r="E549" s="55" t="s">
        <v>1375</v>
      </c>
      <c r="F549" s="52" t="s">
        <v>1375</v>
      </c>
      <c r="G549" s="53">
        <v>2</v>
      </c>
      <c r="H549" s="52" t="s">
        <v>62</v>
      </c>
      <c r="I549" s="53">
        <v>93990</v>
      </c>
      <c r="J549" s="53" t="s">
        <v>63</v>
      </c>
      <c r="K549" s="53" t="s">
        <v>64</v>
      </c>
      <c r="L549" s="53" t="s">
        <v>65</v>
      </c>
      <c r="M549" s="53" t="s">
        <v>66</v>
      </c>
      <c r="N549" s="52" t="str">
        <f ca="1">IF(INDIRECT("M549")="Clásica","14%",IF(INDIRECT("M549")="Premium","18%","-"))</f>
        <v>14%</v>
      </c>
      <c r="O549" s="53" t="s">
        <v>67</v>
      </c>
    </row>
    <row r="550" spans="1:15" ht="49.95" customHeight="1">
      <c r="A550" s="52" t="s">
        <v>1376</v>
      </c>
      <c r="B550" s="52" t="s">
        <v>1377</v>
      </c>
      <c r="C550" s="52" t="s">
        <v>1378</v>
      </c>
      <c r="D550" s="52"/>
      <c r="E550" s="55" t="s">
        <v>1379</v>
      </c>
      <c r="F550" s="52" t="s">
        <v>1379</v>
      </c>
      <c r="G550" s="53">
        <v>2</v>
      </c>
      <c r="H550" s="52" t="s">
        <v>62</v>
      </c>
      <c r="I550" s="53">
        <v>48990</v>
      </c>
      <c r="J550" s="53" t="s">
        <v>63</v>
      </c>
      <c r="K550" s="53" t="s">
        <v>64</v>
      </c>
      <c r="L550" s="53" t="s">
        <v>65</v>
      </c>
      <c r="M550" s="53" t="s">
        <v>66</v>
      </c>
      <c r="N550" s="52" t="str">
        <f ca="1">IF(INDIRECT("M550")="Clásica","14%",IF(INDIRECT("M550")="Premium","18%","-"))</f>
        <v>14%</v>
      </c>
      <c r="O550" s="53" t="s">
        <v>67</v>
      </c>
    </row>
    <row r="551" spans="1:15" ht="49.95" customHeight="1">
      <c r="A551" s="52" t="s">
        <v>1380</v>
      </c>
      <c r="B551" s="52" t="s">
        <v>1381</v>
      </c>
      <c r="C551" s="52" t="s">
        <v>1382</v>
      </c>
      <c r="D551" s="52"/>
      <c r="E551" s="55" t="s">
        <v>1383</v>
      </c>
      <c r="F551" s="52" t="s">
        <v>1383</v>
      </c>
      <c r="G551" s="53">
        <v>2</v>
      </c>
      <c r="H551" s="52" t="s">
        <v>62</v>
      </c>
      <c r="I551" s="53">
        <v>63990</v>
      </c>
      <c r="J551" s="53" t="s">
        <v>63</v>
      </c>
      <c r="K551" s="53" t="s">
        <v>64</v>
      </c>
      <c r="L551" s="53" t="s">
        <v>65</v>
      </c>
      <c r="M551" s="53" t="s">
        <v>66</v>
      </c>
      <c r="N551" s="52" t="str">
        <f ca="1">IF(INDIRECT("M551")="Clásica","14%",IF(INDIRECT("M551")="Premium","18%","-"))</f>
        <v>14%</v>
      </c>
      <c r="O551" s="53" t="s">
        <v>67</v>
      </c>
    </row>
    <row r="552" spans="1:15" ht="49.95" customHeight="1">
      <c r="A552" s="52" t="s">
        <v>1384</v>
      </c>
      <c r="B552" s="52" t="s">
        <v>1385</v>
      </c>
      <c r="C552" s="52" t="s">
        <v>1386</v>
      </c>
      <c r="D552" s="52"/>
      <c r="E552" s="55" t="s">
        <v>698</v>
      </c>
      <c r="F552" s="52" t="s">
        <v>698</v>
      </c>
      <c r="G552" s="53">
        <v>1</v>
      </c>
      <c r="H552" s="52" t="s">
        <v>62</v>
      </c>
      <c r="I552" s="53">
        <v>19490</v>
      </c>
      <c r="J552" s="53" t="s">
        <v>63</v>
      </c>
      <c r="K552" s="53" t="s">
        <v>64</v>
      </c>
      <c r="L552" s="53" t="s">
        <v>71</v>
      </c>
      <c r="M552" s="53" t="s">
        <v>66</v>
      </c>
      <c r="N552" s="52" t="str">
        <f ca="1">IF(INDIRECT("M552")="Clásica","14%",IF(INDIRECT("M552")="Premium","18%","-"))</f>
        <v>14%</v>
      </c>
      <c r="O552" s="53" t="s">
        <v>67</v>
      </c>
    </row>
    <row r="553" spans="1:15" ht="49.95" customHeight="1">
      <c r="A553" s="52" t="s">
        <v>1387</v>
      </c>
      <c r="B553" s="52" t="s">
        <v>1388</v>
      </c>
      <c r="C553" s="52" t="s">
        <v>1389</v>
      </c>
      <c r="D553" s="52"/>
      <c r="E553" s="55" t="s">
        <v>1390</v>
      </c>
      <c r="F553" s="52" t="s">
        <v>1390</v>
      </c>
      <c r="G553" s="53">
        <v>2</v>
      </c>
      <c r="H553" s="52" t="s">
        <v>62</v>
      </c>
      <c r="I553" s="53">
        <v>81990</v>
      </c>
      <c r="J553" s="53" t="s">
        <v>63</v>
      </c>
      <c r="K553" s="53" t="s">
        <v>64</v>
      </c>
      <c r="L553" s="53" t="s">
        <v>65</v>
      </c>
      <c r="M553" s="53" t="s">
        <v>66</v>
      </c>
      <c r="N553" s="52" t="str">
        <f ca="1">IF(INDIRECT("M553")="Clásica","15%",IF(INDIRECT("M553")="Premium","19%","-"))</f>
        <v>15%</v>
      </c>
      <c r="O553" s="53" t="s">
        <v>67</v>
      </c>
    </row>
    <row r="554" spans="1:15" ht="49.95" customHeight="1">
      <c r="A554" s="52" t="s">
        <v>981</v>
      </c>
      <c r="B554" s="52" t="s">
        <v>1391</v>
      </c>
      <c r="C554" s="52" t="s">
        <v>983</v>
      </c>
      <c r="D554" s="52"/>
      <c r="E554" s="55" t="s">
        <v>1392</v>
      </c>
      <c r="F554" s="52" t="s">
        <v>1392</v>
      </c>
      <c r="G554" s="53">
        <v>6</v>
      </c>
      <c r="H554" s="52" t="s">
        <v>62</v>
      </c>
      <c r="I554" s="53">
        <v>22990</v>
      </c>
      <c r="J554" s="53" t="s">
        <v>63</v>
      </c>
      <c r="K554" s="53" t="s">
        <v>64</v>
      </c>
      <c r="L554" s="53" t="s">
        <v>65</v>
      </c>
      <c r="M554" s="53" t="s">
        <v>66</v>
      </c>
      <c r="N554" s="52" t="str">
        <f ca="1">IF(INDIRECT("M554")="Clásica","15%",IF(INDIRECT("M554")="Premium","19%","-"))</f>
        <v>15%</v>
      </c>
      <c r="O554" s="53" t="s">
        <v>67</v>
      </c>
    </row>
    <row r="555" spans="1:15" ht="49.95" customHeight="1">
      <c r="A555" s="52" t="s">
        <v>1393</v>
      </c>
      <c r="B555" s="52" t="s">
        <v>1394</v>
      </c>
      <c r="C555" s="52" t="s">
        <v>1395</v>
      </c>
      <c r="D555" s="52"/>
      <c r="E555" s="55" t="s">
        <v>1396</v>
      </c>
      <c r="F555" s="52" t="s">
        <v>1396</v>
      </c>
      <c r="G555" s="53">
        <v>2</v>
      </c>
      <c r="H555" s="52" t="s">
        <v>62</v>
      </c>
      <c r="I555" s="53">
        <v>83990</v>
      </c>
      <c r="J555" s="53" t="s">
        <v>63</v>
      </c>
      <c r="K555" s="53" t="s">
        <v>64</v>
      </c>
      <c r="L555" s="53" t="s">
        <v>65</v>
      </c>
      <c r="M555" s="53" t="s">
        <v>66</v>
      </c>
      <c r="N555" s="52" t="str">
        <f ca="1">IF(INDIRECT("M555")="Clásica","15%",IF(INDIRECT("M555")="Premium","19%","-"))</f>
        <v>15%</v>
      </c>
      <c r="O555" s="53" t="s">
        <v>67</v>
      </c>
    </row>
    <row r="556" spans="1:15" ht="49.95" customHeight="1">
      <c r="A556" s="52" t="s">
        <v>1397</v>
      </c>
      <c r="B556" s="52" t="s">
        <v>1398</v>
      </c>
      <c r="C556" s="52" t="s">
        <v>1399</v>
      </c>
      <c r="D556" s="52"/>
      <c r="E556" s="55" t="s">
        <v>1400</v>
      </c>
      <c r="F556" s="52" t="s">
        <v>1400</v>
      </c>
      <c r="G556" s="53">
        <v>2</v>
      </c>
      <c r="H556" s="52" t="s">
        <v>62</v>
      </c>
      <c r="I556" s="53">
        <v>84990</v>
      </c>
      <c r="J556" s="53" t="s">
        <v>63</v>
      </c>
      <c r="K556" s="53" t="s">
        <v>64</v>
      </c>
      <c r="L556" s="53" t="s">
        <v>65</v>
      </c>
      <c r="M556" s="53" t="s">
        <v>66</v>
      </c>
      <c r="N556" s="52" t="str">
        <f ca="1">IF(INDIRECT("M556")="Clásica","15%",IF(INDIRECT("M556")="Premium","19%","-"))</f>
        <v>15%</v>
      </c>
      <c r="O556" s="53" t="s">
        <v>67</v>
      </c>
    </row>
    <row r="557" spans="1:15" ht="49.95" customHeight="1">
      <c r="A557" s="52" t="s">
        <v>1401</v>
      </c>
      <c r="B557" s="52" t="s">
        <v>1402</v>
      </c>
      <c r="C557" s="52" t="s">
        <v>1403</v>
      </c>
      <c r="D557" s="52"/>
      <c r="E557" s="55" t="s">
        <v>1404</v>
      </c>
      <c r="F557" s="52" t="s">
        <v>1404</v>
      </c>
      <c r="G557" s="53">
        <v>2</v>
      </c>
      <c r="H557" s="52" t="s">
        <v>62</v>
      </c>
      <c r="I557" s="53">
        <v>83990</v>
      </c>
      <c r="J557" s="53" t="s">
        <v>63</v>
      </c>
      <c r="K557" s="53" t="s">
        <v>64</v>
      </c>
      <c r="L557" s="53" t="s">
        <v>65</v>
      </c>
      <c r="M557" s="53" t="s">
        <v>66</v>
      </c>
      <c r="N557" s="52" t="str">
        <f ca="1">IF(INDIRECT("M557")="Clásica","15%",IF(INDIRECT("M557")="Premium","19%","-"))</f>
        <v>15%</v>
      </c>
      <c r="O557" s="53" t="s">
        <v>67</v>
      </c>
    </row>
    <row r="558" spans="1:15" ht="49.95" customHeight="1">
      <c r="A558" s="52" t="s">
        <v>1405</v>
      </c>
      <c r="B558" s="52" t="s">
        <v>1406</v>
      </c>
      <c r="C558" s="52" t="s">
        <v>1407</v>
      </c>
      <c r="D558" s="52"/>
      <c r="E558" s="55" t="s">
        <v>1408</v>
      </c>
      <c r="F558" s="52" t="s">
        <v>1408</v>
      </c>
      <c r="G558" s="53">
        <v>2</v>
      </c>
      <c r="H558" s="52" t="s">
        <v>62</v>
      </c>
      <c r="I558" s="53">
        <v>69990</v>
      </c>
      <c r="J558" s="53" t="s">
        <v>63</v>
      </c>
      <c r="K558" s="53" t="s">
        <v>64</v>
      </c>
      <c r="L558" s="52" t="s">
        <v>158</v>
      </c>
      <c r="M558" s="53" t="s">
        <v>66</v>
      </c>
      <c r="N558" s="52" t="str">
        <f ca="1">IF(INDIRECT("M558")="Clásica","15%",IF(INDIRECT("M558")="Premium","19%","-"))</f>
        <v>15%</v>
      </c>
      <c r="O558" s="53" t="s">
        <v>67</v>
      </c>
    </row>
    <row r="559" spans="1:15" ht="49.95" customHeight="1">
      <c r="A559" s="52" t="s">
        <v>799</v>
      </c>
      <c r="B559" s="52" t="s">
        <v>1409</v>
      </c>
      <c r="C559" s="52" t="s">
        <v>801</v>
      </c>
      <c r="D559" s="52"/>
      <c r="E559" s="55" t="s">
        <v>1410</v>
      </c>
      <c r="F559" s="52" t="s">
        <v>1410</v>
      </c>
      <c r="G559" s="53">
        <v>3</v>
      </c>
      <c r="H559" s="52" t="s">
        <v>62</v>
      </c>
      <c r="I559" s="53">
        <v>69990</v>
      </c>
      <c r="J559" s="53" t="s">
        <v>63</v>
      </c>
      <c r="K559" s="53" t="s">
        <v>64</v>
      </c>
      <c r="L559" s="53" t="s">
        <v>65</v>
      </c>
      <c r="M559" s="53" t="s">
        <v>66</v>
      </c>
      <c r="N559" s="52" t="str">
        <f ca="1">IF(INDIRECT("M559")="Clásica","15%",IF(INDIRECT("M559")="Premium","19%","-"))</f>
        <v>15%</v>
      </c>
      <c r="O559" s="53" t="s">
        <v>67</v>
      </c>
    </row>
    <row r="560" spans="1:15" ht="49.95" customHeight="1">
      <c r="A560" s="52" t="s">
        <v>1411</v>
      </c>
      <c r="B560" s="52" t="s">
        <v>1412</v>
      </c>
      <c r="C560" s="52" t="s">
        <v>1413</v>
      </c>
      <c r="D560" s="52"/>
      <c r="E560" s="55" t="s">
        <v>1414</v>
      </c>
      <c r="F560" s="52" t="s">
        <v>1414</v>
      </c>
      <c r="G560" s="53">
        <v>2</v>
      </c>
      <c r="H560" s="52" t="s">
        <v>62</v>
      </c>
      <c r="I560" s="53">
        <v>67990</v>
      </c>
      <c r="J560" s="53" t="s">
        <v>63</v>
      </c>
      <c r="K560" s="53" t="s">
        <v>64</v>
      </c>
      <c r="L560" s="53" t="s">
        <v>65</v>
      </c>
      <c r="M560" s="53" t="s">
        <v>66</v>
      </c>
      <c r="N560" s="52" t="str">
        <f ca="1">IF(INDIRECT("M560")="Clásica","15%",IF(INDIRECT("M560")="Premium","19%","-"))</f>
        <v>15%</v>
      </c>
      <c r="O560" s="53" t="s">
        <v>67</v>
      </c>
    </row>
    <row r="561" spans="1:15" ht="49.95" customHeight="1">
      <c r="A561" s="52" t="s">
        <v>1415</v>
      </c>
      <c r="B561" s="52" t="s">
        <v>1416</v>
      </c>
      <c r="C561" s="52" t="s">
        <v>1417</v>
      </c>
      <c r="D561" s="52"/>
      <c r="E561" s="55" t="s">
        <v>1418</v>
      </c>
      <c r="F561" s="52" t="s">
        <v>1418</v>
      </c>
      <c r="G561" s="53">
        <v>2</v>
      </c>
      <c r="H561" s="52" t="s">
        <v>62</v>
      </c>
      <c r="I561" s="53">
        <v>95990</v>
      </c>
      <c r="J561" s="53" t="s">
        <v>63</v>
      </c>
      <c r="K561" s="53" t="s">
        <v>64</v>
      </c>
      <c r="L561" s="53" t="s">
        <v>65</v>
      </c>
      <c r="M561" s="53" t="s">
        <v>66</v>
      </c>
      <c r="N561" s="52" t="str">
        <f ca="1">IF(INDIRECT("M561")="Clásica","14%",IF(INDIRECT("M561")="Premium","18%","-"))</f>
        <v>14%</v>
      </c>
      <c r="O561" s="53" t="s">
        <v>67</v>
      </c>
    </row>
    <row r="562" spans="1:15" ht="49.95" customHeight="1">
      <c r="A562" s="52" t="s">
        <v>1419</v>
      </c>
      <c r="B562" s="52" t="s">
        <v>1420</v>
      </c>
      <c r="C562" s="52" t="s">
        <v>1421</v>
      </c>
      <c r="D562" s="52"/>
      <c r="E562" s="55" t="s">
        <v>1422</v>
      </c>
      <c r="F562" s="52" t="s">
        <v>1422</v>
      </c>
      <c r="G562" s="53">
        <v>5</v>
      </c>
      <c r="H562" s="52" t="s">
        <v>62</v>
      </c>
      <c r="I562" s="53">
        <v>19490</v>
      </c>
      <c r="J562" s="53" t="s">
        <v>63</v>
      </c>
      <c r="K562" s="53" t="s">
        <v>64</v>
      </c>
      <c r="L562" s="53" t="s">
        <v>71</v>
      </c>
      <c r="M562" s="53" t="s">
        <v>66</v>
      </c>
      <c r="N562" s="52" t="str">
        <f ca="1">IF(INDIRECT("M562")="Clásica","15%",IF(INDIRECT("M562")="Premium","19%","-"))</f>
        <v>15%</v>
      </c>
      <c r="O562" s="53" t="s">
        <v>67</v>
      </c>
    </row>
    <row r="563" spans="1:15" ht="49.95" customHeight="1">
      <c r="A563" s="52" t="s">
        <v>1423</v>
      </c>
      <c r="B563" s="52" t="s">
        <v>1424</v>
      </c>
      <c r="C563" s="52" t="s">
        <v>1425</v>
      </c>
      <c r="D563" s="52"/>
      <c r="E563" s="52" t="s">
        <v>1426</v>
      </c>
      <c r="F563" s="52" t="s">
        <v>62</v>
      </c>
      <c r="G563" s="53">
        <v>6</v>
      </c>
      <c r="H563" s="52" t="s">
        <v>62</v>
      </c>
      <c r="I563" s="53">
        <v>22990</v>
      </c>
      <c r="J563" s="53" t="s">
        <v>63</v>
      </c>
      <c r="K563" s="52" t="s">
        <v>64</v>
      </c>
      <c r="L563" s="53" t="s">
        <v>65</v>
      </c>
      <c r="M563" s="53" t="s">
        <v>66</v>
      </c>
      <c r="N563" s="52" t="str">
        <f ca="1">IF(INDIRECT("M563")="Clásica","15%",IF(INDIRECT("M563")="Premium","19%","-"))</f>
        <v>15%</v>
      </c>
      <c r="O563" s="53" t="s">
        <v>67</v>
      </c>
    </row>
    <row r="564" spans="1:15" ht="49.95" customHeight="1">
      <c r="A564" s="52" t="s">
        <v>1423</v>
      </c>
      <c r="B564" s="52" t="s">
        <v>1427</v>
      </c>
      <c r="C564" s="52" t="s">
        <v>1425</v>
      </c>
      <c r="D564" s="52"/>
      <c r="E564" s="55" t="s">
        <v>1428</v>
      </c>
      <c r="F564" s="52" t="s">
        <v>1428</v>
      </c>
      <c r="G564" s="53">
        <v>6</v>
      </c>
      <c r="H564" s="52" t="s">
        <v>62</v>
      </c>
      <c r="I564" s="53">
        <v>22990</v>
      </c>
      <c r="J564" s="53" t="s">
        <v>63</v>
      </c>
      <c r="K564" s="53" t="s">
        <v>64</v>
      </c>
      <c r="L564" s="53" t="s">
        <v>65</v>
      </c>
      <c r="M564" s="53" t="s">
        <v>66</v>
      </c>
      <c r="N564" s="52" t="str">
        <f ca="1">IF(INDIRECT("M564")="Clásica","15%",IF(INDIRECT("M564")="Premium","19%","-"))</f>
        <v>15%</v>
      </c>
      <c r="O564" s="53" t="s">
        <v>67</v>
      </c>
    </row>
    <row r="565" spans="1:15" ht="49.95" customHeight="1">
      <c r="A565" s="52" t="s">
        <v>1429</v>
      </c>
      <c r="B565" s="52" t="s">
        <v>1430</v>
      </c>
      <c r="C565" s="52" t="s">
        <v>1431</v>
      </c>
      <c r="D565" s="52"/>
      <c r="E565" s="55" t="s">
        <v>1432</v>
      </c>
      <c r="F565" s="52" t="s">
        <v>936</v>
      </c>
      <c r="G565" s="53">
        <v>2</v>
      </c>
      <c r="H565" s="52" t="s">
        <v>62</v>
      </c>
      <c r="I565" s="53">
        <v>83990</v>
      </c>
      <c r="J565" s="53" t="s">
        <v>63</v>
      </c>
      <c r="K565" s="53" t="s">
        <v>64</v>
      </c>
      <c r="L565" s="53" t="s">
        <v>65</v>
      </c>
      <c r="M565" s="53" t="s">
        <v>66</v>
      </c>
      <c r="N565" s="52" t="str">
        <f ca="1">IF(INDIRECT("M565")="Clásica","14%",IF(INDIRECT("M565")="Premium","18%","-"))</f>
        <v>14%</v>
      </c>
      <c r="O565" s="53" t="s">
        <v>67</v>
      </c>
    </row>
    <row r="566" spans="1:15" ht="49.95" customHeight="1">
      <c r="A566" s="52" t="s">
        <v>1433</v>
      </c>
      <c r="B566" s="52" t="s">
        <v>1434</v>
      </c>
      <c r="C566" s="52" t="s">
        <v>1435</v>
      </c>
      <c r="D566" s="52"/>
      <c r="E566" s="55" t="s">
        <v>1436</v>
      </c>
      <c r="F566" s="52" t="s">
        <v>1436</v>
      </c>
      <c r="G566" s="53">
        <v>2</v>
      </c>
      <c r="H566" s="52" t="s">
        <v>62</v>
      </c>
      <c r="I566" s="53">
        <v>23990</v>
      </c>
      <c r="J566" s="53" t="s">
        <v>63</v>
      </c>
      <c r="K566" s="53" t="s">
        <v>64</v>
      </c>
      <c r="L566" s="53" t="s">
        <v>65</v>
      </c>
      <c r="M566" s="53" t="s">
        <v>66</v>
      </c>
      <c r="N566" s="52" t="str">
        <f ca="1">IF(INDIRECT("M566")="Clásica","14%",IF(INDIRECT("M566")="Premium","18%","-"))</f>
        <v>14%</v>
      </c>
      <c r="O566" s="53" t="s">
        <v>67</v>
      </c>
    </row>
    <row r="567" spans="1:15" ht="49.95" customHeight="1">
      <c r="A567" s="52" t="s">
        <v>1437</v>
      </c>
      <c r="B567" s="52" t="s">
        <v>1438</v>
      </c>
      <c r="C567" s="52" t="s">
        <v>1439</v>
      </c>
      <c r="D567" s="52"/>
      <c r="E567" s="55" t="s">
        <v>1440</v>
      </c>
      <c r="F567" s="52" t="s">
        <v>1440</v>
      </c>
      <c r="G567" s="53">
        <v>2</v>
      </c>
      <c r="H567" s="52" t="s">
        <v>62</v>
      </c>
      <c r="I567" s="53">
        <v>17990</v>
      </c>
      <c r="J567" s="53" t="s">
        <v>63</v>
      </c>
      <c r="K567" s="53" t="s">
        <v>64</v>
      </c>
      <c r="L567" s="53" t="s">
        <v>71</v>
      </c>
      <c r="M567" s="53" t="s">
        <v>66</v>
      </c>
      <c r="N567" s="52" t="str">
        <f ca="1">IF(INDIRECT("M567")="Clásica","14%",IF(INDIRECT("M567")="Premium","18%","-"))</f>
        <v>14%</v>
      </c>
      <c r="O567" s="53" t="s">
        <v>67</v>
      </c>
    </row>
    <row r="568" spans="1:15" ht="49.95" customHeight="1">
      <c r="A568" s="52" t="s">
        <v>1441</v>
      </c>
      <c r="B568" s="52" t="s">
        <v>1442</v>
      </c>
      <c r="C568" s="52" t="s">
        <v>1443</v>
      </c>
      <c r="D568" s="52"/>
      <c r="E568" s="55" t="s">
        <v>1444</v>
      </c>
      <c r="F568" s="52" t="s">
        <v>1444</v>
      </c>
      <c r="G568" s="53">
        <v>2</v>
      </c>
      <c r="H568" s="52" t="s">
        <v>62</v>
      </c>
      <c r="I568" s="53">
        <v>13990</v>
      </c>
      <c r="J568" s="53" t="s">
        <v>63</v>
      </c>
      <c r="K568" s="53" t="s">
        <v>64</v>
      </c>
      <c r="L568" s="53" t="s">
        <v>71</v>
      </c>
      <c r="M568" s="53" t="s">
        <v>66</v>
      </c>
      <c r="N568" s="52" t="str">
        <f ca="1">IF(INDIRECT("M568")="Clásica","14%",IF(INDIRECT("M568")="Premium","18%","-"))</f>
        <v>14%</v>
      </c>
      <c r="O568" s="53" t="s">
        <v>67</v>
      </c>
    </row>
    <row r="569" spans="1:15" ht="49.95" customHeight="1">
      <c r="A569" s="52" t="s">
        <v>1445</v>
      </c>
      <c r="B569" s="52" t="s">
        <v>1446</v>
      </c>
      <c r="C569" s="52" t="s">
        <v>1447</v>
      </c>
      <c r="D569" s="52"/>
      <c r="E569" s="55" t="s">
        <v>1448</v>
      </c>
      <c r="F569" s="52" t="s">
        <v>1448</v>
      </c>
      <c r="G569" s="53">
        <v>2</v>
      </c>
      <c r="H569" s="52" t="s">
        <v>62</v>
      </c>
      <c r="I569" s="53">
        <v>372990</v>
      </c>
      <c r="J569" s="53" t="s">
        <v>63</v>
      </c>
      <c r="K569" s="53" t="s">
        <v>64</v>
      </c>
      <c r="L569" s="53" t="s">
        <v>65</v>
      </c>
      <c r="M569" s="53" t="s">
        <v>66</v>
      </c>
      <c r="N569" s="52" t="str">
        <f ca="1">IF(INDIRECT("M569")="Clásica","15%",IF(INDIRECT("M569")="Premium","19%","-"))</f>
        <v>15%</v>
      </c>
      <c r="O569" s="53" t="s">
        <v>67</v>
      </c>
    </row>
    <row r="570" spans="1:15" ht="49.95" customHeight="1">
      <c r="A570" s="52" t="s">
        <v>1449</v>
      </c>
      <c r="B570" s="52" t="s">
        <v>1450</v>
      </c>
      <c r="C570" s="52" t="s">
        <v>1451</v>
      </c>
      <c r="D570" s="52"/>
      <c r="E570" s="55" t="s">
        <v>1452</v>
      </c>
      <c r="F570" s="52" t="s">
        <v>1452</v>
      </c>
      <c r="G570" s="53">
        <v>2</v>
      </c>
      <c r="H570" s="52" t="s">
        <v>62</v>
      </c>
      <c r="I570" s="53">
        <v>62990</v>
      </c>
      <c r="J570" s="53" t="s">
        <v>63</v>
      </c>
      <c r="K570" s="53" t="s">
        <v>64</v>
      </c>
      <c r="L570" s="53" t="s">
        <v>65</v>
      </c>
      <c r="M570" s="53" t="s">
        <v>66</v>
      </c>
      <c r="N570" s="52" t="str">
        <f ca="1">IF(INDIRECT("M570")="Clásica","14%",IF(INDIRECT("M570")="Premium","18%","-"))</f>
        <v>14%</v>
      </c>
      <c r="O570" s="53" t="s">
        <v>67</v>
      </c>
    </row>
    <row r="571" spans="1:15" ht="49.95" customHeight="1">
      <c r="A571" s="52" t="s">
        <v>945</v>
      </c>
      <c r="B571" s="52" t="s">
        <v>1453</v>
      </c>
      <c r="C571" s="52" t="s">
        <v>1454</v>
      </c>
      <c r="D571" s="52"/>
      <c r="E571" s="52" t="s">
        <v>948</v>
      </c>
      <c r="F571" s="52" t="s">
        <v>948</v>
      </c>
      <c r="G571" s="53">
        <v>0</v>
      </c>
      <c r="H571" s="52" t="s">
        <v>62</v>
      </c>
      <c r="I571" s="53">
        <v>13990</v>
      </c>
      <c r="J571" s="53" t="s">
        <v>63</v>
      </c>
      <c r="K571" s="53" t="s">
        <v>64</v>
      </c>
      <c r="L571" s="53" t="s">
        <v>71</v>
      </c>
      <c r="M571" s="53" t="s">
        <v>66</v>
      </c>
      <c r="N571" s="52" t="str">
        <f ca="1">IF(INDIRECT("M571")="Clásica","14%",IF(INDIRECT("M571")="Premium","18%","-"))</f>
        <v>14%</v>
      </c>
      <c r="O571" s="53" t="s">
        <v>1455</v>
      </c>
    </row>
    <row r="572" spans="1:15" ht="49.95" customHeight="1">
      <c r="A572" s="52" t="s">
        <v>1456</v>
      </c>
      <c r="B572" s="52" t="s">
        <v>1457</v>
      </c>
      <c r="C572" s="52" t="s">
        <v>1458</v>
      </c>
      <c r="D572" s="52"/>
      <c r="E572" s="52" t="s">
        <v>1459</v>
      </c>
      <c r="F572" s="52" t="s">
        <v>1459</v>
      </c>
      <c r="G572" s="53">
        <v>0</v>
      </c>
      <c r="H572" s="52" t="s">
        <v>62</v>
      </c>
      <c r="I572" s="53">
        <v>69990</v>
      </c>
      <c r="J572" s="53" t="s">
        <v>63</v>
      </c>
      <c r="K572" s="53" t="s">
        <v>64</v>
      </c>
      <c r="L572" s="53" t="s">
        <v>65</v>
      </c>
      <c r="M572" s="53" t="s">
        <v>66</v>
      </c>
      <c r="N572" s="52" t="str">
        <f ca="1">IF(INDIRECT("M572")="Clásica","14%",IF(INDIRECT("M572")="Premium","18%","-"))</f>
        <v>14%</v>
      </c>
      <c r="O572" s="53" t="s">
        <v>1455</v>
      </c>
    </row>
    <row r="573" spans="1:15" ht="49.95" customHeight="1">
      <c r="A573" s="52" t="s">
        <v>1460</v>
      </c>
      <c r="B573" s="52" t="s">
        <v>1461</v>
      </c>
      <c r="C573" s="52" t="s">
        <v>1462</v>
      </c>
      <c r="D573" s="52"/>
      <c r="E573" s="52" t="s">
        <v>1463</v>
      </c>
      <c r="F573" s="52" t="s">
        <v>1463</v>
      </c>
      <c r="G573" s="53">
        <v>0</v>
      </c>
      <c r="H573" s="52" t="s">
        <v>62</v>
      </c>
      <c r="I573" s="53">
        <v>59990</v>
      </c>
      <c r="J573" s="53" t="s">
        <v>63</v>
      </c>
      <c r="K573" s="53" t="s">
        <v>64</v>
      </c>
      <c r="L573" s="53" t="s">
        <v>65</v>
      </c>
      <c r="M573" s="53" t="s">
        <v>66</v>
      </c>
      <c r="N573" s="52" t="str">
        <f ca="1">IF(INDIRECT("M573")="Clásica","15%",IF(INDIRECT("M573")="Premium","19%","-"))</f>
        <v>15%</v>
      </c>
      <c r="O573" s="53" t="s">
        <v>1455</v>
      </c>
    </row>
    <row r="574" spans="1:15" ht="49.95" customHeight="1">
      <c r="A574" s="52" t="s">
        <v>1464</v>
      </c>
      <c r="B574" s="52" t="s">
        <v>1465</v>
      </c>
      <c r="C574" s="52" t="s">
        <v>1466</v>
      </c>
      <c r="D574" s="52"/>
      <c r="E574" s="52" t="s">
        <v>1467</v>
      </c>
      <c r="F574" s="52" t="s">
        <v>1467</v>
      </c>
      <c r="G574" s="53">
        <v>0</v>
      </c>
      <c r="H574" s="52" t="s">
        <v>62</v>
      </c>
      <c r="I574" s="53">
        <v>37990</v>
      </c>
      <c r="J574" s="53" t="s">
        <v>63</v>
      </c>
      <c r="K574" s="53" t="s">
        <v>64</v>
      </c>
      <c r="L574" s="53" t="s">
        <v>65</v>
      </c>
      <c r="M574" s="53" t="s">
        <v>66</v>
      </c>
      <c r="N574" s="52" t="str">
        <f ca="1">IF(INDIRECT("M574")="Clásica","14%",IF(INDIRECT("M574")="Premium","18%","-"))</f>
        <v>14%</v>
      </c>
      <c r="O574" s="53" t="s">
        <v>1455</v>
      </c>
    </row>
    <row r="575" spans="1:15" ht="49.95" customHeight="1">
      <c r="A575" s="52" t="s">
        <v>1468</v>
      </c>
      <c r="B575" s="52" t="s">
        <v>1469</v>
      </c>
      <c r="C575" s="52" t="s">
        <v>1470</v>
      </c>
      <c r="D575" s="52"/>
      <c r="E575" s="52" t="s">
        <v>339</v>
      </c>
      <c r="F575" s="52" t="s">
        <v>339</v>
      </c>
      <c r="G575" s="53">
        <v>0</v>
      </c>
      <c r="H575" s="52" t="s">
        <v>62</v>
      </c>
      <c r="I575" s="53">
        <v>39990</v>
      </c>
      <c r="J575" s="53" t="s">
        <v>63</v>
      </c>
      <c r="K575" s="53" t="s">
        <v>64</v>
      </c>
      <c r="L575" s="53" t="s">
        <v>65</v>
      </c>
      <c r="M575" s="53" t="s">
        <v>66</v>
      </c>
      <c r="N575" s="52" t="str">
        <f ca="1">IF(INDIRECT("M575")="Clásica","15%",IF(INDIRECT("M575")="Premium","19%","-"))</f>
        <v>15%</v>
      </c>
      <c r="O575" s="53" t="s">
        <v>1455</v>
      </c>
    </row>
    <row r="576" spans="1:15" ht="49.95" customHeight="1">
      <c r="A576" s="52" t="s">
        <v>24</v>
      </c>
      <c r="B576" s="52" t="s">
        <v>1471</v>
      </c>
      <c r="C576" s="52"/>
      <c r="D576" s="52"/>
      <c r="E576" s="52" t="s">
        <v>1472</v>
      </c>
      <c r="F576" s="52" t="s">
        <v>62</v>
      </c>
      <c r="G576" s="52" t="s">
        <v>1473</v>
      </c>
      <c r="H576" s="52" t="s">
        <v>62</v>
      </c>
      <c r="I576" s="53">
        <v>9990</v>
      </c>
      <c r="J576" s="53" t="s">
        <v>63</v>
      </c>
      <c r="K576" s="53" t="s">
        <v>64</v>
      </c>
      <c r="L576" s="53" t="s">
        <v>71</v>
      </c>
      <c r="M576" s="53" t="s">
        <v>66</v>
      </c>
      <c r="N576" s="52" t="str">
        <f ca="1">IF(INDIRECT("M576")="Clásica","12%",IF(INDIRECT("M576")="Premium","16%","-"))</f>
        <v>12%</v>
      </c>
      <c r="O576" s="53" t="s">
        <v>1455</v>
      </c>
    </row>
    <row r="577" spans="1:15" ht="49.95" customHeight="1">
      <c r="A577" s="52" t="s">
        <v>24</v>
      </c>
      <c r="B577" s="52" t="s">
        <v>1471</v>
      </c>
      <c r="C577" s="52" t="s">
        <v>1474</v>
      </c>
      <c r="D577" s="52" t="s">
        <v>1474</v>
      </c>
      <c r="E577" s="54" t="str">
        <f>"     "&amp;E576</f>
        <v xml:space="preserve">     Kit Destornillador Set Precisión 115 En 1 Puntas Torx Hex</v>
      </c>
      <c r="F577" s="52" t="s">
        <v>90</v>
      </c>
      <c r="G577" s="53">
        <v>0</v>
      </c>
      <c r="H577" s="52" t="s">
        <v>62</v>
      </c>
      <c r="I577" s="52">
        <f>I576</f>
        <v>9990</v>
      </c>
      <c r="J577" s="52" t="str">
        <f>J576&amp;"     "</f>
        <v xml:space="preserve">$     </v>
      </c>
      <c r="K577" s="52" t="str">
        <f>K576&amp;"     "</f>
        <v xml:space="preserve">Nuevo     </v>
      </c>
      <c r="L577" s="52" t="str">
        <f>L576&amp;"     "</f>
        <v xml:space="preserve">Mercado Envíos a cargo del comprador     </v>
      </c>
      <c r="M577" s="52" t="str">
        <f>M576&amp;"     "</f>
        <v xml:space="preserve">Clásica     </v>
      </c>
      <c r="N577" s="52" t="str">
        <f ca="1">N576</f>
        <v>12%</v>
      </c>
      <c r="O577" s="52" t="str">
        <f>O576&amp;"     "</f>
        <v xml:space="preserve">Inactiva     </v>
      </c>
    </row>
    <row r="578" spans="1:15" ht="49.95" customHeight="1">
      <c r="A578" s="52" t="s">
        <v>24</v>
      </c>
      <c r="B578" s="52" t="s">
        <v>1471</v>
      </c>
      <c r="C578" s="52" t="s">
        <v>1475</v>
      </c>
      <c r="D578" s="52" t="s">
        <v>1475</v>
      </c>
      <c r="E578" s="54" t="str">
        <f>"     "&amp;E576</f>
        <v xml:space="preserve">     Kit Destornillador Set Precisión 115 En 1 Puntas Torx Hex</v>
      </c>
      <c r="F578" s="52" t="s">
        <v>97</v>
      </c>
      <c r="G578" s="53">
        <v>0</v>
      </c>
      <c r="H578" s="52" t="s">
        <v>62</v>
      </c>
      <c r="I578" s="52">
        <f>I576</f>
        <v>9990</v>
      </c>
      <c r="J578" s="52" t="str">
        <f>J576&amp;"     "</f>
        <v xml:space="preserve">$     </v>
      </c>
      <c r="K578" s="52" t="str">
        <f>K576&amp;"     "</f>
        <v xml:space="preserve">Nuevo     </v>
      </c>
      <c r="L578" s="52" t="str">
        <f>L576&amp;"     "</f>
        <v xml:space="preserve">Mercado Envíos a cargo del comprador     </v>
      </c>
      <c r="M578" s="52" t="str">
        <f>M576&amp;"     "</f>
        <v xml:space="preserve">Clásica     </v>
      </c>
      <c r="N578" s="52" t="str">
        <f ca="1">N576</f>
        <v>12%</v>
      </c>
      <c r="O578" s="52" t="str">
        <f>O576&amp;"     "</f>
        <v xml:space="preserve">Inactiva     </v>
      </c>
    </row>
    <row r="579" spans="1:15" ht="49.95" customHeight="1">
      <c r="A579" s="52" t="s">
        <v>24</v>
      </c>
      <c r="B579" s="52" t="s">
        <v>1471</v>
      </c>
      <c r="C579" s="52" t="s">
        <v>1476</v>
      </c>
      <c r="D579" s="52" t="s">
        <v>1476</v>
      </c>
      <c r="E579" s="54" t="str">
        <f>"     "&amp;E576</f>
        <v xml:space="preserve">     Kit Destornillador Set Precisión 115 En 1 Puntas Torx Hex</v>
      </c>
      <c r="F579" s="52" t="s">
        <v>1477</v>
      </c>
      <c r="G579" s="53">
        <v>0</v>
      </c>
      <c r="H579" s="52" t="s">
        <v>62</v>
      </c>
      <c r="I579" s="52">
        <f>I576</f>
        <v>9990</v>
      </c>
      <c r="J579" s="52" t="str">
        <f>J576&amp;"     "</f>
        <v xml:space="preserve">$     </v>
      </c>
      <c r="K579" s="52" t="str">
        <f>K576&amp;"     "</f>
        <v xml:space="preserve">Nuevo     </v>
      </c>
      <c r="L579" s="52" t="str">
        <f>L576&amp;"     "</f>
        <v xml:space="preserve">Mercado Envíos a cargo del comprador     </v>
      </c>
      <c r="M579" s="52" t="str">
        <f>M576&amp;"     "</f>
        <v xml:space="preserve">Clásica     </v>
      </c>
      <c r="N579" s="52" t="str">
        <f ca="1">N576</f>
        <v>12%</v>
      </c>
      <c r="O579" s="52" t="str">
        <f>O576&amp;"     "</f>
        <v xml:space="preserve">Inactiva     </v>
      </c>
    </row>
    <row r="580" spans="1:15" ht="49.95" customHeight="1">
      <c r="A580" s="52" t="s">
        <v>1478</v>
      </c>
      <c r="B580" s="52" t="s">
        <v>1479</v>
      </c>
      <c r="C580" s="52" t="s">
        <v>1480</v>
      </c>
      <c r="D580" s="52"/>
      <c r="E580" s="52" t="s">
        <v>1481</v>
      </c>
      <c r="F580" s="52" t="s">
        <v>1481</v>
      </c>
      <c r="G580" s="53">
        <v>0</v>
      </c>
      <c r="H580" s="52" t="s">
        <v>62</v>
      </c>
      <c r="I580" s="53">
        <v>34990</v>
      </c>
      <c r="J580" s="53" t="s">
        <v>63</v>
      </c>
      <c r="K580" s="53" t="s">
        <v>64</v>
      </c>
      <c r="L580" s="53" t="s">
        <v>65</v>
      </c>
      <c r="M580" s="53" t="s">
        <v>66</v>
      </c>
      <c r="N580" s="52" t="str">
        <f ca="1">IF(INDIRECT("M580")="Clásica","14%",IF(INDIRECT("M580")="Premium","18%","-"))</f>
        <v>14%</v>
      </c>
      <c r="O580" s="53" t="s">
        <v>1455</v>
      </c>
    </row>
    <row r="581" spans="1:15" ht="49.95" customHeight="1">
      <c r="A581" s="52" t="s">
        <v>24</v>
      </c>
      <c r="B581" s="52" t="s">
        <v>1482</v>
      </c>
      <c r="C581" s="52"/>
      <c r="D581" s="52"/>
      <c r="E581" s="52" t="s">
        <v>1483</v>
      </c>
      <c r="F581" s="52" t="s">
        <v>62</v>
      </c>
      <c r="G581" s="52" t="s">
        <v>1473</v>
      </c>
      <c r="H581" s="52" t="s">
        <v>62</v>
      </c>
      <c r="I581" s="53">
        <v>44990</v>
      </c>
      <c r="J581" s="53" t="s">
        <v>63</v>
      </c>
      <c r="K581" s="53" t="s">
        <v>64</v>
      </c>
      <c r="L581" s="53" t="s">
        <v>65</v>
      </c>
      <c r="M581" s="53" t="s">
        <v>66</v>
      </c>
      <c r="N581" s="52" t="str">
        <f ca="1">IF(INDIRECT("M581")="Clásica","14%",IF(INDIRECT("M581")="Premium","18%","-"))</f>
        <v>14%</v>
      </c>
      <c r="O581" s="53" t="s">
        <v>1455</v>
      </c>
    </row>
    <row r="582" spans="1:15" ht="49.95" customHeight="1">
      <c r="A582" s="52" t="s">
        <v>24</v>
      </c>
      <c r="B582" s="52" t="s">
        <v>1482</v>
      </c>
      <c r="C582" s="52" t="s">
        <v>1484</v>
      </c>
      <c r="D582" s="52" t="s">
        <v>1484</v>
      </c>
      <c r="E582" s="54" t="str">
        <f>"     "&amp;E581</f>
        <v xml:space="preserve">     Manillas Palancas Ktm Duke 200 250 (h. 2021) 390 (h. 2018)</v>
      </c>
      <c r="F582" s="52" t="s">
        <v>1485</v>
      </c>
      <c r="G582" s="53">
        <v>0</v>
      </c>
      <c r="H582" s="52" t="s">
        <v>62</v>
      </c>
      <c r="I582" s="52">
        <f>I581</f>
        <v>44990</v>
      </c>
      <c r="J582" s="52" t="str">
        <f>J581&amp;"     "</f>
        <v xml:space="preserve">$     </v>
      </c>
      <c r="K582" s="52" t="str">
        <f>K581&amp;"     "</f>
        <v xml:space="preserve">Nuevo     </v>
      </c>
      <c r="L582" s="52" t="str">
        <f>L581&amp;"     "</f>
        <v xml:space="preserve">Mercado Envíos gratis     </v>
      </c>
      <c r="M582" s="52" t="str">
        <f>M581&amp;"     "</f>
        <v xml:space="preserve">Clásica     </v>
      </c>
      <c r="N582" s="52" t="str">
        <f ca="1">N581</f>
        <v>14%</v>
      </c>
      <c r="O582" s="52" t="str">
        <f>O581&amp;"     "</f>
        <v xml:space="preserve">Inactiva     </v>
      </c>
    </row>
    <row r="583" spans="1:15" ht="49.95" customHeight="1">
      <c r="A583" s="52" t="s">
        <v>24</v>
      </c>
      <c r="B583" s="52" t="s">
        <v>1482</v>
      </c>
      <c r="C583" s="52" t="s">
        <v>1486</v>
      </c>
      <c r="D583" s="52" t="s">
        <v>1486</v>
      </c>
      <c r="E583" s="54" t="str">
        <f>"     "&amp;E581</f>
        <v xml:space="preserve">     Manillas Palancas Ktm Duke 200 250 (h. 2021) 390 (h. 2018)</v>
      </c>
      <c r="F583" s="52" t="s">
        <v>1487</v>
      </c>
      <c r="G583" s="53">
        <v>0</v>
      </c>
      <c r="H583" s="52" t="s">
        <v>62</v>
      </c>
      <c r="I583" s="52">
        <f>I581</f>
        <v>44990</v>
      </c>
      <c r="J583" s="52" t="str">
        <f>J581&amp;"     "</f>
        <v xml:space="preserve">$     </v>
      </c>
      <c r="K583" s="52" t="str">
        <f>K581&amp;"     "</f>
        <v xml:space="preserve">Nuevo     </v>
      </c>
      <c r="L583" s="52" t="str">
        <f>L581&amp;"     "</f>
        <v xml:space="preserve">Mercado Envíos gratis     </v>
      </c>
      <c r="M583" s="52" t="str">
        <f>M581&amp;"     "</f>
        <v xml:space="preserve">Clásica     </v>
      </c>
      <c r="N583" s="52" t="str">
        <f ca="1">N581</f>
        <v>14%</v>
      </c>
      <c r="O583" s="52" t="str">
        <f>O581&amp;"     "</f>
        <v xml:space="preserve">Inactiva     </v>
      </c>
    </row>
    <row r="584" spans="1:15" ht="49.95" customHeight="1">
      <c r="A584" s="52" t="s">
        <v>24</v>
      </c>
      <c r="B584" s="52" t="s">
        <v>1482</v>
      </c>
      <c r="C584" s="52" t="s">
        <v>1488</v>
      </c>
      <c r="D584" s="52" t="s">
        <v>1488</v>
      </c>
      <c r="E584" s="54" t="str">
        <f>"     "&amp;E581</f>
        <v xml:space="preserve">     Manillas Palancas Ktm Duke 200 250 (h. 2021) 390 (h. 2018)</v>
      </c>
      <c r="F584" s="52" t="s">
        <v>1489</v>
      </c>
      <c r="G584" s="53">
        <v>0</v>
      </c>
      <c r="H584" s="52" t="s">
        <v>62</v>
      </c>
      <c r="I584" s="52">
        <f>I581</f>
        <v>44990</v>
      </c>
      <c r="J584" s="52" t="str">
        <f>J581&amp;"     "</f>
        <v xml:space="preserve">$     </v>
      </c>
      <c r="K584" s="52" t="str">
        <f>K581&amp;"     "</f>
        <v xml:space="preserve">Nuevo     </v>
      </c>
      <c r="L584" s="52" t="str">
        <f>L581&amp;"     "</f>
        <v xml:space="preserve">Mercado Envíos gratis     </v>
      </c>
      <c r="M584" s="52" t="str">
        <f>M581&amp;"     "</f>
        <v xml:space="preserve">Clásica     </v>
      </c>
      <c r="N584" s="52" t="str">
        <f ca="1">N581</f>
        <v>14%</v>
      </c>
      <c r="O584" s="52" t="str">
        <f>O581&amp;"     "</f>
        <v xml:space="preserve">Inactiva     </v>
      </c>
    </row>
    <row r="585" spans="1:15" ht="49.95" customHeight="1">
      <c r="A585" s="52" t="s">
        <v>1490</v>
      </c>
      <c r="B585" s="52" t="s">
        <v>1491</v>
      </c>
      <c r="C585" s="52" t="s">
        <v>1492</v>
      </c>
      <c r="D585" s="52"/>
      <c r="E585" s="52" t="s">
        <v>1444</v>
      </c>
      <c r="F585" s="52" t="s">
        <v>1444</v>
      </c>
      <c r="G585" s="53">
        <v>0</v>
      </c>
      <c r="H585" s="52" t="s">
        <v>62</v>
      </c>
      <c r="I585" s="53">
        <v>13990</v>
      </c>
      <c r="J585" s="53" t="s">
        <v>63</v>
      </c>
      <c r="K585" s="53" t="s">
        <v>64</v>
      </c>
      <c r="L585" s="53" t="s">
        <v>71</v>
      </c>
      <c r="M585" s="53" t="s">
        <v>66</v>
      </c>
      <c r="N585" s="52" t="str">
        <f ca="1">IF(INDIRECT("M585")="Clásica","14%",IF(INDIRECT("M585")="Premium","18%","-"))</f>
        <v>14%</v>
      </c>
      <c r="O585" s="53" t="s">
        <v>1455</v>
      </c>
    </row>
    <row r="586" spans="1:15" ht="49.95" customHeight="1">
      <c r="A586" s="52" t="s">
        <v>1493</v>
      </c>
      <c r="B586" s="52" t="s">
        <v>1494</v>
      </c>
      <c r="C586" s="52" t="s">
        <v>1495</v>
      </c>
      <c r="D586" s="52"/>
      <c r="E586" s="52" t="s">
        <v>1496</v>
      </c>
      <c r="F586" s="52" t="s">
        <v>62</v>
      </c>
      <c r="G586" s="53">
        <v>0</v>
      </c>
      <c r="H586" s="52" t="s">
        <v>62</v>
      </c>
      <c r="I586" s="53">
        <v>39990</v>
      </c>
      <c r="J586" s="53" t="s">
        <v>63</v>
      </c>
      <c r="K586" s="52" t="s">
        <v>64</v>
      </c>
      <c r="L586" s="53" t="s">
        <v>65</v>
      </c>
      <c r="M586" s="53" t="s">
        <v>66</v>
      </c>
      <c r="N586" s="52" t="str">
        <f ca="1">IF(INDIRECT("M586")="Clásica","14%",IF(INDIRECT("M586")="Premium","18%","-"))</f>
        <v>14%</v>
      </c>
      <c r="O586" s="53" t="s">
        <v>1455</v>
      </c>
    </row>
    <row r="587" spans="1:15" ht="49.95" customHeight="1">
      <c r="A587" s="52" t="s">
        <v>1497</v>
      </c>
      <c r="B587" s="52" t="s">
        <v>1498</v>
      </c>
      <c r="C587" s="52" t="s">
        <v>1499</v>
      </c>
      <c r="D587" s="52"/>
      <c r="E587" s="52" t="s">
        <v>1500</v>
      </c>
      <c r="F587" s="52" t="s">
        <v>1500</v>
      </c>
      <c r="G587" s="53">
        <v>0</v>
      </c>
      <c r="H587" s="52" t="s">
        <v>62</v>
      </c>
      <c r="I587" s="53">
        <v>69990</v>
      </c>
      <c r="J587" s="53" t="s">
        <v>63</v>
      </c>
      <c r="K587" s="53" t="s">
        <v>64</v>
      </c>
      <c r="L587" s="53" t="s">
        <v>65</v>
      </c>
      <c r="M587" s="53" t="s">
        <v>66</v>
      </c>
      <c r="N587" s="52" t="str">
        <f ca="1">IF(INDIRECT("M587")="Clásica","14%",IF(INDIRECT("M587")="Premium","18%","-"))</f>
        <v>14%</v>
      </c>
      <c r="O587" s="53" t="s">
        <v>1455</v>
      </c>
    </row>
    <row r="588" spans="1:15" ht="49.95" customHeight="1">
      <c r="A588" s="52" t="s">
        <v>24</v>
      </c>
      <c r="B588" s="52" t="s">
        <v>1501</v>
      </c>
      <c r="C588" s="52"/>
      <c r="D588" s="52"/>
      <c r="E588" s="52" t="s">
        <v>1502</v>
      </c>
      <c r="F588" s="52" t="s">
        <v>62</v>
      </c>
      <c r="G588" s="52" t="s">
        <v>1473</v>
      </c>
      <c r="H588" s="52" t="s">
        <v>62</v>
      </c>
      <c r="I588" s="53">
        <v>19490</v>
      </c>
      <c r="J588" s="53" t="s">
        <v>63</v>
      </c>
      <c r="K588" s="53" t="s">
        <v>64</v>
      </c>
      <c r="L588" s="53" t="s">
        <v>71</v>
      </c>
      <c r="M588" s="53" t="s">
        <v>66</v>
      </c>
      <c r="N588" s="52" t="str">
        <f ca="1">IF(INDIRECT("M588")="Clásica","14%",IF(INDIRECT("M588")="Premium","18%","-"))</f>
        <v>14%</v>
      </c>
      <c r="O588" s="53" t="s">
        <v>1455</v>
      </c>
    </row>
    <row r="589" spans="1:15" ht="49.95" customHeight="1">
      <c r="A589" s="52" t="s">
        <v>24</v>
      </c>
      <c r="B589" s="52" t="s">
        <v>1501</v>
      </c>
      <c r="C589" s="52" t="s">
        <v>1503</v>
      </c>
      <c r="D589" s="52" t="s">
        <v>1503</v>
      </c>
      <c r="E589" s="54" t="str">
        <f>"     "&amp;E588</f>
        <v xml:space="preserve">     Tank Pad Protector + Tank Grip Honda Cb190 Cb190r 2020-2024</v>
      </c>
      <c r="F589" s="52" t="s">
        <v>1504</v>
      </c>
      <c r="G589" s="53">
        <v>0</v>
      </c>
      <c r="H589" s="52" t="s">
        <v>62</v>
      </c>
      <c r="I589" s="52">
        <f>I588</f>
        <v>19490</v>
      </c>
      <c r="J589" s="52" t="str">
        <f>J588&amp;"     "</f>
        <v xml:space="preserve">$     </v>
      </c>
      <c r="K589" s="52" t="str">
        <f>K588&amp;"     "</f>
        <v xml:space="preserve">Nuevo     </v>
      </c>
      <c r="L589" s="52" t="str">
        <f>L588&amp;"     "</f>
        <v xml:space="preserve">Mercado Envíos a cargo del comprador     </v>
      </c>
      <c r="M589" s="52" t="str">
        <f>M588&amp;"     "</f>
        <v xml:space="preserve">Clásica     </v>
      </c>
      <c r="N589" s="52" t="str">
        <f ca="1">N588</f>
        <v>14%</v>
      </c>
      <c r="O589" s="52" t="str">
        <f>O588&amp;"     "</f>
        <v xml:space="preserve">Inactiva     </v>
      </c>
    </row>
    <row r="590" spans="1:15" ht="49.95" customHeight="1">
      <c r="A590" s="52" t="s">
        <v>24</v>
      </c>
      <c r="B590" s="52" t="s">
        <v>1501</v>
      </c>
      <c r="C590" s="52" t="s">
        <v>1505</v>
      </c>
      <c r="D590" s="52" t="s">
        <v>1505</v>
      </c>
      <c r="E590" s="54" t="str">
        <f>"     "&amp;E588</f>
        <v xml:space="preserve">     Tank Pad Protector + Tank Grip Honda Cb190 Cb190r 2020-2024</v>
      </c>
      <c r="F590" s="52" t="s">
        <v>97</v>
      </c>
      <c r="G590" s="53">
        <v>0</v>
      </c>
      <c r="H590" s="52" t="s">
        <v>62</v>
      </c>
      <c r="I590" s="52">
        <f>I588</f>
        <v>19490</v>
      </c>
      <c r="J590" s="52" t="str">
        <f>J588&amp;"     "</f>
        <v xml:space="preserve">$     </v>
      </c>
      <c r="K590" s="52" t="str">
        <f>K588&amp;"     "</f>
        <v xml:space="preserve">Nuevo     </v>
      </c>
      <c r="L590" s="52" t="str">
        <f>L588&amp;"     "</f>
        <v xml:space="preserve">Mercado Envíos a cargo del comprador     </v>
      </c>
      <c r="M590" s="52" t="str">
        <f>M588&amp;"     "</f>
        <v xml:space="preserve">Clásica     </v>
      </c>
      <c r="N590" s="52" t="str">
        <f ca="1">N588</f>
        <v>14%</v>
      </c>
      <c r="O590" s="52" t="str">
        <f>O588&amp;"     "</f>
        <v xml:space="preserve">Inactiva     </v>
      </c>
    </row>
    <row r="591" spans="1:15" ht="49.95" customHeight="1">
      <c r="A591" s="52" t="s">
        <v>24</v>
      </c>
      <c r="B591" s="52" t="s">
        <v>1501</v>
      </c>
      <c r="C591" s="52" t="s">
        <v>1506</v>
      </c>
      <c r="D591" s="52" t="s">
        <v>1506</v>
      </c>
      <c r="E591" s="54" t="str">
        <f>"     "&amp;E588</f>
        <v xml:space="preserve">     Tank Pad Protector + Tank Grip Honda Cb190 Cb190r 2020-2024</v>
      </c>
      <c r="F591" s="52" t="s">
        <v>100</v>
      </c>
      <c r="G591" s="53">
        <v>0</v>
      </c>
      <c r="H591" s="52" t="s">
        <v>62</v>
      </c>
      <c r="I591" s="52">
        <f>I588</f>
        <v>19490</v>
      </c>
      <c r="J591" s="52" t="str">
        <f>J588&amp;"     "</f>
        <v xml:space="preserve">$     </v>
      </c>
      <c r="K591" s="52" t="str">
        <f>K588&amp;"     "</f>
        <v xml:space="preserve">Nuevo     </v>
      </c>
      <c r="L591" s="52" t="str">
        <f>L588&amp;"     "</f>
        <v xml:space="preserve">Mercado Envíos a cargo del comprador     </v>
      </c>
      <c r="M591" s="52" t="str">
        <f>M588&amp;"     "</f>
        <v xml:space="preserve">Clásica     </v>
      </c>
      <c r="N591" s="52" t="str">
        <f ca="1">N588</f>
        <v>14%</v>
      </c>
      <c r="O591" s="52" t="str">
        <f>O588&amp;"     "</f>
        <v xml:space="preserve">Inactiva     </v>
      </c>
    </row>
    <row r="592" spans="1:15" ht="49.95" customHeight="1">
      <c r="A592" s="52" t="s">
        <v>24</v>
      </c>
      <c r="B592" s="52" t="s">
        <v>1501</v>
      </c>
      <c r="C592" s="52" t="s">
        <v>1507</v>
      </c>
      <c r="D592" s="52" t="s">
        <v>1507</v>
      </c>
      <c r="E592" s="54" t="str">
        <f>"     "&amp;E588</f>
        <v xml:space="preserve">     Tank Pad Protector + Tank Grip Honda Cb190 Cb190r 2020-2024</v>
      </c>
      <c r="F592" s="52" t="s">
        <v>90</v>
      </c>
      <c r="G592" s="53">
        <v>0</v>
      </c>
      <c r="H592" s="52" t="s">
        <v>62</v>
      </c>
      <c r="I592" s="52">
        <f>I588</f>
        <v>19490</v>
      </c>
      <c r="J592" s="52" t="str">
        <f>J588&amp;"     "</f>
        <v xml:space="preserve">$     </v>
      </c>
      <c r="K592" s="52" t="str">
        <f>K588&amp;"     "</f>
        <v xml:space="preserve">Nuevo     </v>
      </c>
      <c r="L592" s="52" t="str">
        <f>L588&amp;"     "</f>
        <v xml:space="preserve">Mercado Envíos a cargo del comprador     </v>
      </c>
      <c r="M592" s="52" t="str">
        <f>M588&amp;"     "</f>
        <v xml:space="preserve">Clásica     </v>
      </c>
      <c r="N592" s="52" t="str">
        <f ca="1">N588</f>
        <v>14%</v>
      </c>
      <c r="O592" s="52" t="str">
        <f>O588&amp;"     "</f>
        <v xml:space="preserve">Inactiva     </v>
      </c>
    </row>
    <row r="593" spans="1:15" ht="49.95" customHeight="1">
      <c r="A593" s="52" t="s">
        <v>1508</v>
      </c>
      <c r="B593" s="52" t="s">
        <v>1509</v>
      </c>
      <c r="C593" s="52" t="s">
        <v>1510</v>
      </c>
      <c r="D593" s="52"/>
      <c r="E593" s="52" t="s">
        <v>1511</v>
      </c>
      <c r="F593" s="52" t="s">
        <v>1511</v>
      </c>
      <c r="G593" s="53">
        <v>0</v>
      </c>
      <c r="H593" s="52" t="s">
        <v>62</v>
      </c>
      <c r="I593" s="53">
        <v>12990</v>
      </c>
      <c r="J593" s="53" t="s">
        <v>63</v>
      </c>
      <c r="K593" s="53" t="s">
        <v>64</v>
      </c>
      <c r="L593" s="53" t="s">
        <v>71</v>
      </c>
      <c r="M593" s="53" t="s">
        <v>66</v>
      </c>
      <c r="N593" s="52" t="str">
        <f ca="1">IF(INDIRECT("M593")="Clásica","14%",IF(INDIRECT("M593")="Premium","18%","-"))</f>
        <v>14%</v>
      </c>
      <c r="O593" s="53" t="s">
        <v>1455</v>
      </c>
    </row>
    <row r="594" spans="1:15" ht="49.95" customHeight="1">
      <c r="A594" s="52" t="s">
        <v>1512</v>
      </c>
      <c r="B594" s="52" t="s">
        <v>1513</v>
      </c>
      <c r="C594" s="52" t="s">
        <v>1514</v>
      </c>
      <c r="D594" s="52"/>
      <c r="E594" s="52" t="s">
        <v>1515</v>
      </c>
      <c r="F594" s="52" t="s">
        <v>1515</v>
      </c>
      <c r="G594" s="53">
        <v>0</v>
      </c>
      <c r="H594" s="52" t="s">
        <v>62</v>
      </c>
      <c r="I594" s="53">
        <v>49990</v>
      </c>
      <c r="J594" s="53" t="s">
        <v>63</v>
      </c>
      <c r="K594" s="53" t="s">
        <v>64</v>
      </c>
      <c r="L594" s="53" t="s">
        <v>65</v>
      </c>
      <c r="M594" s="53" t="s">
        <v>66</v>
      </c>
      <c r="N594" s="52" t="str">
        <f ca="1">IF(INDIRECT("M594")="Clásica","14%",IF(INDIRECT("M594")="Premium","18%","-"))</f>
        <v>14%</v>
      </c>
      <c r="O594" s="53" t="s">
        <v>1455</v>
      </c>
    </row>
    <row r="595" spans="1:15" ht="49.95" customHeight="1">
      <c r="A595" s="52" t="s">
        <v>1516</v>
      </c>
      <c r="B595" s="52" t="s">
        <v>1517</v>
      </c>
      <c r="C595" s="52" t="s">
        <v>1518</v>
      </c>
      <c r="D595" s="52"/>
      <c r="E595" s="52" t="s">
        <v>1519</v>
      </c>
      <c r="F595" s="52" t="s">
        <v>1519</v>
      </c>
      <c r="G595" s="53">
        <v>0</v>
      </c>
      <c r="H595" s="52" t="s">
        <v>62</v>
      </c>
      <c r="I595" s="53">
        <v>54990</v>
      </c>
      <c r="J595" s="53" t="s">
        <v>63</v>
      </c>
      <c r="K595" s="53" t="s">
        <v>64</v>
      </c>
      <c r="L595" s="53" t="s">
        <v>65</v>
      </c>
      <c r="M595" s="53" t="s">
        <v>66</v>
      </c>
      <c r="N595" s="52" t="str">
        <f ca="1">IF(INDIRECT("M595")="Clásica","14%",IF(INDIRECT("M595")="Premium","18%","-"))</f>
        <v>14%</v>
      </c>
      <c r="O595" s="53" t="s">
        <v>1455</v>
      </c>
    </row>
    <row r="596" spans="1:15" ht="49.95" customHeight="1">
      <c r="A596" s="52" t="s">
        <v>1520</v>
      </c>
      <c r="B596" s="52" t="s">
        <v>1521</v>
      </c>
      <c r="C596" s="52" t="s">
        <v>1522</v>
      </c>
      <c r="D596" s="52"/>
      <c r="E596" s="52" t="s">
        <v>739</v>
      </c>
      <c r="F596" s="52" t="s">
        <v>739</v>
      </c>
      <c r="G596" s="53">
        <v>0</v>
      </c>
      <c r="H596" s="52" t="s">
        <v>62</v>
      </c>
      <c r="I596" s="53">
        <v>44990</v>
      </c>
      <c r="J596" s="53" t="s">
        <v>63</v>
      </c>
      <c r="K596" s="53" t="s">
        <v>64</v>
      </c>
      <c r="L596" s="53" t="s">
        <v>65</v>
      </c>
      <c r="M596" s="53" t="s">
        <v>66</v>
      </c>
      <c r="N596" s="52" t="str">
        <f ca="1">IF(INDIRECT("M596")="Clásica","14%",IF(INDIRECT("M596")="Premium","18%","-"))</f>
        <v>14%</v>
      </c>
      <c r="O596" s="53" t="s">
        <v>1455</v>
      </c>
    </row>
    <row r="597" spans="1:15" ht="49.95" customHeight="1">
      <c r="A597" s="52" t="s">
        <v>24</v>
      </c>
      <c r="B597" s="52" t="s">
        <v>1523</v>
      </c>
      <c r="C597" s="52"/>
      <c r="D597" s="52"/>
      <c r="E597" s="52" t="s">
        <v>1524</v>
      </c>
      <c r="F597" s="52" t="s">
        <v>62</v>
      </c>
      <c r="G597" s="52" t="s">
        <v>1473</v>
      </c>
      <c r="H597" s="52" t="s">
        <v>62</v>
      </c>
      <c r="I597" s="53">
        <v>29990</v>
      </c>
      <c r="J597" s="53" t="s">
        <v>63</v>
      </c>
      <c r="K597" s="53" t="s">
        <v>64</v>
      </c>
      <c r="L597" s="53" t="s">
        <v>65</v>
      </c>
      <c r="M597" s="53" t="s">
        <v>66</v>
      </c>
      <c r="N597" s="52" t="str">
        <f ca="1">IF(INDIRECT("M597")="Clásica","14%",IF(INDIRECT("M597")="Premium","18%","-"))</f>
        <v>14%</v>
      </c>
      <c r="O597" s="53" t="s">
        <v>1455</v>
      </c>
    </row>
    <row r="598" spans="1:15" ht="49.95" customHeight="1">
      <c r="A598" s="52" t="s">
        <v>24</v>
      </c>
      <c r="B598" s="52" t="s">
        <v>1523</v>
      </c>
      <c r="C598" s="52" t="s">
        <v>1525</v>
      </c>
      <c r="D598" s="52" t="s">
        <v>1525</v>
      </c>
      <c r="E598" s="54" t="str">
        <f>"     "&amp;E597</f>
        <v xml:space="preserve">     Protector Manillas Palancas Manillar Yamaha Yzf R15 R3 R6 R1</v>
      </c>
      <c r="F598" s="52" t="s">
        <v>90</v>
      </c>
      <c r="G598" s="53">
        <v>0</v>
      </c>
      <c r="H598" s="52" t="s">
        <v>62</v>
      </c>
      <c r="I598" s="52">
        <f>I597</f>
        <v>29990</v>
      </c>
      <c r="J598" s="52" t="str">
        <f>J597&amp;"     "</f>
        <v xml:space="preserve">$     </v>
      </c>
      <c r="K598" s="52" t="str">
        <f>K597&amp;"     "</f>
        <v xml:space="preserve">Nuevo     </v>
      </c>
      <c r="L598" s="52" t="str">
        <f>L597&amp;"     "</f>
        <v xml:space="preserve">Mercado Envíos gratis     </v>
      </c>
      <c r="M598" s="52" t="str">
        <f>M597&amp;"     "</f>
        <v xml:space="preserve">Clásica     </v>
      </c>
      <c r="N598" s="52" t="str">
        <f ca="1">N597</f>
        <v>14%</v>
      </c>
      <c r="O598" s="52" t="str">
        <f>O597&amp;"     "</f>
        <v xml:space="preserve">Inactiva     </v>
      </c>
    </row>
    <row r="599" spans="1:15" ht="49.95" customHeight="1">
      <c r="A599" s="52" t="s">
        <v>24</v>
      </c>
      <c r="B599" s="52" t="s">
        <v>1523</v>
      </c>
      <c r="C599" s="52" t="s">
        <v>1526</v>
      </c>
      <c r="D599" s="52" t="s">
        <v>1526</v>
      </c>
      <c r="E599" s="54" t="str">
        <f>"     "&amp;E597</f>
        <v xml:space="preserve">     Protector Manillas Palancas Manillar Yamaha Yzf R15 R3 R6 R1</v>
      </c>
      <c r="F599" s="52" t="s">
        <v>84</v>
      </c>
      <c r="G599" s="53">
        <v>0</v>
      </c>
      <c r="H599" s="52" t="s">
        <v>62</v>
      </c>
      <c r="I599" s="52">
        <f>I597</f>
        <v>29990</v>
      </c>
      <c r="J599" s="52" t="str">
        <f>J597&amp;"     "</f>
        <v xml:space="preserve">$     </v>
      </c>
      <c r="K599" s="52" t="str">
        <f>K597&amp;"     "</f>
        <v xml:space="preserve">Nuevo     </v>
      </c>
      <c r="L599" s="52" t="str">
        <f>L597&amp;"     "</f>
        <v xml:space="preserve">Mercado Envíos gratis     </v>
      </c>
      <c r="M599" s="52" t="str">
        <f>M597&amp;"     "</f>
        <v xml:space="preserve">Clásica     </v>
      </c>
      <c r="N599" s="52" t="str">
        <f ca="1">N597</f>
        <v>14%</v>
      </c>
      <c r="O599" s="52" t="str">
        <f>O597&amp;"     "</f>
        <v xml:space="preserve">Inactiva     </v>
      </c>
    </row>
    <row r="600" spans="1:15" ht="49.95" customHeight="1">
      <c r="A600" s="52" t="s">
        <v>24</v>
      </c>
      <c r="B600" s="52" t="s">
        <v>1523</v>
      </c>
      <c r="C600" s="52" t="s">
        <v>1527</v>
      </c>
      <c r="D600" s="52" t="s">
        <v>1527</v>
      </c>
      <c r="E600" s="54" t="str">
        <f>"     "&amp;E597</f>
        <v xml:space="preserve">     Protector Manillas Palancas Manillar Yamaha Yzf R15 R3 R6 R1</v>
      </c>
      <c r="F600" s="52" t="s">
        <v>86</v>
      </c>
      <c r="G600" s="53">
        <v>0</v>
      </c>
      <c r="H600" s="52" t="s">
        <v>62</v>
      </c>
      <c r="I600" s="52">
        <f>I597</f>
        <v>29990</v>
      </c>
      <c r="J600" s="52" t="str">
        <f>J597&amp;"     "</f>
        <v xml:space="preserve">$     </v>
      </c>
      <c r="K600" s="52" t="str">
        <f>K597&amp;"     "</f>
        <v xml:space="preserve">Nuevo     </v>
      </c>
      <c r="L600" s="52" t="str">
        <f>L597&amp;"     "</f>
        <v xml:space="preserve">Mercado Envíos gratis     </v>
      </c>
      <c r="M600" s="52" t="str">
        <f>M597&amp;"     "</f>
        <v xml:space="preserve">Clásica     </v>
      </c>
      <c r="N600" s="52" t="str">
        <f ca="1">N597</f>
        <v>14%</v>
      </c>
      <c r="O600" s="52" t="str">
        <f>O597&amp;"     "</f>
        <v xml:space="preserve">Inactiva     </v>
      </c>
    </row>
    <row r="601" spans="1:15" ht="49.95" customHeight="1">
      <c r="A601" s="52" t="s">
        <v>24</v>
      </c>
      <c r="B601" s="52" t="s">
        <v>1523</v>
      </c>
      <c r="C601" s="52" t="s">
        <v>1528</v>
      </c>
      <c r="D601" s="52" t="s">
        <v>1528</v>
      </c>
      <c r="E601" s="54" t="str">
        <f>"     "&amp;E597</f>
        <v xml:space="preserve">     Protector Manillas Palancas Manillar Yamaha Yzf R15 R3 R6 R1</v>
      </c>
      <c r="F601" s="52" t="s">
        <v>88</v>
      </c>
      <c r="G601" s="53">
        <v>0</v>
      </c>
      <c r="H601" s="52" t="s">
        <v>62</v>
      </c>
      <c r="I601" s="52">
        <f>I597</f>
        <v>29990</v>
      </c>
      <c r="J601" s="52" t="str">
        <f>J597&amp;"     "</f>
        <v xml:space="preserve">$     </v>
      </c>
      <c r="K601" s="52" t="str">
        <f>K597&amp;"     "</f>
        <v xml:space="preserve">Nuevo     </v>
      </c>
      <c r="L601" s="52" t="str">
        <f>L597&amp;"     "</f>
        <v xml:space="preserve">Mercado Envíos gratis     </v>
      </c>
      <c r="M601" s="52" t="str">
        <f>M597&amp;"     "</f>
        <v xml:space="preserve">Clásica     </v>
      </c>
      <c r="N601" s="52" t="str">
        <f ca="1">N597</f>
        <v>14%</v>
      </c>
      <c r="O601" s="52" t="str">
        <f>O597&amp;"     "</f>
        <v xml:space="preserve">Inactiva     </v>
      </c>
    </row>
    <row r="602" spans="1:15" ht="49.95" customHeight="1">
      <c r="A602" s="52" t="s">
        <v>1529</v>
      </c>
      <c r="B602" s="52" t="s">
        <v>1530</v>
      </c>
      <c r="C602" s="52" t="s">
        <v>1531</v>
      </c>
      <c r="D602" s="52"/>
      <c r="E602" s="52" t="s">
        <v>1532</v>
      </c>
      <c r="F602" s="52" t="s">
        <v>1532</v>
      </c>
      <c r="G602" s="53">
        <v>0</v>
      </c>
      <c r="H602" s="52" t="s">
        <v>62</v>
      </c>
      <c r="I602" s="53">
        <v>16980</v>
      </c>
      <c r="J602" s="53" t="s">
        <v>63</v>
      </c>
      <c r="K602" s="53" t="s">
        <v>64</v>
      </c>
      <c r="L602" s="53" t="s">
        <v>71</v>
      </c>
      <c r="M602" s="53" t="s">
        <v>1240</v>
      </c>
      <c r="N602" s="52" t="str">
        <f ca="1">IF(INDIRECT("M602")="Clásica","16%",IF(INDIRECT("M602")="Premium","20%","-"))</f>
        <v>20%</v>
      </c>
      <c r="O602" s="53" t="s">
        <v>1455</v>
      </c>
    </row>
    <row r="603" spans="1:15" ht="49.95" customHeight="1">
      <c r="A603" s="52" t="s">
        <v>24</v>
      </c>
      <c r="B603" s="52" t="s">
        <v>1533</v>
      </c>
      <c r="C603" s="52"/>
      <c r="D603" s="52"/>
      <c r="E603" s="52" t="s">
        <v>1534</v>
      </c>
      <c r="F603" s="52" t="s">
        <v>62</v>
      </c>
      <c r="G603" s="52" t="s">
        <v>1473</v>
      </c>
      <c r="H603" s="52" t="s">
        <v>62</v>
      </c>
      <c r="I603" s="53">
        <v>24990</v>
      </c>
      <c r="J603" s="53" t="s">
        <v>63</v>
      </c>
      <c r="K603" s="53" t="s">
        <v>64</v>
      </c>
      <c r="L603" s="53" t="s">
        <v>65</v>
      </c>
      <c r="M603" s="53" t="s">
        <v>66</v>
      </c>
      <c r="N603" s="52" t="str">
        <f ca="1">IF(INDIRECT("M603")="Clásica","14%",IF(INDIRECT("M603")="Premium","18%","-"))</f>
        <v>14%</v>
      </c>
      <c r="O603" s="53" t="s">
        <v>1455</v>
      </c>
    </row>
    <row r="604" spans="1:15" ht="49.95" customHeight="1">
      <c r="A604" s="52" t="s">
        <v>24</v>
      </c>
      <c r="B604" s="52" t="s">
        <v>1533</v>
      </c>
      <c r="C604" s="52" t="s">
        <v>1535</v>
      </c>
      <c r="D604" s="52" t="s">
        <v>1535</v>
      </c>
      <c r="E604" s="54" t="str">
        <f>"     "&amp;E603</f>
        <v xml:space="preserve">     Tank Grip + Protector Estanque Yamaha Mt03 Hasta Año 2019</v>
      </c>
      <c r="F604" s="52" t="s">
        <v>84</v>
      </c>
      <c r="G604" s="53">
        <v>0</v>
      </c>
      <c r="H604" s="52" t="s">
        <v>62</v>
      </c>
      <c r="I604" s="52">
        <f>I603</f>
        <v>24990</v>
      </c>
      <c r="J604" s="52" t="str">
        <f>J603&amp;"     "</f>
        <v xml:space="preserve">$     </v>
      </c>
      <c r="K604" s="52" t="str">
        <f>K603&amp;"     "</f>
        <v xml:space="preserve">Nuevo     </v>
      </c>
      <c r="L604" s="52" t="str">
        <f>L603&amp;"     "</f>
        <v xml:space="preserve">Mercado Envíos gratis     </v>
      </c>
      <c r="M604" s="52" t="str">
        <f>M603&amp;"     "</f>
        <v xml:space="preserve">Clásica     </v>
      </c>
      <c r="N604" s="52" t="str">
        <f ca="1">N603</f>
        <v>14%</v>
      </c>
      <c r="O604" s="52" t="str">
        <f>O603&amp;"     "</f>
        <v xml:space="preserve">Inactiva     </v>
      </c>
    </row>
    <row r="605" spans="1:15" ht="49.95" customHeight="1">
      <c r="A605" s="52" t="s">
        <v>24</v>
      </c>
      <c r="B605" s="52" t="s">
        <v>1533</v>
      </c>
      <c r="C605" s="52" t="s">
        <v>1536</v>
      </c>
      <c r="D605" s="52" t="s">
        <v>1536</v>
      </c>
      <c r="E605" s="54" t="str">
        <f>"     "&amp;E603</f>
        <v xml:space="preserve">     Tank Grip + Protector Estanque Yamaha Mt03 Hasta Año 2019</v>
      </c>
      <c r="F605" s="52" t="s">
        <v>86</v>
      </c>
      <c r="G605" s="53">
        <v>0</v>
      </c>
      <c r="H605" s="52" t="s">
        <v>62</v>
      </c>
      <c r="I605" s="52">
        <f>I603</f>
        <v>24990</v>
      </c>
      <c r="J605" s="52" t="str">
        <f>J603&amp;"     "</f>
        <v xml:space="preserve">$     </v>
      </c>
      <c r="K605" s="52" t="str">
        <f>K603&amp;"     "</f>
        <v xml:space="preserve">Nuevo     </v>
      </c>
      <c r="L605" s="52" t="str">
        <f>L603&amp;"     "</f>
        <v xml:space="preserve">Mercado Envíos gratis     </v>
      </c>
      <c r="M605" s="52" t="str">
        <f>M603&amp;"     "</f>
        <v xml:space="preserve">Clásica     </v>
      </c>
      <c r="N605" s="52" t="str">
        <f ca="1">N603</f>
        <v>14%</v>
      </c>
      <c r="O605" s="52" t="str">
        <f>O603&amp;"     "</f>
        <v xml:space="preserve">Inactiva     </v>
      </c>
    </row>
    <row r="606" spans="1:15" ht="49.95" customHeight="1">
      <c r="A606" s="52" t="s">
        <v>24</v>
      </c>
      <c r="B606" s="52" t="s">
        <v>1533</v>
      </c>
      <c r="C606" s="52" t="s">
        <v>1537</v>
      </c>
      <c r="D606" s="52" t="s">
        <v>1537</v>
      </c>
      <c r="E606" s="54" t="str">
        <f>"     "&amp;E603</f>
        <v xml:space="preserve">     Tank Grip + Protector Estanque Yamaha Mt03 Hasta Año 2019</v>
      </c>
      <c r="F606" s="52" t="s">
        <v>90</v>
      </c>
      <c r="G606" s="53">
        <v>0</v>
      </c>
      <c r="H606" s="52" t="s">
        <v>62</v>
      </c>
      <c r="I606" s="52">
        <f>I603</f>
        <v>24990</v>
      </c>
      <c r="J606" s="52" t="str">
        <f>J603&amp;"     "</f>
        <v xml:space="preserve">$     </v>
      </c>
      <c r="K606" s="52" t="str">
        <f>K603&amp;"     "</f>
        <v xml:space="preserve">Nuevo     </v>
      </c>
      <c r="L606" s="52" t="str">
        <f>L603&amp;"     "</f>
        <v xml:space="preserve">Mercado Envíos gratis     </v>
      </c>
      <c r="M606" s="52" t="str">
        <f>M603&amp;"     "</f>
        <v xml:space="preserve">Clásica     </v>
      </c>
      <c r="N606" s="52" t="str">
        <f ca="1">N603</f>
        <v>14%</v>
      </c>
      <c r="O606" s="52" t="str">
        <f>O603&amp;"     "</f>
        <v xml:space="preserve">Inactiva     </v>
      </c>
    </row>
    <row r="607" spans="1:15" ht="49.95" customHeight="1">
      <c r="A607" s="52" t="s">
        <v>24</v>
      </c>
      <c r="B607" s="52" t="s">
        <v>1538</v>
      </c>
      <c r="C607" s="52"/>
      <c r="D607" s="52"/>
      <c r="E607" s="52" t="s">
        <v>1539</v>
      </c>
      <c r="F607" s="52" t="s">
        <v>62</v>
      </c>
      <c r="G607" s="52" t="s">
        <v>1473</v>
      </c>
      <c r="H607" s="52" t="s">
        <v>62</v>
      </c>
      <c r="I607" s="53">
        <v>29990</v>
      </c>
      <c r="J607" s="53" t="s">
        <v>63</v>
      </c>
      <c r="K607" s="53" t="s">
        <v>64</v>
      </c>
      <c r="L607" s="53" t="s">
        <v>65</v>
      </c>
      <c r="M607" s="53" t="s">
        <v>66</v>
      </c>
      <c r="N607" s="52" t="str">
        <f ca="1">IF(INDIRECT("M607")="Clásica","14%",IF(INDIRECT("M607")="Premium","18%","-"))</f>
        <v>14%</v>
      </c>
      <c r="O607" s="53" t="s">
        <v>1455</v>
      </c>
    </row>
    <row r="608" spans="1:15" ht="49.95" customHeight="1">
      <c r="A608" s="52" t="s">
        <v>24</v>
      </c>
      <c r="B608" s="52" t="s">
        <v>1538</v>
      </c>
      <c r="C608" s="52" t="s">
        <v>1540</v>
      </c>
      <c r="D608" s="52" t="s">
        <v>1540</v>
      </c>
      <c r="E608" s="54" t="str">
        <f>"     "&amp;E607</f>
        <v xml:space="preserve">     Protector Manillas Palancas Manillar Yamaha Yzf R15 R 15</v>
      </c>
      <c r="F608" s="52" t="s">
        <v>84</v>
      </c>
      <c r="G608" s="53">
        <v>0</v>
      </c>
      <c r="H608" s="52" t="s">
        <v>62</v>
      </c>
      <c r="I608" s="52">
        <f>I607</f>
        <v>29990</v>
      </c>
      <c r="J608" s="52" t="str">
        <f>J607&amp;"     "</f>
        <v xml:space="preserve">$     </v>
      </c>
      <c r="K608" s="52" t="str">
        <f>K607&amp;"     "</f>
        <v xml:space="preserve">Nuevo     </v>
      </c>
      <c r="L608" s="52" t="str">
        <f>L607&amp;"     "</f>
        <v xml:space="preserve">Mercado Envíos gratis     </v>
      </c>
      <c r="M608" s="52" t="str">
        <f>M607&amp;"     "</f>
        <v xml:space="preserve">Clásica     </v>
      </c>
      <c r="N608" s="52" t="str">
        <f ca="1">N607</f>
        <v>14%</v>
      </c>
      <c r="O608" s="52" t="str">
        <f>O607&amp;"     "</f>
        <v xml:space="preserve">Inactiva     </v>
      </c>
    </row>
    <row r="609" spans="1:15" ht="49.95" customHeight="1">
      <c r="A609" s="52" t="s">
        <v>24</v>
      </c>
      <c r="B609" s="52" t="s">
        <v>1538</v>
      </c>
      <c r="C609" s="52" t="s">
        <v>1541</v>
      </c>
      <c r="D609" s="52" t="s">
        <v>1541</v>
      </c>
      <c r="E609" s="54" t="str">
        <f>"     "&amp;E607</f>
        <v xml:space="preserve">     Protector Manillas Palancas Manillar Yamaha Yzf R15 R 15</v>
      </c>
      <c r="F609" s="52" t="s">
        <v>88</v>
      </c>
      <c r="G609" s="53">
        <v>0</v>
      </c>
      <c r="H609" s="52" t="s">
        <v>62</v>
      </c>
      <c r="I609" s="52">
        <f>I607</f>
        <v>29990</v>
      </c>
      <c r="J609" s="52" t="str">
        <f>J607&amp;"     "</f>
        <v xml:space="preserve">$     </v>
      </c>
      <c r="K609" s="52" t="str">
        <f>K607&amp;"     "</f>
        <v xml:space="preserve">Nuevo     </v>
      </c>
      <c r="L609" s="52" t="str">
        <f>L607&amp;"     "</f>
        <v xml:space="preserve">Mercado Envíos gratis     </v>
      </c>
      <c r="M609" s="52" t="str">
        <f>M607&amp;"     "</f>
        <v xml:space="preserve">Clásica     </v>
      </c>
      <c r="N609" s="52" t="str">
        <f ca="1">N607</f>
        <v>14%</v>
      </c>
      <c r="O609" s="52" t="str">
        <f>O607&amp;"     "</f>
        <v xml:space="preserve">Inactiva     </v>
      </c>
    </row>
    <row r="610" spans="1:15" ht="49.95" customHeight="1">
      <c r="A610" s="52" t="s">
        <v>24</v>
      </c>
      <c r="B610" s="52" t="s">
        <v>1538</v>
      </c>
      <c r="C610" s="52" t="s">
        <v>1542</v>
      </c>
      <c r="D610" s="52" t="s">
        <v>1542</v>
      </c>
      <c r="E610" s="54" t="str">
        <f>"     "&amp;E607</f>
        <v xml:space="preserve">     Protector Manillas Palancas Manillar Yamaha Yzf R15 R 15</v>
      </c>
      <c r="F610" s="52" t="s">
        <v>97</v>
      </c>
      <c r="G610" s="53">
        <v>0</v>
      </c>
      <c r="H610" s="52" t="s">
        <v>62</v>
      </c>
      <c r="I610" s="52">
        <f>I607</f>
        <v>29990</v>
      </c>
      <c r="J610" s="52" t="str">
        <f>J607&amp;"     "</f>
        <v xml:space="preserve">$     </v>
      </c>
      <c r="K610" s="52" t="str">
        <f>K607&amp;"     "</f>
        <v xml:space="preserve">Nuevo     </v>
      </c>
      <c r="L610" s="52" t="str">
        <f>L607&amp;"     "</f>
        <v xml:space="preserve">Mercado Envíos gratis     </v>
      </c>
      <c r="M610" s="52" t="str">
        <f>M607&amp;"     "</f>
        <v xml:space="preserve">Clásica     </v>
      </c>
      <c r="N610" s="52" t="str">
        <f ca="1">N607</f>
        <v>14%</v>
      </c>
      <c r="O610" s="52" t="str">
        <f>O607&amp;"     "</f>
        <v xml:space="preserve">Inactiva     </v>
      </c>
    </row>
    <row r="611" spans="1:15" ht="49.95" customHeight="1">
      <c r="A611" s="52" t="s">
        <v>24</v>
      </c>
      <c r="B611" s="52" t="s">
        <v>1538</v>
      </c>
      <c r="C611" s="52" t="s">
        <v>1543</v>
      </c>
      <c r="D611" s="52" t="s">
        <v>1543</v>
      </c>
      <c r="E611" s="54" t="str">
        <f>"     "&amp;E607</f>
        <v xml:space="preserve">     Protector Manillas Palancas Manillar Yamaha Yzf R15 R 15</v>
      </c>
      <c r="F611" s="52" t="s">
        <v>86</v>
      </c>
      <c r="G611" s="53">
        <v>0</v>
      </c>
      <c r="H611" s="52" t="s">
        <v>62</v>
      </c>
      <c r="I611" s="52">
        <f>I607</f>
        <v>29990</v>
      </c>
      <c r="J611" s="52" t="str">
        <f>J607&amp;"     "</f>
        <v xml:space="preserve">$     </v>
      </c>
      <c r="K611" s="52" t="str">
        <f>K607&amp;"     "</f>
        <v xml:space="preserve">Nuevo     </v>
      </c>
      <c r="L611" s="52" t="str">
        <f>L607&amp;"     "</f>
        <v xml:space="preserve">Mercado Envíos gratis     </v>
      </c>
      <c r="M611" s="52" t="str">
        <f>M607&amp;"     "</f>
        <v xml:space="preserve">Clásica     </v>
      </c>
      <c r="N611" s="52" t="str">
        <f ca="1">N607</f>
        <v>14%</v>
      </c>
      <c r="O611" s="52" t="str">
        <f>O607&amp;"     "</f>
        <v xml:space="preserve">Inactiva     </v>
      </c>
    </row>
    <row r="612" spans="1:15" ht="49.95" customHeight="1">
      <c r="A612" s="52" t="s">
        <v>24</v>
      </c>
      <c r="B612" s="52" t="s">
        <v>1544</v>
      </c>
      <c r="C612" s="52"/>
      <c r="D612" s="52"/>
      <c r="E612" s="52" t="s">
        <v>1545</v>
      </c>
      <c r="F612" s="52" t="s">
        <v>62</v>
      </c>
      <c r="G612" s="52" t="s">
        <v>1473</v>
      </c>
      <c r="H612" s="52" t="s">
        <v>62</v>
      </c>
      <c r="I612" s="53">
        <v>79990</v>
      </c>
      <c r="J612" s="53" t="s">
        <v>63</v>
      </c>
      <c r="K612" s="53" t="s">
        <v>64</v>
      </c>
      <c r="L612" s="53" t="s">
        <v>65</v>
      </c>
      <c r="M612" s="53" t="s">
        <v>66</v>
      </c>
      <c r="N612" s="52" t="str">
        <f ca="1">IF(INDIRECT("M612")="Clásica","15%",IF(INDIRECT("M612")="Premium","19%","-"))</f>
        <v>15%</v>
      </c>
      <c r="O612" s="53" t="s">
        <v>1455</v>
      </c>
    </row>
    <row r="613" spans="1:15" ht="49.95" customHeight="1">
      <c r="A613" s="52" t="s">
        <v>24</v>
      </c>
      <c r="B613" s="52" t="s">
        <v>1544</v>
      </c>
      <c r="C613" s="52" t="s">
        <v>1546</v>
      </c>
      <c r="D613" s="52" t="s">
        <v>1546</v>
      </c>
      <c r="E613" s="54" t="str">
        <f>"     "&amp;E612</f>
        <v xml:space="preserve">     Protector Cubierta Cubre Cárter Motor Honda Cb500x Nx500</v>
      </c>
      <c r="F613" s="52" t="s">
        <v>86</v>
      </c>
      <c r="G613" s="53">
        <v>0</v>
      </c>
      <c r="H613" s="52" t="s">
        <v>62</v>
      </c>
      <c r="I613" s="52">
        <f>I612</f>
        <v>79990</v>
      </c>
      <c r="J613" s="52" t="str">
        <f>J612&amp;"     "</f>
        <v xml:space="preserve">$     </v>
      </c>
      <c r="K613" s="52" t="str">
        <f>K612&amp;"     "</f>
        <v xml:space="preserve">Nuevo     </v>
      </c>
      <c r="L613" s="52" t="str">
        <f>L612&amp;"     "</f>
        <v xml:space="preserve">Mercado Envíos gratis     </v>
      </c>
      <c r="M613" s="52" t="str">
        <f>M612&amp;"     "</f>
        <v xml:space="preserve">Clásica     </v>
      </c>
      <c r="N613" s="52" t="str">
        <f ca="1">N612</f>
        <v>15%</v>
      </c>
      <c r="O613" s="52" t="str">
        <f>O612&amp;"     "</f>
        <v xml:space="preserve">Inactiva     </v>
      </c>
    </row>
    <row r="614" spans="1:15" ht="49.95" customHeight="1">
      <c r="A614" s="52" t="s">
        <v>24</v>
      </c>
      <c r="B614" s="52" t="s">
        <v>1544</v>
      </c>
      <c r="C614" s="52" t="s">
        <v>1547</v>
      </c>
      <c r="D614" s="52" t="s">
        <v>1547</v>
      </c>
      <c r="E614" s="54" t="str">
        <f>"     "&amp;E612</f>
        <v xml:space="preserve">     Protector Cubierta Cubre Cárter Motor Honda Cb500x Nx500</v>
      </c>
      <c r="F614" s="52" t="s">
        <v>97</v>
      </c>
      <c r="G614" s="53">
        <v>0</v>
      </c>
      <c r="H614" s="52" t="s">
        <v>62</v>
      </c>
      <c r="I614" s="52">
        <f>I612</f>
        <v>79990</v>
      </c>
      <c r="J614" s="52" t="str">
        <f>J612&amp;"     "</f>
        <v xml:space="preserve">$     </v>
      </c>
      <c r="K614" s="52" t="str">
        <f>K612&amp;"     "</f>
        <v xml:space="preserve">Nuevo     </v>
      </c>
      <c r="L614" s="52" t="str">
        <f>L612&amp;"     "</f>
        <v xml:space="preserve">Mercado Envíos gratis     </v>
      </c>
      <c r="M614" s="52" t="str">
        <f>M612&amp;"     "</f>
        <v xml:space="preserve">Clásica     </v>
      </c>
      <c r="N614" s="52" t="str">
        <f ca="1">N612</f>
        <v>15%</v>
      </c>
      <c r="O614" s="52" t="str">
        <f>O612&amp;"     "</f>
        <v xml:space="preserve">Inactiva     </v>
      </c>
    </row>
    <row r="615" spans="1:15" ht="49.95" customHeight="1">
      <c r="A615" s="52" t="s">
        <v>1548</v>
      </c>
      <c r="B615" s="52" t="s">
        <v>1549</v>
      </c>
      <c r="C615" s="52" t="s">
        <v>1550</v>
      </c>
      <c r="D615" s="52"/>
      <c r="E615" s="52" t="s">
        <v>1551</v>
      </c>
      <c r="F615" s="52" t="s">
        <v>1551</v>
      </c>
      <c r="G615" s="53">
        <v>0</v>
      </c>
      <c r="H615" s="52" t="s">
        <v>62</v>
      </c>
      <c r="I615" s="53">
        <v>179990</v>
      </c>
      <c r="J615" s="53" t="s">
        <v>63</v>
      </c>
      <c r="K615" s="53" t="s">
        <v>64</v>
      </c>
      <c r="L615" s="53" t="s">
        <v>65</v>
      </c>
      <c r="M615" s="53" t="s">
        <v>66</v>
      </c>
      <c r="N615" s="52" t="str">
        <f ca="1">IF(INDIRECT("M615")="Clásica","14%",IF(INDIRECT("M615")="Premium","18%","-"))</f>
        <v>14%</v>
      </c>
      <c r="O615" s="53" t="s">
        <v>1455</v>
      </c>
    </row>
    <row r="616" spans="1:15" ht="49.95" customHeight="1">
      <c r="A616" s="52" t="s">
        <v>24</v>
      </c>
      <c r="B616" s="52" t="s">
        <v>1552</v>
      </c>
      <c r="C616" s="52"/>
      <c r="D616" s="52"/>
      <c r="E616" s="52" t="s">
        <v>1553</v>
      </c>
      <c r="F616" s="52" t="s">
        <v>62</v>
      </c>
      <c r="G616" s="52" t="s">
        <v>1473</v>
      </c>
      <c r="H616" s="52" t="s">
        <v>62</v>
      </c>
      <c r="I616" s="53">
        <v>74990</v>
      </c>
      <c r="J616" s="53" t="s">
        <v>63</v>
      </c>
      <c r="K616" s="53" t="s">
        <v>64</v>
      </c>
      <c r="L616" s="53" t="s">
        <v>65</v>
      </c>
      <c r="M616" s="53" t="s">
        <v>66</v>
      </c>
      <c r="N616" s="52" t="str">
        <f ca="1">IF(INDIRECT("M616")="Clásica","14%",IF(INDIRECT("M616")="Premium","18%","-"))</f>
        <v>14%</v>
      </c>
      <c r="O616" s="53" t="s">
        <v>1455</v>
      </c>
    </row>
    <row r="617" spans="1:15" ht="49.95" customHeight="1">
      <c r="A617" s="52" t="s">
        <v>24</v>
      </c>
      <c r="B617" s="52" t="s">
        <v>1552</v>
      </c>
      <c r="C617" s="52" t="s">
        <v>1554</v>
      </c>
      <c r="D617" s="52" t="s">
        <v>1554</v>
      </c>
      <c r="E617" s="54" t="str">
        <f>"     "&amp;E616</f>
        <v xml:space="preserve">     Sliders Topes De Caída Cb 190 Cb190 Cb190r Hasta Año 2024</v>
      </c>
      <c r="F617" s="52" t="s">
        <v>90</v>
      </c>
      <c r="G617" s="53">
        <v>0</v>
      </c>
      <c r="H617" s="52" t="s">
        <v>62</v>
      </c>
      <c r="I617" s="52">
        <f>I616</f>
        <v>74990</v>
      </c>
      <c r="J617" s="52" t="str">
        <f>J616&amp;"     "</f>
        <v xml:space="preserve">$     </v>
      </c>
      <c r="K617" s="52" t="str">
        <f>K616&amp;"     "</f>
        <v xml:space="preserve">Nuevo     </v>
      </c>
      <c r="L617" s="52" t="str">
        <f>L616&amp;"     "</f>
        <v xml:space="preserve">Mercado Envíos gratis     </v>
      </c>
      <c r="M617" s="52" t="str">
        <f>M616&amp;"     "</f>
        <v xml:space="preserve">Clásica     </v>
      </c>
      <c r="N617" s="52" t="str">
        <f ca="1">N616</f>
        <v>14%</v>
      </c>
      <c r="O617" s="52" t="str">
        <f>O616&amp;"     "</f>
        <v xml:space="preserve">Inactiva     </v>
      </c>
    </row>
    <row r="618" spans="1:15" ht="49.95" customHeight="1">
      <c r="A618" s="52" t="s">
        <v>24</v>
      </c>
      <c r="B618" s="52" t="s">
        <v>1552</v>
      </c>
      <c r="C618" s="52" t="s">
        <v>1555</v>
      </c>
      <c r="D618" s="52" t="s">
        <v>1555</v>
      </c>
      <c r="E618" s="54" t="str">
        <f>"     "&amp;E616</f>
        <v xml:space="preserve">     Sliders Topes De Caída Cb 190 Cb190 Cb190r Hasta Año 2024</v>
      </c>
      <c r="F618" s="52" t="s">
        <v>86</v>
      </c>
      <c r="G618" s="53">
        <v>0</v>
      </c>
      <c r="H618" s="52" t="s">
        <v>62</v>
      </c>
      <c r="I618" s="52">
        <f>I616</f>
        <v>74990</v>
      </c>
      <c r="J618" s="52" t="str">
        <f>J616&amp;"     "</f>
        <v xml:space="preserve">$     </v>
      </c>
      <c r="K618" s="52" t="str">
        <f>K616&amp;"     "</f>
        <v xml:space="preserve">Nuevo     </v>
      </c>
      <c r="L618" s="52" t="str">
        <f>L616&amp;"     "</f>
        <v xml:space="preserve">Mercado Envíos gratis     </v>
      </c>
      <c r="M618" s="52" t="str">
        <f>M616&amp;"     "</f>
        <v xml:space="preserve">Clásica     </v>
      </c>
      <c r="N618" s="52" t="str">
        <f ca="1">N616</f>
        <v>14%</v>
      </c>
      <c r="O618" s="52" t="str">
        <f>O616&amp;"     "</f>
        <v xml:space="preserve">Inactiva     </v>
      </c>
    </row>
    <row r="619" spans="1:15" ht="49.95" customHeight="1">
      <c r="A619" s="52" t="s">
        <v>24</v>
      </c>
      <c r="B619" s="52" t="s">
        <v>1552</v>
      </c>
      <c r="C619" s="52" t="s">
        <v>1556</v>
      </c>
      <c r="D619" s="52" t="s">
        <v>1556</v>
      </c>
      <c r="E619" s="54" t="str">
        <f>"     "&amp;E616</f>
        <v xml:space="preserve">     Sliders Topes De Caída Cb 190 Cb190 Cb190r Hasta Año 2024</v>
      </c>
      <c r="F619" s="52" t="s">
        <v>100</v>
      </c>
      <c r="G619" s="53">
        <v>0</v>
      </c>
      <c r="H619" s="52" t="s">
        <v>62</v>
      </c>
      <c r="I619" s="52">
        <f>I616</f>
        <v>74990</v>
      </c>
      <c r="J619" s="52" t="str">
        <f>J616&amp;"     "</f>
        <v xml:space="preserve">$     </v>
      </c>
      <c r="K619" s="52" t="str">
        <f>K616&amp;"     "</f>
        <v xml:space="preserve">Nuevo     </v>
      </c>
      <c r="L619" s="52" t="str">
        <f>L616&amp;"     "</f>
        <v xml:space="preserve">Mercado Envíos gratis     </v>
      </c>
      <c r="M619" s="52" t="str">
        <f>M616&amp;"     "</f>
        <v xml:space="preserve">Clásica     </v>
      </c>
      <c r="N619" s="52" t="str">
        <f ca="1">N616</f>
        <v>14%</v>
      </c>
      <c r="O619" s="52" t="str">
        <f>O616&amp;"     "</f>
        <v xml:space="preserve">Inactiva     </v>
      </c>
    </row>
    <row r="620" spans="1:15" ht="49.95" customHeight="1">
      <c r="A620" s="52" t="s">
        <v>1557</v>
      </c>
      <c r="B620" s="52" t="s">
        <v>1558</v>
      </c>
      <c r="C620" s="52" t="s">
        <v>1559</v>
      </c>
      <c r="D620" s="52"/>
      <c r="E620" s="52" t="s">
        <v>1560</v>
      </c>
      <c r="F620" s="52" t="s">
        <v>1560</v>
      </c>
      <c r="G620" s="53">
        <v>0</v>
      </c>
      <c r="H620" s="52" t="s">
        <v>62</v>
      </c>
      <c r="I620" s="53">
        <v>19940</v>
      </c>
      <c r="J620" s="53" t="s">
        <v>63</v>
      </c>
      <c r="K620" s="53" t="s">
        <v>64</v>
      </c>
      <c r="L620" s="53" t="s">
        <v>71</v>
      </c>
      <c r="M620" s="53" t="s">
        <v>66</v>
      </c>
      <c r="N620" s="52" t="str">
        <f ca="1">IF(INDIRECT("M620")="Clásica","15%",IF(INDIRECT("M620")="Premium","19%","-"))</f>
        <v>15%</v>
      </c>
      <c r="O620" s="53" t="s">
        <v>1455</v>
      </c>
    </row>
    <row r="621" spans="1:15" ht="49.95" customHeight="1">
      <c r="A621" s="52" t="s">
        <v>1561</v>
      </c>
      <c r="B621" s="52" t="s">
        <v>1562</v>
      </c>
      <c r="C621" s="52" t="s">
        <v>1563</v>
      </c>
      <c r="D621" s="52"/>
      <c r="E621" s="52" t="s">
        <v>1564</v>
      </c>
      <c r="F621" s="52" t="s">
        <v>1564</v>
      </c>
      <c r="G621" s="53">
        <v>0</v>
      </c>
      <c r="H621" s="52" t="s">
        <v>62</v>
      </c>
      <c r="I621" s="53">
        <v>49990</v>
      </c>
      <c r="J621" s="53" t="s">
        <v>63</v>
      </c>
      <c r="K621" s="53" t="s">
        <v>64</v>
      </c>
      <c r="L621" s="53" t="s">
        <v>65</v>
      </c>
      <c r="M621" s="53" t="s">
        <v>66</v>
      </c>
      <c r="N621" s="52" t="str">
        <f ca="1">IF(INDIRECT("M621")="Clásica","14%",IF(INDIRECT("M621")="Premium","18%","-"))</f>
        <v>14%</v>
      </c>
      <c r="O621" s="53" t="s">
        <v>1455</v>
      </c>
    </row>
    <row r="622" spans="1:15" ht="49.95" customHeight="1">
      <c r="A622" s="52" t="s">
        <v>24</v>
      </c>
      <c r="B622" s="52" t="s">
        <v>1565</v>
      </c>
      <c r="C622" s="52"/>
      <c r="D622" s="52"/>
      <c r="E622" s="52" t="s">
        <v>1566</v>
      </c>
      <c r="F622" s="52" t="s">
        <v>62</v>
      </c>
      <c r="G622" s="52" t="s">
        <v>1473</v>
      </c>
      <c r="H622" s="52" t="s">
        <v>62</v>
      </c>
      <c r="I622" s="53">
        <v>34990</v>
      </c>
      <c r="J622" s="53" t="s">
        <v>63</v>
      </c>
      <c r="K622" s="53" t="s">
        <v>64</v>
      </c>
      <c r="L622" s="53" t="s">
        <v>65</v>
      </c>
      <c r="M622" s="53" t="s">
        <v>66</v>
      </c>
      <c r="N622" s="52" t="str">
        <f ca="1">IF(INDIRECT("M622")="Clásica","14%",IF(INDIRECT("M622")="Premium","18%","-"))</f>
        <v>14%</v>
      </c>
      <c r="O622" s="53" t="s">
        <v>1455</v>
      </c>
    </row>
    <row r="623" spans="1:15" ht="49.95" customHeight="1">
      <c r="A623" s="52" t="s">
        <v>24</v>
      </c>
      <c r="B623" s="52" t="s">
        <v>1565</v>
      </c>
      <c r="C623" s="52" t="s">
        <v>1567</v>
      </c>
      <c r="D623" s="52" t="s">
        <v>1567</v>
      </c>
      <c r="E623" s="54" t="str">
        <f>"     "&amp;E622</f>
        <v xml:space="preserve">     Tank Grip + Protector Estanque Tracción Yamaha R3a Colores</v>
      </c>
      <c r="F623" s="52" t="s">
        <v>84</v>
      </c>
      <c r="G623" s="53">
        <v>0</v>
      </c>
      <c r="H623" s="52" t="s">
        <v>62</v>
      </c>
      <c r="I623" s="52">
        <f>I622</f>
        <v>34990</v>
      </c>
      <c r="J623" s="52" t="str">
        <f>J622&amp;"     "</f>
        <v xml:space="preserve">$     </v>
      </c>
      <c r="K623" s="52" t="str">
        <f>K622&amp;"     "</f>
        <v xml:space="preserve">Nuevo     </v>
      </c>
      <c r="L623" s="52" t="str">
        <f>L622&amp;"     "</f>
        <v xml:space="preserve">Mercado Envíos gratis     </v>
      </c>
      <c r="M623" s="52" t="str">
        <f>M622&amp;"     "</f>
        <v xml:space="preserve">Clásica     </v>
      </c>
      <c r="N623" s="52" t="str">
        <f ca="1">N622</f>
        <v>14%</v>
      </c>
      <c r="O623" s="52" t="str">
        <f>O622&amp;"     "</f>
        <v xml:space="preserve">Inactiva     </v>
      </c>
    </row>
    <row r="624" spans="1:15" ht="49.95" customHeight="1">
      <c r="A624" s="52" t="s">
        <v>24</v>
      </c>
      <c r="B624" s="52" t="s">
        <v>1565</v>
      </c>
      <c r="C624" s="52" t="s">
        <v>1568</v>
      </c>
      <c r="D624" s="52" t="s">
        <v>1568</v>
      </c>
      <c r="E624" s="54" t="str">
        <f>"     "&amp;E622</f>
        <v xml:space="preserve">     Tank Grip + Protector Estanque Tracción Yamaha R3a Colores</v>
      </c>
      <c r="F624" s="52" t="s">
        <v>86</v>
      </c>
      <c r="G624" s="53">
        <v>0</v>
      </c>
      <c r="H624" s="52" t="s">
        <v>62</v>
      </c>
      <c r="I624" s="52">
        <f>I622</f>
        <v>34990</v>
      </c>
      <c r="J624" s="52" t="str">
        <f>J622&amp;"     "</f>
        <v xml:space="preserve">$     </v>
      </c>
      <c r="K624" s="52" t="str">
        <f>K622&amp;"     "</f>
        <v xml:space="preserve">Nuevo     </v>
      </c>
      <c r="L624" s="52" t="str">
        <f>L622&amp;"     "</f>
        <v xml:space="preserve">Mercado Envíos gratis     </v>
      </c>
      <c r="M624" s="52" t="str">
        <f>M622&amp;"     "</f>
        <v xml:space="preserve">Clásica     </v>
      </c>
      <c r="N624" s="52" t="str">
        <f ca="1">N622</f>
        <v>14%</v>
      </c>
      <c r="O624" s="52" t="str">
        <f>O622&amp;"     "</f>
        <v xml:space="preserve">Inactiva     </v>
      </c>
    </row>
    <row r="625" spans="1:15" ht="49.95" customHeight="1">
      <c r="A625" s="52" t="s">
        <v>1569</v>
      </c>
      <c r="B625" s="52" t="s">
        <v>1570</v>
      </c>
      <c r="C625" s="52" t="s">
        <v>1571</v>
      </c>
      <c r="D625" s="52"/>
      <c r="E625" s="52" t="s">
        <v>1572</v>
      </c>
      <c r="F625" s="52" t="s">
        <v>1572</v>
      </c>
      <c r="G625" s="53">
        <v>0</v>
      </c>
      <c r="H625" s="52" t="s">
        <v>62</v>
      </c>
      <c r="I625" s="53">
        <v>10990</v>
      </c>
      <c r="J625" s="53" t="s">
        <v>63</v>
      </c>
      <c r="K625" s="53" t="s">
        <v>64</v>
      </c>
      <c r="L625" s="53" t="s">
        <v>71</v>
      </c>
      <c r="M625" s="53" t="s">
        <v>1240</v>
      </c>
      <c r="N625" s="52" t="str">
        <f ca="1">IF(INDIRECT("M625")="Clásica","14%",IF(INDIRECT("M625")="Premium","18%","-"))</f>
        <v>18%</v>
      </c>
      <c r="O625" s="53" t="s">
        <v>1455</v>
      </c>
    </row>
    <row r="626" spans="1:15" ht="49.95" customHeight="1">
      <c r="A626" s="52" t="s">
        <v>1573</v>
      </c>
      <c r="B626" s="52" t="s">
        <v>1574</v>
      </c>
      <c r="C626" s="52" t="s">
        <v>1575</v>
      </c>
      <c r="D626" s="52"/>
      <c r="E626" s="52" t="s">
        <v>1576</v>
      </c>
      <c r="F626" s="52" t="s">
        <v>62</v>
      </c>
      <c r="G626" s="53">
        <v>0</v>
      </c>
      <c r="H626" s="52" t="s">
        <v>62</v>
      </c>
      <c r="I626" s="53">
        <v>79990</v>
      </c>
      <c r="J626" s="53" t="s">
        <v>63</v>
      </c>
      <c r="K626" s="52" t="s">
        <v>64</v>
      </c>
      <c r="L626" s="53" t="s">
        <v>65</v>
      </c>
      <c r="M626" s="53" t="s">
        <v>66</v>
      </c>
      <c r="N626" s="52" t="str">
        <f ca="1">IF(INDIRECT("M626")="Clásica","14%",IF(INDIRECT("M626")="Premium","18%","-"))</f>
        <v>14%</v>
      </c>
      <c r="O626" s="53" t="s">
        <v>1455</v>
      </c>
    </row>
    <row r="627" spans="1:15" ht="49.95" customHeight="1">
      <c r="A627" s="52" t="s">
        <v>1577</v>
      </c>
      <c r="B627" s="52" t="s">
        <v>1578</v>
      </c>
      <c r="C627" s="52" t="s">
        <v>1579</v>
      </c>
      <c r="D627" s="52"/>
      <c r="E627" s="52" t="s">
        <v>1580</v>
      </c>
      <c r="F627" s="52" t="s">
        <v>1580</v>
      </c>
      <c r="G627" s="53">
        <v>0</v>
      </c>
      <c r="H627" s="52" t="s">
        <v>62</v>
      </c>
      <c r="I627" s="53">
        <v>64990</v>
      </c>
      <c r="J627" s="53" t="s">
        <v>63</v>
      </c>
      <c r="K627" s="53" t="s">
        <v>64</v>
      </c>
      <c r="L627" s="53" t="s">
        <v>65</v>
      </c>
      <c r="M627" s="53" t="s">
        <v>66</v>
      </c>
      <c r="N627" s="52" t="str">
        <f ca="1">IF(INDIRECT("M627")="Clásica","14%",IF(INDIRECT("M627")="Premium","18%","-"))</f>
        <v>14%</v>
      </c>
      <c r="O627" s="53" t="s">
        <v>1455</v>
      </c>
    </row>
    <row r="628" spans="1:15" ht="49.95" customHeight="1">
      <c r="A628" s="52" t="s">
        <v>1581</v>
      </c>
      <c r="B628" s="52" t="s">
        <v>1582</v>
      </c>
      <c r="C628" s="52" t="s">
        <v>1583</v>
      </c>
      <c r="D628" s="52"/>
      <c r="E628" s="52" t="s">
        <v>1584</v>
      </c>
      <c r="F628" s="52" t="s">
        <v>1584</v>
      </c>
      <c r="G628" s="53">
        <v>0</v>
      </c>
      <c r="H628" s="52" t="s">
        <v>62</v>
      </c>
      <c r="I628" s="53">
        <v>64990</v>
      </c>
      <c r="J628" s="53" t="s">
        <v>63</v>
      </c>
      <c r="K628" s="53" t="s">
        <v>64</v>
      </c>
      <c r="L628" s="53" t="s">
        <v>65</v>
      </c>
      <c r="M628" s="53" t="s">
        <v>66</v>
      </c>
      <c r="N628" s="52" t="str">
        <f ca="1">IF(INDIRECT("M628")="Clásica","14%",IF(INDIRECT("M628")="Premium","18%","-"))</f>
        <v>14%</v>
      </c>
      <c r="O628" s="53" t="s">
        <v>1455</v>
      </c>
    </row>
    <row r="629" spans="1:15" ht="49.95" customHeight="1">
      <c r="A629" s="52" t="s">
        <v>24</v>
      </c>
      <c r="B629" s="52" t="s">
        <v>1585</v>
      </c>
      <c r="C629" s="52"/>
      <c r="D629" s="52"/>
      <c r="E629" s="52" t="s">
        <v>1586</v>
      </c>
      <c r="F629" s="52" t="s">
        <v>62</v>
      </c>
      <c r="G629" s="52" t="s">
        <v>1473</v>
      </c>
      <c r="H629" s="52" t="s">
        <v>62</v>
      </c>
      <c r="I629" s="53">
        <v>9990</v>
      </c>
      <c r="J629" s="53" t="s">
        <v>63</v>
      </c>
      <c r="K629" s="53" t="s">
        <v>64</v>
      </c>
      <c r="L629" s="53" t="s">
        <v>71</v>
      </c>
      <c r="M629" s="53" t="s">
        <v>1240</v>
      </c>
      <c r="N629" s="52" t="str">
        <f ca="1">IF(INDIRECT("M629")="Clásica","14%",IF(INDIRECT("M629")="Premium","18%","-"))</f>
        <v>18%</v>
      </c>
      <c r="O629" s="53" t="s">
        <v>1455</v>
      </c>
    </row>
    <row r="630" spans="1:15" ht="49.95" customHeight="1">
      <c r="A630" s="52" t="s">
        <v>24</v>
      </c>
      <c r="B630" s="52" t="s">
        <v>1585</v>
      </c>
      <c r="C630" s="52" t="s">
        <v>1587</v>
      </c>
      <c r="D630" s="52" t="s">
        <v>1587</v>
      </c>
      <c r="E630" s="54" t="str">
        <f>"     "&amp;E629</f>
        <v xml:space="preserve">     Tank Grip / Protector Estanque Tracción Yamaha Mt03 Colores</v>
      </c>
      <c r="F630" s="52" t="s">
        <v>90</v>
      </c>
      <c r="G630" s="53">
        <v>0</v>
      </c>
      <c r="H630" s="52" t="s">
        <v>62</v>
      </c>
      <c r="I630" s="52">
        <f>I629</f>
        <v>9990</v>
      </c>
      <c r="J630" s="52" t="str">
        <f>J629&amp;"     "</f>
        <v xml:space="preserve">$     </v>
      </c>
      <c r="K630" s="52" t="str">
        <f>K629&amp;"     "</f>
        <v xml:space="preserve">Nuevo     </v>
      </c>
      <c r="L630" s="52" t="str">
        <f>L629&amp;"     "</f>
        <v xml:space="preserve">Mercado Envíos a cargo del comprador     </v>
      </c>
      <c r="M630" s="52" t="str">
        <f>M629&amp;"     "</f>
        <v xml:space="preserve">Premium     </v>
      </c>
      <c r="N630" s="52" t="str">
        <f ca="1">N629</f>
        <v>18%</v>
      </c>
      <c r="O630" s="52" t="str">
        <f>O629&amp;"     "</f>
        <v xml:space="preserve">Inactiva     </v>
      </c>
    </row>
    <row r="631" spans="1:15" ht="49.95" customHeight="1">
      <c r="A631" s="52" t="s">
        <v>24</v>
      </c>
      <c r="B631" s="52" t="s">
        <v>1585</v>
      </c>
      <c r="C631" s="52" t="s">
        <v>1588</v>
      </c>
      <c r="D631" s="52" t="s">
        <v>1588</v>
      </c>
      <c r="E631" s="54" t="str">
        <f>"     "&amp;E629</f>
        <v xml:space="preserve">     Tank Grip / Protector Estanque Tracción Yamaha Mt03 Colores</v>
      </c>
      <c r="F631" s="52" t="s">
        <v>84</v>
      </c>
      <c r="G631" s="53">
        <v>0</v>
      </c>
      <c r="H631" s="52" t="s">
        <v>62</v>
      </c>
      <c r="I631" s="52">
        <f>I629</f>
        <v>9990</v>
      </c>
      <c r="J631" s="52" t="str">
        <f>J629&amp;"     "</f>
        <v xml:space="preserve">$     </v>
      </c>
      <c r="K631" s="52" t="str">
        <f>K629&amp;"     "</f>
        <v xml:space="preserve">Nuevo     </v>
      </c>
      <c r="L631" s="52" t="str">
        <f>L629&amp;"     "</f>
        <v xml:space="preserve">Mercado Envíos a cargo del comprador     </v>
      </c>
      <c r="M631" s="52" t="str">
        <f>M629&amp;"     "</f>
        <v xml:space="preserve">Premium     </v>
      </c>
      <c r="N631" s="52" t="str">
        <f ca="1">N629</f>
        <v>18%</v>
      </c>
      <c r="O631" s="52" t="str">
        <f>O629&amp;"     "</f>
        <v xml:space="preserve">Inactiva     </v>
      </c>
    </row>
    <row r="632" spans="1:15" ht="49.95" customHeight="1">
      <c r="A632" s="52" t="s">
        <v>24</v>
      </c>
      <c r="B632" s="52" t="s">
        <v>1585</v>
      </c>
      <c r="C632" s="52" t="s">
        <v>1589</v>
      </c>
      <c r="D632" s="52" t="s">
        <v>1589</v>
      </c>
      <c r="E632" s="54" t="str">
        <f>"     "&amp;E629</f>
        <v xml:space="preserve">     Tank Grip / Protector Estanque Tracción Yamaha Mt03 Colores</v>
      </c>
      <c r="F632" s="52" t="s">
        <v>86</v>
      </c>
      <c r="G632" s="53">
        <v>0</v>
      </c>
      <c r="H632" s="52" t="s">
        <v>62</v>
      </c>
      <c r="I632" s="52">
        <f>I629</f>
        <v>9990</v>
      </c>
      <c r="J632" s="52" t="str">
        <f>J629&amp;"     "</f>
        <v xml:space="preserve">$     </v>
      </c>
      <c r="K632" s="52" t="str">
        <f>K629&amp;"     "</f>
        <v xml:space="preserve">Nuevo     </v>
      </c>
      <c r="L632" s="52" t="str">
        <f>L629&amp;"     "</f>
        <v xml:space="preserve">Mercado Envíos a cargo del comprador     </v>
      </c>
      <c r="M632" s="52" t="str">
        <f>M629&amp;"     "</f>
        <v xml:space="preserve">Premium     </v>
      </c>
      <c r="N632" s="52" t="str">
        <f ca="1">N629</f>
        <v>18%</v>
      </c>
      <c r="O632" s="52" t="str">
        <f>O629&amp;"     "</f>
        <v xml:space="preserve">Inactiva     </v>
      </c>
    </row>
    <row r="633" spans="1:15" ht="49.95" customHeight="1">
      <c r="A633" s="52" t="s">
        <v>1590</v>
      </c>
      <c r="B633" s="52" t="s">
        <v>1591</v>
      </c>
      <c r="C633" s="52" t="s">
        <v>1592</v>
      </c>
      <c r="D633" s="52"/>
      <c r="E633" s="52" t="s">
        <v>1593</v>
      </c>
      <c r="F633" s="52" t="s">
        <v>1593</v>
      </c>
      <c r="G633" s="53">
        <v>0</v>
      </c>
      <c r="H633" s="52" t="s">
        <v>62</v>
      </c>
      <c r="I633" s="53">
        <v>29990</v>
      </c>
      <c r="J633" s="53" t="s">
        <v>63</v>
      </c>
      <c r="K633" s="53" t="s">
        <v>64</v>
      </c>
      <c r="L633" s="53" t="s">
        <v>65</v>
      </c>
      <c r="M633" s="53" t="s">
        <v>66</v>
      </c>
      <c r="N633" s="52" t="str">
        <f ca="1">IF(INDIRECT("M633")="Clásica","14%",IF(INDIRECT("M633")="Premium","18%","-"))</f>
        <v>14%</v>
      </c>
      <c r="O633" s="53" t="s">
        <v>1455</v>
      </c>
    </row>
    <row r="634" spans="1:15" ht="49.95" customHeight="1">
      <c r="A634" s="52" t="s">
        <v>1594</v>
      </c>
      <c r="B634" s="52" t="s">
        <v>1595</v>
      </c>
      <c r="C634" s="52" t="s">
        <v>1596</v>
      </c>
      <c r="D634" s="52"/>
      <c r="E634" s="52" t="s">
        <v>1597</v>
      </c>
      <c r="F634" s="52" t="s">
        <v>1597</v>
      </c>
      <c r="G634" s="53">
        <v>0</v>
      </c>
      <c r="H634" s="52" t="s">
        <v>62</v>
      </c>
      <c r="I634" s="53">
        <v>29990</v>
      </c>
      <c r="J634" s="53" t="s">
        <v>63</v>
      </c>
      <c r="K634" s="53" t="s">
        <v>64</v>
      </c>
      <c r="L634" s="53" t="s">
        <v>65</v>
      </c>
      <c r="M634" s="53" t="s">
        <v>66</v>
      </c>
      <c r="N634" s="52" t="str">
        <f ca="1">IF(INDIRECT("M634")="Clásica","14%",IF(INDIRECT("M634")="Premium","18%","-"))</f>
        <v>14%</v>
      </c>
      <c r="O634" s="53" t="s">
        <v>1455</v>
      </c>
    </row>
    <row r="635" spans="1:15" ht="49.95" customHeight="1">
      <c r="A635" s="52" t="s">
        <v>1598</v>
      </c>
      <c r="B635" s="52" t="s">
        <v>1599</v>
      </c>
      <c r="C635" s="52" t="s">
        <v>1600</v>
      </c>
      <c r="D635" s="52"/>
      <c r="E635" s="52" t="s">
        <v>1601</v>
      </c>
      <c r="F635" s="52" t="s">
        <v>1601</v>
      </c>
      <c r="G635" s="53">
        <v>0</v>
      </c>
      <c r="H635" s="52" t="s">
        <v>62</v>
      </c>
      <c r="I635" s="53">
        <v>12990</v>
      </c>
      <c r="J635" s="53" t="s">
        <v>63</v>
      </c>
      <c r="K635" s="53" t="s">
        <v>64</v>
      </c>
      <c r="L635" s="53" t="s">
        <v>71</v>
      </c>
      <c r="M635" s="53" t="s">
        <v>1240</v>
      </c>
      <c r="N635" s="52" t="str">
        <f ca="1">IF(INDIRECT("M635")="Clásica","14%",IF(INDIRECT("M635")="Premium","18%","-"))</f>
        <v>18%</v>
      </c>
      <c r="O635" s="53" t="s">
        <v>1455</v>
      </c>
    </row>
    <row r="636" spans="1:15" ht="49.95" customHeight="1">
      <c r="A636" s="52" t="s">
        <v>24</v>
      </c>
      <c r="B636" s="52" t="s">
        <v>1602</v>
      </c>
      <c r="C636" s="52"/>
      <c r="D636" s="52"/>
      <c r="E636" s="52" t="s">
        <v>1603</v>
      </c>
      <c r="F636" s="52" t="s">
        <v>62</v>
      </c>
      <c r="G636" s="52" t="s">
        <v>1473</v>
      </c>
      <c r="H636" s="52" t="s">
        <v>62</v>
      </c>
      <c r="I636" s="53">
        <v>14990</v>
      </c>
      <c r="J636" s="53" t="s">
        <v>63</v>
      </c>
      <c r="K636" s="53" t="s">
        <v>64</v>
      </c>
      <c r="L636" s="53" t="s">
        <v>71</v>
      </c>
      <c r="M636" s="53" t="s">
        <v>1240</v>
      </c>
      <c r="N636" s="52" t="str">
        <f ca="1">IF(INDIRECT("M636")="Clásica","14%",IF(INDIRECT("M636")="Premium","18%","-"))</f>
        <v>18%</v>
      </c>
      <c r="O636" s="53" t="s">
        <v>1455</v>
      </c>
    </row>
    <row r="637" spans="1:15" ht="49.95" customHeight="1">
      <c r="A637" s="52" t="s">
        <v>24</v>
      </c>
      <c r="B637" s="52" t="s">
        <v>1602</v>
      </c>
      <c r="C637" s="52" t="s">
        <v>1604</v>
      </c>
      <c r="D637" s="52" t="s">
        <v>1604</v>
      </c>
      <c r="E637" s="54" t="str">
        <f>"     "&amp;E636</f>
        <v xml:space="preserve">     Puños Honda Cb190 Cb190r Cb 190 Con Logo Colores Sin Tope</v>
      </c>
      <c r="F637" s="52" t="s">
        <v>100</v>
      </c>
      <c r="G637" s="53">
        <v>0</v>
      </c>
      <c r="H637" s="52" t="s">
        <v>62</v>
      </c>
      <c r="I637" s="52">
        <f>I636</f>
        <v>14990</v>
      </c>
      <c r="J637" s="52" t="str">
        <f>J636&amp;"     "</f>
        <v xml:space="preserve">$     </v>
      </c>
      <c r="K637" s="52" t="str">
        <f>K636&amp;"     "</f>
        <v xml:space="preserve">Nuevo     </v>
      </c>
      <c r="L637" s="52" t="str">
        <f>L636&amp;"     "</f>
        <v xml:space="preserve">Mercado Envíos a cargo del comprador     </v>
      </c>
      <c r="M637" s="52" t="str">
        <f>M636&amp;"     "</f>
        <v xml:space="preserve">Premium     </v>
      </c>
      <c r="N637" s="52" t="str">
        <f ca="1">N636</f>
        <v>18%</v>
      </c>
      <c r="O637" s="52" t="str">
        <f>O636&amp;"     "</f>
        <v xml:space="preserve">Inactiva     </v>
      </c>
    </row>
    <row r="638" spans="1:15" ht="49.95" customHeight="1">
      <c r="A638" s="52" t="s">
        <v>24</v>
      </c>
      <c r="B638" s="52" t="s">
        <v>1602</v>
      </c>
      <c r="C638" s="52" t="s">
        <v>1605</v>
      </c>
      <c r="D638" s="52" t="s">
        <v>1605</v>
      </c>
      <c r="E638" s="54" t="str">
        <f>"     "&amp;E636</f>
        <v xml:space="preserve">     Puños Honda Cb190 Cb190r Cb 190 Con Logo Colores Sin Tope</v>
      </c>
      <c r="F638" s="52" t="s">
        <v>90</v>
      </c>
      <c r="G638" s="53">
        <v>0</v>
      </c>
      <c r="H638" s="52" t="s">
        <v>62</v>
      </c>
      <c r="I638" s="52">
        <f>I636</f>
        <v>14990</v>
      </c>
      <c r="J638" s="52" t="str">
        <f>J636&amp;"     "</f>
        <v xml:space="preserve">$     </v>
      </c>
      <c r="K638" s="52" t="str">
        <f>K636&amp;"     "</f>
        <v xml:space="preserve">Nuevo     </v>
      </c>
      <c r="L638" s="52" t="str">
        <f>L636&amp;"     "</f>
        <v xml:space="preserve">Mercado Envíos a cargo del comprador     </v>
      </c>
      <c r="M638" s="52" t="str">
        <f>M636&amp;"     "</f>
        <v xml:space="preserve">Premium     </v>
      </c>
      <c r="N638" s="52" t="str">
        <f ca="1">N636</f>
        <v>18%</v>
      </c>
      <c r="O638" s="52" t="str">
        <f>O636&amp;"     "</f>
        <v xml:space="preserve">Inactiva     </v>
      </c>
    </row>
    <row r="639" spans="1:15" ht="49.95" customHeight="1">
      <c r="A639" s="52" t="s">
        <v>24</v>
      </c>
      <c r="B639" s="52" t="s">
        <v>1602</v>
      </c>
      <c r="C639" s="52" t="s">
        <v>1606</v>
      </c>
      <c r="D639" s="52" t="s">
        <v>1606</v>
      </c>
      <c r="E639" s="54" t="str">
        <f>"     "&amp;E636</f>
        <v xml:space="preserve">     Puños Honda Cb190 Cb190r Cb 190 Con Logo Colores Sin Tope</v>
      </c>
      <c r="F639" s="52" t="s">
        <v>86</v>
      </c>
      <c r="G639" s="53">
        <v>0</v>
      </c>
      <c r="H639" s="52" t="s">
        <v>62</v>
      </c>
      <c r="I639" s="52">
        <f>I636</f>
        <v>14990</v>
      </c>
      <c r="J639" s="52" t="str">
        <f>J636&amp;"     "</f>
        <v xml:space="preserve">$     </v>
      </c>
      <c r="K639" s="52" t="str">
        <f>K636&amp;"     "</f>
        <v xml:space="preserve">Nuevo     </v>
      </c>
      <c r="L639" s="52" t="str">
        <f>L636&amp;"     "</f>
        <v xml:space="preserve">Mercado Envíos a cargo del comprador     </v>
      </c>
      <c r="M639" s="52" t="str">
        <f>M636&amp;"     "</f>
        <v xml:space="preserve">Premium     </v>
      </c>
      <c r="N639" s="52" t="str">
        <f ca="1">N636</f>
        <v>18%</v>
      </c>
      <c r="O639" s="52" t="str">
        <f>O636&amp;"     "</f>
        <v xml:space="preserve">Inactiva     </v>
      </c>
    </row>
    <row r="640" spans="1:15" ht="49.95" customHeight="1">
      <c r="A640" s="52" t="s">
        <v>24</v>
      </c>
      <c r="B640" s="52" t="s">
        <v>1602</v>
      </c>
      <c r="C640" s="52" t="s">
        <v>1607</v>
      </c>
      <c r="D640" s="52" t="s">
        <v>1607</v>
      </c>
      <c r="E640" s="54" t="str">
        <f>"     "&amp;E636</f>
        <v xml:space="preserve">     Puños Honda Cb190 Cb190r Cb 190 Con Logo Colores Sin Tope</v>
      </c>
      <c r="F640" s="52" t="s">
        <v>88</v>
      </c>
      <c r="G640" s="53">
        <v>0</v>
      </c>
      <c r="H640" s="52" t="s">
        <v>62</v>
      </c>
      <c r="I640" s="52">
        <f>I636</f>
        <v>14990</v>
      </c>
      <c r="J640" s="52" t="str">
        <f>J636&amp;"     "</f>
        <v xml:space="preserve">$     </v>
      </c>
      <c r="K640" s="52" t="str">
        <f>K636&amp;"     "</f>
        <v xml:space="preserve">Nuevo     </v>
      </c>
      <c r="L640" s="52" t="str">
        <f>L636&amp;"     "</f>
        <v xml:space="preserve">Mercado Envíos a cargo del comprador     </v>
      </c>
      <c r="M640" s="52" t="str">
        <f>M636&amp;"     "</f>
        <v xml:space="preserve">Premium     </v>
      </c>
      <c r="N640" s="52" t="str">
        <f ca="1">N636</f>
        <v>18%</v>
      </c>
      <c r="O640" s="52" t="str">
        <f>O636&amp;"     "</f>
        <v xml:space="preserve">Inactiva     </v>
      </c>
    </row>
    <row r="641" spans="1:15" ht="49.95" customHeight="1">
      <c r="A641" s="52" t="s">
        <v>24</v>
      </c>
      <c r="B641" s="52" t="s">
        <v>1608</v>
      </c>
      <c r="C641" s="52"/>
      <c r="D641" s="52"/>
      <c r="E641" s="52" t="s">
        <v>1609</v>
      </c>
      <c r="F641" s="52" t="s">
        <v>62</v>
      </c>
      <c r="G641" s="52" t="s">
        <v>1473</v>
      </c>
      <c r="H641" s="52" t="s">
        <v>62</v>
      </c>
      <c r="I641" s="53">
        <v>49990</v>
      </c>
      <c r="J641" s="53" t="s">
        <v>63</v>
      </c>
      <c r="K641" s="53" t="s">
        <v>64</v>
      </c>
      <c r="L641" s="53" t="s">
        <v>65</v>
      </c>
      <c r="M641" s="53" t="s">
        <v>66</v>
      </c>
      <c r="N641" s="52" t="str">
        <f ca="1">IF(INDIRECT("M641")="Clásica","15%",IF(INDIRECT("M641")="Premium","19%","-"))</f>
        <v>15%</v>
      </c>
      <c r="O641" s="53" t="s">
        <v>1455</v>
      </c>
    </row>
    <row r="642" spans="1:15" ht="49.95" customHeight="1">
      <c r="A642" s="52" t="s">
        <v>24</v>
      </c>
      <c r="B642" s="52" t="s">
        <v>1608</v>
      </c>
      <c r="C642" s="52" t="s">
        <v>1610</v>
      </c>
      <c r="D642" s="52" t="s">
        <v>1610</v>
      </c>
      <c r="E642" s="54" t="str">
        <f>"     "&amp;E641</f>
        <v xml:space="preserve">     Cúpula Parabrisas Doble Burbuja Yamaha R3a (2019/....)</v>
      </c>
      <c r="F642" s="52" t="s">
        <v>224</v>
      </c>
      <c r="G642" s="53">
        <v>0</v>
      </c>
      <c r="H642" s="52" t="s">
        <v>62</v>
      </c>
      <c r="I642" s="52">
        <f>I641</f>
        <v>49990</v>
      </c>
      <c r="J642" s="52" t="str">
        <f>J641&amp;"     "</f>
        <v xml:space="preserve">$     </v>
      </c>
      <c r="K642" s="52" t="str">
        <f>K641&amp;"     "</f>
        <v xml:space="preserve">Nuevo     </v>
      </c>
      <c r="L642" s="52" t="str">
        <f>L641&amp;"     "</f>
        <v xml:space="preserve">Mercado Envíos gratis     </v>
      </c>
      <c r="M642" s="52" t="str">
        <f>M641&amp;"     "</f>
        <v xml:space="preserve">Clásica     </v>
      </c>
      <c r="N642" s="52" t="str">
        <f ca="1">N641</f>
        <v>15%</v>
      </c>
      <c r="O642" s="52" t="str">
        <f>O641&amp;"     "</f>
        <v xml:space="preserve">Inactiva     </v>
      </c>
    </row>
    <row r="643" spans="1:15" ht="49.95" customHeight="1">
      <c r="A643" s="52" t="s">
        <v>24</v>
      </c>
      <c r="B643" s="52" t="s">
        <v>1608</v>
      </c>
      <c r="C643" s="52" t="s">
        <v>1611</v>
      </c>
      <c r="D643" s="52" t="s">
        <v>1611</v>
      </c>
      <c r="E643" s="54" t="str">
        <f>"     "&amp;E641</f>
        <v xml:space="preserve">     Cúpula Parabrisas Doble Burbuja Yamaha R3a (2019/....)</v>
      </c>
      <c r="F643" s="52" t="s">
        <v>86</v>
      </c>
      <c r="G643" s="53">
        <v>0</v>
      </c>
      <c r="H643" s="52" t="s">
        <v>62</v>
      </c>
      <c r="I643" s="52">
        <f>I641</f>
        <v>49990</v>
      </c>
      <c r="J643" s="52" t="str">
        <f>J641&amp;"     "</f>
        <v xml:space="preserve">$     </v>
      </c>
      <c r="K643" s="52" t="str">
        <f>K641&amp;"     "</f>
        <v xml:space="preserve">Nuevo     </v>
      </c>
      <c r="L643" s="52" t="str">
        <f>L641&amp;"     "</f>
        <v xml:space="preserve">Mercado Envíos gratis     </v>
      </c>
      <c r="M643" s="52" t="str">
        <f>M641&amp;"     "</f>
        <v xml:space="preserve">Clásica     </v>
      </c>
      <c r="N643" s="52" t="str">
        <f ca="1">N641</f>
        <v>15%</v>
      </c>
      <c r="O643" s="52" t="str">
        <f>O641&amp;"     "</f>
        <v xml:space="preserve">Inactiva     </v>
      </c>
    </row>
    <row r="644" spans="1:15" ht="49.95" customHeight="1">
      <c r="A644" s="52" t="s">
        <v>1612</v>
      </c>
      <c r="B644" s="52" t="s">
        <v>1613</v>
      </c>
      <c r="C644" s="52" t="s">
        <v>1614</v>
      </c>
      <c r="D644" s="52"/>
      <c r="E644" s="52" t="s">
        <v>1615</v>
      </c>
      <c r="F644" s="52" t="s">
        <v>1616</v>
      </c>
      <c r="G644" s="53">
        <v>0</v>
      </c>
      <c r="H644" s="52" t="s">
        <v>62</v>
      </c>
      <c r="I644" s="53">
        <v>44990</v>
      </c>
      <c r="J644" s="53" t="s">
        <v>63</v>
      </c>
      <c r="K644" s="53" t="s">
        <v>64</v>
      </c>
      <c r="L644" s="53" t="s">
        <v>65</v>
      </c>
      <c r="M644" s="53" t="s">
        <v>66</v>
      </c>
      <c r="N644" s="52" t="str">
        <f ca="1">IF(INDIRECT("M644")="Clásica","14%",IF(INDIRECT("M644")="Premium","18%","-"))</f>
        <v>14%</v>
      </c>
      <c r="O644" s="53" t="s">
        <v>1455</v>
      </c>
    </row>
    <row r="645" spans="1:15" ht="49.95" customHeight="1">
      <c r="A645" s="52" t="s">
        <v>24</v>
      </c>
      <c r="B645" s="52" t="s">
        <v>1617</v>
      </c>
      <c r="C645" s="52"/>
      <c r="D645" s="52"/>
      <c r="E645" s="52" t="s">
        <v>1618</v>
      </c>
      <c r="F645" s="52" t="s">
        <v>62</v>
      </c>
      <c r="G645" s="52" t="s">
        <v>1473</v>
      </c>
      <c r="H645" s="52" t="s">
        <v>62</v>
      </c>
      <c r="I645" s="53">
        <v>14990</v>
      </c>
      <c r="J645" s="53" t="s">
        <v>63</v>
      </c>
      <c r="K645" s="53" t="s">
        <v>64</v>
      </c>
      <c r="L645" s="53" t="s">
        <v>71</v>
      </c>
      <c r="M645" s="53" t="s">
        <v>1240</v>
      </c>
      <c r="N645" s="52" t="str">
        <f ca="1">IF(INDIRECT("M645")="Clásica","14%",IF(INDIRECT("M645")="Premium","18%","-"))</f>
        <v>18%</v>
      </c>
      <c r="O645" s="53" t="s">
        <v>1455</v>
      </c>
    </row>
    <row r="646" spans="1:15" ht="49.95" customHeight="1">
      <c r="A646" s="52" t="s">
        <v>24</v>
      </c>
      <c r="B646" s="52" t="s">
        <v>1617</v>
      </c>
      <c r="C646" s="52" t="s">
        <v>1619</v>
      </c>
      <c r="D646" s="52" t="s">
        <v>1619</v>
      </c>
      <c r="E646" s="54" t="str">
        <f>"     "&amp;E645</f>
        <v xml:space="preserve">     Tank Pad Protector Estanque Honda Cb190 Cb190r Desde 2020</v>
      </c>
      <c r="F646" s="52" t="s">
        <v>1504</v>
      </c>
      <c r="G646" s="53">
        <v>0</v>
      </c>
      <c r="H646" s="52" t="s">
        <v>62</v>
      </c>
      <c r="I646" s="52">
        <f>I645</f>
        <v>14990</v>
      </c>
      <c r="J646" s="52" t="str">
        <f>J645&amp;"     "</f>
        <v xml:space="preserve">$     </v>
      </c>
      <c r="K646" s="52" t="str">
        <f>K645&amp;"     "</f>
        <v xml:space="preserve">Nuevo     </v>
      </c>
      <c r="L646" s="52" t="str">
        <f>L645&amp;"     "</f>
        <v xml:space="preserve">Mercado Envíos a cargo del comprador     </v>
      </c>
      <c r="M646" s="52" t="str">
        <f>M645&amp;"     "</f>
        <v xml:space="preserve">Premium     </v>
      </c>
      <c r="N646" s="52" t="str">
        <f ca="1">N645</f>
        <v>18%</v>
      </c>
      <c r="O646" s="52" t="str">
        <f>O645&amp;"     "</f>
        <v xml:space="preserve">Inactiva     </v>
      </c>
    </row>
    <row r="647" spans="1:15" ht="49.95" customHeight="1">
      <c r="A647" s="52" t="s">
        <v>24</v>
      </c>
      <c r="B647" s="52" t="s">
        <v>1617</v>
      </c>
      <c r="C647" s="52" t="s">
        <v>1620</v>
      </c>
      <c r="D647" s="52" t="s">
        <v>1620</v>
      </c>
      <c r="E647" s="54" t="str">
        <f>"     "&amp;E645</f>
        <v xml:space="preserve">     Tank Pad Protector Estanque Honda Cb190 Cb190r Desde 2020</v>
      </c>
      <c r="F647" s="52" t="s">
        <v>100</v>
      </c>
      <c r="G647" s="53">
        <v>0</v>
      </c>
      <c r="H647" s="52" t="s">
        <v>62</v>
      </c>
      <c r="I647" s="52">
        <f>I645</f>
        <v>14990</v>
      </c>
      <c r="J647" s="52" t="str">
        <f>J645&amp;"     "</f>
        <v xml:space="preserve">$     </v>
      </c>
      <c r="K647" s="52" t="str">
        <f>K645&amp;"     "</f>
        <v xml:space="preserve">Nuevo     </v>
      </c>
      <c r="L647" s="52" t="str">
        <f>L645&amp;"     "</f>
        <v xml:space="preserve">Mercado Envíos a cargo del comprador     </v>
      </c>
      <c r="M647" s="52" t="str">
        <f>M645&amp;"     "</f>
        <v xml:space="preserve">Premium     </v>
      </c>
      <c r="N647" s="52" t="str">
        <f ca="1">N645</f>
        <v>18%</v>
      </c>
      <c r="O647" s="52" t="str">
        <f>O645&amp;"     "</f>
        <v xml:space="preserve">Inactiva     </v>
      </c>
    </row>
    <row r="648" spans="1:15" ht="49.95" customHeight="1">
      <c r="A648" s="52" t="s">
        <v>24</v>
      </c>
      <c r="B648" s="52" t="s">
        <v>1617</v>
      </c>
      <c r="C648" s="52" t="s">
        <v>1621</v>
      </c>
      <c r="D648" s="52" t="s">
        <v>1621</v>
      </c>
      <c r="E648" s="54" t="str">
        <f>"     "&amp;E645</f>
        <v xml:space="preserve">     Tank Pad Protector Estanque Honda Cb190 Cb190r Desde 2020</v>
      </c>
      <c r="F648" s="52" t="s">
        <v>90</v>
      </c>
      <c r="G648" s="53">
        <v>0</v>
      </c>
      <c r="H648" s="52" t="s">
        <v>62</v>
      </c>
      <c r="I648" s="52">
        <f>I645</f>
        <v>14990</v>
      </c>
      <c r="J648" s="52" t="str">
        <f>J645&amp;"     "</f>
        <v xml:space="preserve">$     </v>
      </c>
      <c r="K648" s="52" t="str">
        <f>K645&amp;"     "</f>
        <v xml:space="preserve">Nuevo     </v>
      </c>
      <c r="L648" s="52" t="str">
        <f>L645&amp;"     "</f>
        <v xml:space="preserve">Mercado Envíos a cargo del comprador     </v>
      </c>
      <c r="M648" s="52" t="str">
        <f>M645&amp;"     "</f>
        <v xml:space="preserve">Premium     </v>
      </c>
      <c r="N648" s="52" t="str">
        <f ca="1">N645</f>
        <v>18%</v>
      </c>
      <c r="O648" s="52" t="str">
        <f>O645&amp;"     "</f>
        <v xml:space="preserve">Inactiva     </v>
      </c>
    </row>
    <row r="649" spans="1:15" ht="49.95" customHeight="1">
      <c r="A649" s="52" t="s">
        <v>24</v>
      </c>
      <c r="B649" s="52" t="s">
        <v>1622</v>
      </c>
      <c r="C649" s="52"/>
      <c r="D649" s="52"/>
      <c r="E649" s="52" t="s">
        <v>1623</v>
      </c>
      <c r="F649" s="52" t="s">
        <v>62</v>
      </c>
      <c r="G649" s="52" t="s">
        <v>1473</v>
      </c>
      <c r="H649" s="52" t="s">
        <v>62</v>
      </c>
      <c r="I649" s="53">
        <v>29990</v>
      </c>
      <c r="J649" s="53" t="s">
        <v>63</v>
      </c>
      <c r="K649" s="53" t="s">
        <v>64</v>
      </c>
      <c r="L649" s="53" t="s">
        <v>65</v>
      </c>
      <c r="M649" s="53" t="s">
        <v>66</v>
      </c>
      <c r="N649" s="52" t="str">
        <f ca="1">IF(INDIRECT("M649")="Clásica","14%",IF(INDIRECT("M649")="Premium","18%","-"))</f>
        <v>14%</v>
      </c>
      <c r="O649" s="53" t="s">
        <v>1455</v>
      </c>
    </row>
    <row r="650" spans="1:15" ht="49.95" customHeight="1">
      <c r="A650" s="52" t="s">
        <v>24</v>
      </c>
      <c r="B650" s="52" t="s">
        <v>1622</v>
      </c>
      <c r="C650" s="52" t="s">
        <v>1624</v>
      </c>
      <c r="D650" s="52" t="s">
        <v>1624</v>
      </c>
      <c r="E650" s="54" t="str">
        <f>"     "&amp;E649</f>
        <v xml:space="preserve">     Protector Radiador Cubre Yamaha R3 R3a R 3 A Base Gris</v>
      </c>
      <c r="F650" s="52" t="s">
        <v>86</v>
      </c>
      <c r="G650" s="53">
        <v>0</v>
      </c>
      <c r="H650" s="52" t="s">
        <v>62</v>
      </c>
      <c r="I650" s="52">
        <f>I649</f>
        <v>29990</v>
      </c>
      <c r="J650" s="52" t="str">
        <f>J649&amp;"     "</f>
        <v xml:space="preserve">$     </v>
      </c>
      <c r="K650" s="52" t="str">
        <f>K649&amp;"     "</f>
        <v xml:space="preserve">Nuevo     </v>
      </c>
      <c r="L650" s="52" t="str">
        <f>L649&amp;"     "</f>
        <v xml:space="preserve">Mercado Envíos gratis     </v>
      </c>
      <c r="M650" s="52" t="str">
        <f>M649&amp;"     "</f>
        <v xml:space="preserve">Clásica     </v>
      </c>
      <c r="N650" s="52" t="str">
        <f ca="1">N649</f>
        <v>14%</v>
      </c>
      <c r="O650" s="52" t="str">
        <f>O649&amp;"     "</f>
        <v xml:space="preserve">Inactiva     </v>
      </c>
    </row>
    <row r="651" spans="1:15" ht="49.95" customHeight="1">
      <c r="A651" s="52" t="s">
        <v>24</v>
      </c>
      <c r="B651" s="52" t="s">
        <v>1622</v>
      </c>
      <c r="C651" s="52" t="s">
        <v>1625</v>
      </c>
      <c r="D651" s="52" t="s">
        <v>1625</v>
      </c>
      <c r="E651" s="54" t="str">
        <f>"     "&amp;E649</f>
        <v xml:space="preserve">     Protector Radiador Cubre Yamaha R3 R3a R 3 A Base Gris</v>
      </c>
      <c r="F651" s="52" t="s">
        <v>90</v>
      </c>
      <c r="G651" s="53">
        <v>0</v>
      </c>
      <c r="H651" s="52" t="s">
        <v>62</v>
      </c>
      <c r="I651" s="52">
        <f>I649</f>
        <v>29990</v>
      </c>
      <c r="J651" s="52" t="str">
        <f>J649&amp;"     "</f>
        <v xml:space="preserve">$     </v>
      </c>
      <c r="K651" s="52" t="str">
        <f>K649&amp;"     "</f>
        <v xml:space="preserve">Nuevo     </v>
      </c>
      <c r="L651" s="52" t="str">
        <f>L649&amp;"     "</f>
        <v xml:space="preserve">Mercado Envíos gratis     </v>
      </c>
      <c r="M651" s="52" t="str">
        <f>M649&amp;"     "</f>
        <v xml:space="preserve">Clásica     </v>
      </c>
      <c r="N651" s="52" t="str">
        <f ca="1">N649</f>
        <v>14%</v>
      </c>
      <c r="O651" s="52" t="str">
        <f>O649&amp;"     "</f>
        <v xml:space="preserve">Inactiva     </v>
      </c>
    </row>
    <row r="652" spans="1:15" ht="49.95" customHeight="1">
      <c r="A652" s="52" t="s">
        <v>24</v>
      </c>
      <c r="B652" s="52" t="s">
        <v>1626</v>
      </c>
      <c r="C652" s="52"/>
      <c r="D652" s="52"/>
      <c r="E652" s="52" t="s">
        <v>1627</v>
      </c>
      <c r="F652" s="52" t="s">
        <v>62</v>
      </c>
      <c r="G652" s="52" t="s">
        <v>1473</v>
      </c>
      <c r="H652" s="52" t="s">
        <v>62</v>
      </c>
      <c r="I652" s="53">
        <v>39990</v>
      </c>
      <c r="J652" s="53" t="s">
        <v>63</v>
      </c>
      <c r="K652" s="53" t="s">
        <v>64</v>
      </c>
      <c r="L652" s="53" t="s">
        <v>65</v>
      </c>
      <c r="M652" s="53" t="s">
        <v>66</v>
      </c>
      <c r="N652" s="52" t="str">
        <f ca="1">IF(INDIRECT("M652")="Clásica","14%",IF(INDIRECT("M652")="Premium","18%","-"))</f>
        <v>14%</v>
      </c>
      <c r="O652" s="53" t="s">
        <v>1455</v>
      </c>
    </row>
    <row r="653" spans="1:15" ht="49.95" customHeight="1">
      <c r="A653" s="52" t="s">
        <v>24</v>
      </c>
      <c r="B653" s="52" t="s">
        <v>1626</v>
      </c>
      <c r="C653" s="52" t="s">
        <v>1628</v>
      </c>
      <c r="D653" s="52" t="s">
        <v>1628</v>
      </c>
      <c r="E653" s="54" t="str">
        <f>"     "&amp;E652</f>
        <v xml:space="preserve">     Reposabrazos Pasajero Honda Cb190 Cb190r Hasta 2019 Colores</v>
      </c>
      <c r="F653" s="52" t="s">
        <v>86</v>
      </c>
      <c r="G653" s="53">
        <v>0</v>
      </c>
      <c r="H653" s="52" t="s">
        <v>62</v>
      </c>
      <c r="I653" s="52">
        <f>I652</f>
        <v>39990</v>
      </c>
      <c r="J653" s="52" t="str">
        <f>J652&amp;"     "</f>
        <v xml:space="preserve">$     </v>
      </c>
      <c r="K653" s="52" t="str">
        <f>K652&amp;"     "</f>
        <v xml:space="preserve">Nuevo     </v>
      </c>
      <c r="L653" s="52" t="str">
        <f>L652&amp;"     "</f>
        <v xml:space="preserve">Mercado Envíos gratis     </v>
      </c>
      <c r="M653" s="52" t="str">
        <f>M652&amp;"     "</f>
        <v xml:space="preserve">Clásica     </v>
      </c>
      <c r="N653" s="52" t="str">
        <f ca="1">N652</f>
        <v>14%</v>
      </c>
      <c r="O653" s="52" t="str">
        <f>O652&amp;"     "</f>
        <v xml:space="preserve">Inactiva     </v>
      </c>
    </row>
    <row r="654" spans="1:15" ht="49.95" customHeight="1">
      <c r="A654" s="52" t="s">
        <v>24</v>
      </c>
      <c r="B654" s="52" t="s">
        <v>1626</v>
      </c>
      <c r="C654" s="52" t="s">
        <v>1629</v>
      </c>
      <c r="D654" s="52" t="s">
        <v>1629</v>
      </c>
      <c r="E654" s="54" t="str">
        <f>"     "&amp;E652</f>
        <v xml:space="preserve">     Reposabrazos Pasajero Honda Cb190 Cb190r Hasta 2019 Colores</v>
      </c>
      <c r="F654" s="52" t="s">
        <v>100</v>
      </c>
      <c r="G654" s="53">
        <v>0</v>
      </c>
      <c r="H654" s="52" t="s">
        <v>62</v>
      </c>
      <c r="I654" s="52">
        <f>I652</f>
        <v>39990</v>
      </c>
      <c r="J654" s="52" t="str">
        <f>J652&amp;"     "</f>
        <v xml:space="preserve">$     </v>
      </c>
      <c r="K654" s="52" t="str">
        <f>K652&amp;"     "</f>
        <v xml:space="preserve">Nuevo     </v>
      </c>
      <c r="L654" s="52" t="str">
        <f>L652&amp;"     "</f>
        <v xml:space="preserve">Mercado Envíos gratis     </v>
      </c>
      <c r="M654" s="52" t="str">
        <f>M652&amp;"     "</f>
        <v xml:space="preserve">Clásica     </v>
      </c>
      <c r="N654" s="52" t="str">
        <f ca="1">N652</f>
        <v>14%</v>
      </c>
      <c r="O654" s="52" t="str">
        <f>O652&amp;"     "</f>
        <v xml:space="preserve">Inactiva     </v>
      </c>
    </row>
    <row r="655" spans="1:15" ht="49.95" customHeight="1">
      <c r="A655" s="52" t="s">
        <v>24</v>
      </c>
      <c r="B655" s="52" t="s">
        <v>1626</v>
      </c>
      <c r="C655" s="52" t="s">
        <v>1630</v>
      </c>
      <c r="D655" s="52" t="s">
        <v>1630</v>
      </c>
      <c r="E655" s="54" t="str">
        <f>"     "&amp;E652</f>
        <v xml:space="preserve">     Reposabrazos Pasajero Honda Cb190 Cb190r Hasta 2019 Colores</v>
      </c>
      <c r="F655" s="52" t="s">
        <v>90</v>
      </c>
      <c r="G655" s="53">
        <v>0</v>
      </c>
      <c r="H655" s="52" t="s">
        <v>62</v>
      </c>
      <c r="I655" s="52">
        <f>I652</f>
        <v>39990</v>
      </c>
      <c r="J655" s="52" t="str">
        <f>J652&amp;"     "</f>
        <v xml:space="preserve">$     </v>
      </c>
      <c r="K655" s="52" t="str">
        <f>K652&amp;"     "</f>
        <v xml:space="preserve">Nuevo     </v>
      </c>
      <c r="L655" s="52" t="str">
        <f>L652&amp;"     "</f>
        <v xml:space="preserve">Mercado Envíos gratis     </v>
      </c>
      <c r="M655" s="52" t="str">
        <f>M652&amp;"     "</f>
        <v xml:space="preserve">Clásica     </v>
      </c>
      <c r="N655" s="52" t="str">
        <f ca="1">N652</f>
        <v>14%</v>
      </c>
      <c r="O655" s="52" t="str">
        <f>O652&amp;"     "</f>
        <v xml:space="preserve">Inactiva     </v>
      </c>
    </row>
    <row r="656" spans="1:15" ht="49.95" customHeight="1">
      <c r="A656" s="52" t="s">
        <v>24</v>
      </c>
      <c r="B656" s="52" t="s">
        <v>1626</v>
      </c>
      <c r="C656" s="52" t="s">
        <v>1631</v>
      </c>
      <c r="D656" s="52" t="s">
        <v>1631</v>
      </c>
      <c r="E656" s="54" t="str">
        <f>"     "&amp;E652</f>
        <v xml:space="preserve">     Reposabrazos Pasajero Honda Cb190 Cb190r Hasta 2019 Colores</v>
      </c>
      <c r="F656" s="52" t="s">
        <v>88</v>
      </c>
      <c r="G656" s="53">
        <v>0</v>
      </c>
      <c r="H656" s="52" t="s">
        <v>62</v>
      </c>
      <c r="I656" s="52">
        <f>I652</f>
        <v>39990</v>
      </c>
      <c r="J656" s="52" t="str">
        <f>J652&amp;"     "</f>
        <v xml:space="preserve">$     </v>
      </c>
      <c r="K656" s="52" t="str">
        <f>K652&amp;"     "</f>
        <v xml:space="preserve">Nuevo     </v>
      </c>
      <c r="L656" s="52" t="str">
        <f>L652&amp;"     "</f>
        <v xml:space="preserve">Mercado Envíos gratis     </v>
      </c>
      <c r="M656" s="52" t="str">
        <f>M652&amp;"     "</f>
        <v xml:space="preserve">Clásica     </v>
      </c>
      <c r="N656" s="52" t="str">
        <f ca="1">N652</f>
        <v>14%</v>
      </c>
      <c r="O656" s="52" t="str">
        <f>O652&amp;"     "</f>
        <v xml:space="preserve">Inactiva     </v>
      </c>
    </row>
    <row r="657" spans="1:15" ht="49.95" customHeight="1">
      <c r="A657" s="52" t="s">
        <v>1632</v>
      </c>
      <c r="B657" s="52" t="s">
        <v>1633</v>
      </c>
      <c r="C657" s="52" t="s">
        <v>1634</v>
      </c>
      <c r="D657" s="52"/>
      <c r="E657" s="52" t="s">
        <v>1635</v>
      </c>
      <c r="F657" s="52" t="s">
        <v>1635</v>
      </c>
      <c r="G657" s="53">
        <v>0</v>
      </c>
      <c r="H657" s="52" t="s">
        <v>62</v>
      </c>
      <c r="I657" s="53">
        <v>17990</v>
      </c>
      <c r="J657" s="53" t="s">
        <v>63</v>
      </c>
      <c r="K657" s="53" t="s">
        <v>64</v>
      </c>
      <c r="L657" s="53" t="s">
        <v>71</v>
      </c>
      <c r="M657" s="53" t="s">
        <v>66</v>
      </c>
      <c r="N657" s="52" t="str">
        <f ca="1">IF(INDIRECT("M657")="Clásica","14%",IF(INDIRECT("M657")="Premium","18%","-"))</f>
        <v>14%</v>
      </c>
      <c r="O657" s="53" t="s">
        <v>1455</v>
      </c>
    </row>
    <row r="658" spans="1:15" ht="49.95" customHeight="1">
      <c r="A658" s="52" t="s">
        <v>1636</v>
      </c>
      <c r="B658" s="52" t="s">
        <v>1637</v>
      </c>
      <c r="C658" s="52" t="s">
        <v>1638</v>
      </c>
      <c r="D658" s="52"/>
      <c r="E658" s="52" t="s">
        <v>1639</v>
      </c>
      <c r="F658" s="52" t="s">
        <v>1639</v>
      </c>
      <c r="G658" s="53">
        <v>0</v>
      </c>
      <c r="H658" s="52" t="s">
        <v>62</v>
      </c>
      <c r="I658" s="53">
        <v>29990</v>
      </c>
      <c r="J658" s="53" t="s">
        <v>63</v>
      </c>
      <c r="K658" s="53" t="s">
        <v>64</v>
      </c>
      <c r="L658" s="53" t="s">
        <v>65</v>
      </c>
      <c r="M658" s="53" t="s">
        <v>66</v>
      </c>
      <c r="N658" s="52" t="str">
        <f ca="1">IF(INDIRECT("M658")="Clásica","15%",IF(INDIRECT("M658")="Premium","19%","-"))</f>
        <v>15%</v>
      </c>
      <c r="O658" s="53" t="s">
        <v>1455</v>
      </c>
    </row>
    <row r="659" spans="1:15" ht="49.95" customHeight="1">
      <c r="A659" s="52" t="s">
        <v>24</v>
      </c>
      <c r="B659" s="52" t="s">
        <v>1640</v>
      </c>
      <c r="C659" s="52"/>
      <c r="D659" s="52"/>
      <c r="E659" s="52" t="s">
        <v>1641</v>
      </c>
      <c r="F659" s="52" t="s">
        <v>62</v>
      </c>
      <c r="G659" s="52" t="s">
        <v>1473</v>
      </c>
      <c r="H659" s="52" t="s">
        <v>62</v>
      </c>
      <c r="I659" s="53">
        <v>24990</v>
      </c>
      <c r="J659" s="53" t="s">
        <v>63</v>
      </c>
      <c r="K659" s="53" t="s">
        <v>64</v>
      </c>
      <c r="L659" s="53" t="s">
        <v>65</v>
      </c>
      <c r="M659" s="53" t="s">
        <v>1240</v>
      </c>
      <c r="N659" s="52" t="str">
        <f ca="1">IF(INDIRECT("M659")="Clásica","14%",IF(INDIRECT("M659")="Premium","18%","-"))</f>
        <v>18%</v>
      </c>
      <c r="O659" s="53" t="s">
        <v>1455</v>
      </c>
    </row>
    <row r="660" spans="1:15" ht="49.95" customHeight="1">
      <c r="A660" s="52" t="s">
        <v>24</v>
      </c>
      <c r="B660" s="52" t="s">
        <v>1640</v>
      </c>
      <c r="C660" s="52" t="s">
        <v>1642</v>
      </c>
      <c r="D660" s="52" t="s">
        <v>1642</v>
      </c>
      <c r="E660" s="54" t="str">
        <f>"     "&amp;E659</f>
        <v xml:space="preserve">     Espejos Universales Tipo Rizoma Brazo Largo Colores</v>
      </c>
      <c r="F660" s="52" t="s">
        <v>100</v>
      </c>
      <c r="G660" s="53">
        <v>0</v>
      </c>
      <c r="H660" s="52" t="s">
        <v>62</v>
      </c>
      <c r="I660" s="52">
        <f>I659</f>
        <v>24990</v>
      </c>
      <c r="J660" s="52" t="str">
        <f>J659&amp;"     "</f>
        <v xml:space="preserve">$     </v>
      </c>
      <c r="K660" s="52" t="str">
        <f>K659&amp;"     "</f>
        <v xml:space="preserve">Nuevo     </v>
      </c>
      <c r="L660" s="52" t="str">
        <f>L659&amp;"     "</f>
        <v xml:space="preserve">Mercado Envíos gratis     </v>
      </c>
      <c r="M660" s="52" t="str">
        <f>M659&amp;"     "</f>
        <v xml:space="preserve">Premium     </v>
      </c>
      <c r="N660" s="52" t="str">
        <f ca="1">N659</f>
        <v>18%</v>
      </c>
      <c r="O660" s="52" t="str">
        <f>O659&amp;"     "</f>
        <v xml:space="preserve">Inactiva     </v>
      </c>
    </row>
    <row r="661" spans="1:15" ht="49.95" customHeight="1">
      <c r="A661" s="52" t="s">
        <v>24</v>
      </c>
      <c r="B661" s="52" t="s">
        <v>1640</v>
      </c>
      <c r="C661" s="52" t="s">
        <v>1643</v>
      </c>
      <c r="D661" s="52" t="s">
        <v>1643</v>
      </c>
      <c r="E661" s="54" t="str">
        <f>"     "&amp;E659</f>
        <v xml:space="preserve">     Espejos Universales Tipo Rizoma Brazo Largo Colores</v>
      </c>
      <c r="F661" s="52" t="s">
        <v>90</v>
      </c>
      <c r="G661" s="53">
        <v>0</v>
      </c>
      <c r="H661" s="52" t="s">
        <v>62</v>
      </c>
      <c r="I661" s="52">
        <f>I659</f>
        <v>24990</v>
      </c>
      <c r="J661" s="52" t="str">
        <f>J659&amp;"     "</f>
        <v xml:space="preserve">$     </v>
      </c>
      <c r="K661" s="52" t="str">
        <f>K659&amp;"     "</f>
        <v xml:space="preserve">Nuevo     </v>
      </c>
      <c r="L661" s="52" t="str">
        <f>L659&amp;"     "</f>
        <v xml:space="preserve">Mercado Envíos gratis     </v>
      </c>
      <c r="M661" s="52" t="str">
        <f>M659&amp;"     "</f>
        <v xml:space="preserve">Premium     </v>
      </c>
      <c r="N661" s="52" t="str">
        <f ca="1">N659</f>
        <v>18%</v>
      </c>
      <c r="O661" s="52" t="str">
        <f>O659&amp;"     "</f>
        <v xml:space="preserve">Inactiva     </v>
      </c>
    </row>
    <row r="662" spans="1:15" ht="49.95" customHeight="1">
      <c r="A662" s="52" t="s">
        <v>24</v>
      </c>
      <c r="B662" s="52" t="s">
        <v>1640</v>
      </c>
      <c r="C662" s="52" t="s">
        <v>1644</v>
      </c>
      <c r="D662" s="52" t="s">
        <v>1644</v>
      </c>
      <c r="E662" s="54" t="str">
        <f>"     "&amp;E659</f>
        <v xml:space="preserve">     Espejos Universales Tipo Rizoma Brazo Largo Colores</v>
      </c>
      <c r="F662" s="52" t="s">
        <v>88</v>
      </c>
      <c r="G662" s="53">
        <v>0</v>
      </c>
      <c r="H662" s="52" t="s">
        <v>62</v>
      </c>
      <c r="I662" s="52">
        <f>I659</f>
        <v>24990</v>
      </c>
      <c r="J662" s="52" t="str">
        <f>J659&amp;"     "</f>
        <v xml:space="preserve">$     </v>
      </c>
      <c r="K662" s="52" t="str">
        <f>K659&amp;"     "</f>
        <v xml:space="preserve">Nuevo     </v>
      </c>
      <c r="L662" s="52" t="str">
        <f>L659&amp;"     "</f>
        <v xml:space="preserve">Mercado Envíos gratis     </v>
      </c>
      <c r="M662" s="52" t="str">
        <f>M659&amp;"     "</f>
        <v xml:space="preserve">Premium     </v>
      </c>
      <c r="N662" s="52" t="str">
        <f ca="1">N659</f>
        <v>18%</v>
      </c>
      <c r="O662" s="52" t="str">
        <f>O659&amp;"     "</f>
        <v xml:space="preserve">Inactiva     </v>
      </c>
    </row>
    <row r="663" spans="1:15" ht="49.95" customHeight="1">
      <c r="A663" s="52" t="s">
        <v>24</v>
      </c>
      <c r="B663" s="52" t="s">
        <v>1640</v>
      </c>
      <c r="C663" s="52" t="s">
        <v>1645</v>
      </c>
      <c r="D663" s="52" t="s">
        <v>1645</v>
      </c>
      <c r="E663" s="54" t="str">
        <f>"     "&amp;E659</f>
        <v xml:space="preserve">     Espejos Universales Tipo Rizoma Brazo Largo Colores</v>
      </c>
      <c r="F663" s="52" t="s">
        <v>84</v>
      </c>
      <c r="G663" s="53">
        <v>0</v>
      </c>
      <c r="H663" s="52" t="s">
        <v>62</v>
      </c>
      <c r="I663" s="52">
        <f>I659</f>
        <v>24990</v>
      </c>
      <c r="J663" s="52" t="str">
        <f>J659&amp;"     "</f>
        <v xml:space="preserve">$     </v>
      </c>
      <c r="K663" s="52" t="str">
        <f>K659&amp;"     "</f>
        <v xml:space="preserve">Nuevo     </v>
      </c>
      <c r="L663" s="52" t="str">
        <f>L659&amp;"     "</f>
        <v xml:space="preserve">Mercado Envíos gratis     </v>
      </c>
      <c r="M663" s="52" t="str">
        <f>M659&amp;"     "</f>
        <v xml:space="preserve">Premium     </v>
      </c>
      <c r="N663" s="52" t="str">
        <f ca="1">N659</f>
        <v>18%</v>
      </c>
      <c r="O663" s="52" t="str">
        <f>O659&amp;"     "</f>
        <v xml:space="preserve">Inactiva     </v>
      </c>
    </row>
    <row r="664" spans="1:15" ht="49.95" customHeight="1">
      <c r="A664" s="52" t="s">
        <v>24</v>
      </c>
      <c r="B664" s="52" t="s">
        <v>1646</v>
      </c>
      <c r="C664" s="52"/>
      <c r="D664" s="52"/>
      <c r="E664" s="52" t="s">
        <v>1647</v>
      </c>
      <c r="F664" s="52" t="s">
        <v>62</v>
      </c>
      <c r="G664" s="52" t="s">
        <v>1473</v>
      </c>
      <c r="H664" s="52" t="s">
        <v>62</v>
      </c>
      <c r="I664" s="53">
        <v>69990</v>
      </c>
      <c r="J664" s="53" t="s">
        <v>63</v>
      </c>
      <c r="K664" s="53" t="s">
        <v>64</v>
      </c>
      <c r="L664" s="53" t="s">
        <v>65</v>
      </c>
      <c r="M664" s="53" t="s">
        <v>66</v>
      </c>
      <c r="N664" s="52" t="str">
        <f ca="1">IF(INDIRECT("M664")="Clásica","14%",IF(INDIRECT("M664")="Premium","18%","-"))</f>
        <v>14%</v>
      </c>
      <c r="O664" s="53" t="s">
        <v>1455</v>
      </c>
    </row>
    <row r="665" spans="1:15" ht="49.95" customHeight="1">
      <c r="A665" s="52" t="s">
        <v>24</v>
      </c>
      <c r="B665" s="52" t="s">
        <v>1646</v>
      </c>
      <c r="C665" s="52" t="s">
        <v>1648</v>
      </c>
      <c r="D665" s="52" t="s">
        <v>1648</v>
      </c>
      <c r="E665" s="54" t="str">
        <f>"     "&amp;E664</f>
        <v xml:space="preserve">     Manillas Palancas + Protector Honda Cb190r Hasta Año 2024</v>
      </c>
      <c r="F665" s="52" t="s">
        <v>90</v>
      </c>
      <c r="G665" s="53">
        <v>0</v>
      </c>
      <c r="H665" s="52" t="s">
        <v>62</v>
      </c>
      <c r="I665" s="52">
        <f>I664</f>
        <v>69990</v>
      </c>
      <c r="J665" s="52" t="str">
        <f>J664&amp;"     "</f>
        <v xml:space="preserve">$     </v>
      </c>
      <c r="K665" s="52" t="str">
        <f>K664&amp;"     "</f>
        <v xml:space="preserve">Nuevo     </v>
      </c>
      <c r="L665" s="52" t="str">
        <f>L664&amp;"     "</f>
        <v xml:space="preserve">Mercado Envíos gratis     </v>
      </c>
      <c r="M665" s="52" t="str">
        <f>M664&amp;"     "</f>
        <v xml:space="preserve">Clásica     </v>
      </c>
      <c r="N665" s="52" t="str">
        <f ca="1">N664</f>
        <v>14%</v>
      </c>
      <c r="O665" s="52" t="str">
        <f>O664&amp;"     "</f>
        <v xml:space="preserve">Inactiva     </v>
      </c>
    </row>
    <row r="666" spans="1:15" ht="49.95" customHeight="1">
      <c r="A666" s="52" t="s">
        <v>24</v>
      </c>
      <c r="B666" s="52" t="s">
        <v>1646</v>
      </c>
      <c r="C666" s="52" t="s">
        <v>1649</v>
      </c>
      <c r="D666" s="52" t="s">
        <v>1649</v>
      </c>
      <c r="E666" s="54" t="str">
        <f>"     "&amp;E664</f>
        <v xml:space="preserve">     Manillas Palancas + Protector Honda Cb190r Hasta Año 2024</v>
      </c>
      <c r="F666" s="52" t="s">
        <v>88</v>
      </c>
      <c r="G666" s="53">
        <v>0</v>
      </c>
      <c r="H666" s="52" t="s">
        <v>62</v>
      </c>
      <c r="I666" s="52">
        <f>I664</f>
        <v>69990</v>
      </c>
      <c r="J666" s="52" t="str">
        <f>J664&amp;"     "</f>
        <v xml:space="preserve">$     </v>
      </c>
      <c r="K666" s="52" t="str">
        <f>K664&amp;"     "</f>
        <v xml:space="preserve">Nuevo     </v>
      </c>
      <c r="L666" s="52" t="str">
        <f>L664&amp;"     "</f>
        <v xml:space="preserve">Mercado Envíos gratis     </v>
      </c>
      <c r="M666" s="52" t="str">
        <f>M664&amp;"     "</f>
        <v xml:space="preserve">Clásica     </v>
      </c>
      <c r="N666" s="52" t="str">
        <f ca="1">N664</f>
        <v>14%</v>
      </c>
      <c r="O666" s="52" t="str">
        <f>O664&amp;"     "</f>
        <v xml:space="preserve">Inactiva     </v>
      </c>
    </row>
    <row r="667" spans="1:15" ht="49.95" customHeight="1">
      <c r="A667" s="52" t="s">
        <v>24</v>
      </c>
      <c r="B667" s="52" t="s">
        <v>1646</v>
      </c>
      <c r="C667" s="52" t="s">
        <v>1650</v>
      </c>
      <c r="D667" s="52" t="s">
        <v>1650</v>
      </c>
      <c r="E667" s="54" t="str">
        <f>"     "&amp;E664</f>
        <v xml:space="preserve">     Manillas Palancas + Protector Honda Cb190r Hasta Año 2024</v>
      </c>
      <c r="F667" s="52" t="s">
        <v>100</v>
      </c>
      <c r="G667" s="53">
        <v>0</v>
      </c>
      <c r="H667" s="52" t="s">
        <v>62</v>
      </c>
      <c r="I667" s="52">
        <f>I664</f>
        <v>69990</v>
      </c>
      <c r="J667" s="52" t="str">
        <f>J664&amp;"     "</f>
        <v xml:space="preserve">$     </v>
      </c>
      <c r="K667" s="52" t="str">
        <f>K664&amp;"     "</f>
        <v xml:space="preserve">Nuevo     </v>
      </c>
      <c r="L667" s="52" t="str">
        <f>L664&amp;"     "</f>
        <v xml:space="preserve">Mercado Envíos gratis     </v>
      </c>
      <c r="M667" s="52" t="str">
        <f>M664&amp;"     "</f>
        <v xml:space="preserve">Clásica     </v>
      </c>
      <c r="N667" s="52" t="str">
        <f ca="1">N664</f>
        <v>14%</v>
      </c>
      <c r="O667" s="52" t="str">
        <f>O664&amp;"     "</f>
        <v xml:space="preserve">Inactiva     </v>
      </c>
    </row>
    <row r="668" spans="1:15" ht="49.95" customHeight="1">
      <c r="A668" s="52" t="s">
        <v>1651</v>
      </c>
      <c r="B668" s="52" t="s">
        <v>1652</v>
      </c>
      <c r="C668" s="52" t="s">
        <v>1653</v>
      </c>
      <c r="D668" s="52"/>
      <c r="E668" s="52" t="s">
        <v>1654</v>
      </c>
      <c r="F668" s="52" t="s">
        <v>1654</v>
      </c>
      <c r="G668" s="53">
        <v>0</v>
      </c>
      <c r="H668" s="52" t="s">
        <v>62</v>
      </c>
      <c r="I668" s="53">
        <v>49990</v>
      </c>
      <c r="J668" s="53" t="s">
        <v>63</v>
      </c>
      <c r="K668" s="53" t="s">
        <v>64</v>
      </c>
      <c r="L668" s="53" t="s">
        <v>65</v>
      </c>
      <c r="M668" s="53" t="s">
        <v>66</v>
      </c>
      <c r="N668" s="52" t="str">
        <f ca="1">IF(INDIRECT("M668")="Clásica","14%",IF(INDIRECT("M668")="Premium","18%","-"))</f>
        <v>14%</v>
      </c>
      <c r="O668" s="53" t="s">
        <v>1455</v>
      </c>
    </row>
    <row r="669" spans="1:15" ht="49.95" customHeight="1">
      <c r="A669" s="52" t="s">
        <v>1655</v>
      </c>
      <c r="B669" s="52" t="s">
        <v>1656</v>
      </c>
      <c r="C669" s="52" t="s">
        <v>1657</v>
      </c>
      <c r="D669" s="52"/>
      <c r="E669" s="52" t="s">
        <v>1658</v>
      </c>
      <c r="F669" s="52" t="s">
        <v>1658</v>
      </c>
      <c r="G669" s="53">
        <v>0</v>
      </c>
      <c r="H669" s="52" t="s">
        <v>62</v>
      </c>
      <c r="I669" s="53">
        <v>59990</v>
      </c>
      <c r="J669" s="53" t="s">
        <v>63</v>
      </c>
      <c r="K669" s="53" t="s">
        <v>64</v>
      </c>
      <c r="L669" s="53" t="s">
        <v>65</v>
      </c>
      <c r="M669" s="53" t="s">
        <v>66</v>
      </c>
      <c r="N669" s="52" t="str">
        <f ca="1">IF(INDIRECT("M669")="Clásica","14%",IF(INDIRECT("M669")="Premium","18%","-"))</f>
        <v>14%</v>
      </c>
      <c r="O669" s="53" t="s">
        <v>1455</v>
      </c>
    </row>
    <row r="670" spans="1:15" ht="49.95" customHeight="1">
      <c r="A670" s="52" t="s">
        <v>24</v>
      </c>
      <c r="B670" s="52" t="s">
        <v>1659</v>
      </c>
      <c r="C670" s="52"/>
      <c r="D670" s="52"/>
      <c r="E670" s="52" t="s">
        <v>1660</v>
      </c>
      <c r="F670" s="52" t="s">
        <v>62</v>
      </c>
      <c r="G670" s="52" t="s">
        <v>1473</v>
      </c>
      <c r="H670" s="52" t="s">
        <v>62</v>
      </c>
      <c r="I670" s="53">
        <v>39990</v>
      </c>
      <c r="J670" s="53" t="s">
        <v>63</v>
      </c>
      <c r="K670" s="53" t="s">
        <v>64</v>
      </c>
      <c r="L670" s="53" t="s">
        <v>65</v>
      </c>
      <c r="M670" s="53" t="s">
        <v>66</v>
      </c>
      <c r="N670" s="52" t="str">
        <f ca="1">IF(INDIRECT("M670")="Clásica","14%",IF(INDIRECT("M670")="Premium","18%","-"))</f>
        <v>14%</v>
      </c>
      <c r="O670" s="53" t="s">
        <v>1455</v>
      </c>
    </row>
    <row r="671" spans="1:15" ht="49.95" customHeight="1">
      <c r="A671" s="52" t="s">
        <v>24</v>
      </c>
      <c r="B671" s="52" t="s">
        <v>1659</v>
      </c>
      <c r="C671" s="52" t="s">
        <v>1661</v>
      </c>
      <c r="D671" s="52" t="s">
        <v>1661</v>
      </c>
      <c r="E671" s="54" t="str">
        <f>"     "&amp;E670</f>
        <v xml:space="preserve">     Reposabrazos Pasajero Honda Cb190 Cb190r 2020-2024</v>
      </c>
      <c r="F671" s="52" t="s">
        <v>100</v>
      </c>
      <c r="G671" s="53">
        <v>0</v>
      </c>
      <c r="H671" s="52" t="s">
        <v>62</v>
      </c>
      <c r="I671" s="52">
        <f>I670</f>
        <v>39990</v>
      </c>
      <c r="J671" s="52" t="str">
        <f>J670&amp;"     "</f>
        <v xml:space="preserve">$     </v>
      </c>
      <c r="K671" s="52" t="str">
        <f>K670&amp;"     "</f>
        <v xml:space="preserve">Nuevo     </v>
      </c>
      <c r="L671" s="52" t="str">
        <f>L670&amp;"     "</f>
        <v xml:space="preserve">Mercado Envíos gratis     </v>
      </c>
      <c r="M671" s="52" t="str">
        <f>M670&amp;"     "</f>
        <v xml:space="preserve">Clásica     </v>
      </c>
      <c r="N671" s="52" t="str">
        <f ca="1">N670</f>
        <v>14%</v>
      </c>
      <c r="O671" s="52" t="str">
        <f>O670&amp;"     "</f>
        <v xml:space="preserve">Inactiva     </v>
      </c>
    </row>
    <row r="672" spans="1:15" ht="49.95" customHeight="1">
      <c r="A672" s="52" t="s">
        <v>24</v>
      </c>
      <c r="B672" s="52" t="s">
        <v>1659</v>
      </c>
      <c r="C672" s="52" t="s">
        <v>1662</v>
      </c>
      <c r="D672" s="52" t="s">
        <v>1662</v>
      </c>
      <c r="E672" s="54" t="str">
        <f>"     "&amp;E670</f>
        <v xml:space="preserve">     Reposabrazos Pasajero Honda Cb190 Cb190r 2020-2024</v>
      </c>
      <c r="F672" s="52" t="s">
        <v>86</v>
      </c>
      <c r="G672" s="53">
        <v>0</v>
      </c>
      <c r="H672" s="52" t="s">
        <v>62</v>
      </c>
      <c r="I672" s="52">
        <f>I670</f>
        <v>39990</v>
      </c>
      <c r="J672" s="52" t="str">
        <f>J670&amp;"     "</f>
        <v xml:space="preserve">$     </v>
      </c>
      <c r="K672" s="52" t="str">
        <f>K670&amp;"     "</f>
        <v xml:space="preserve">Nuevo     </v>
      </c>
      <c r="L672" s="52" t="str">
        <f>L670&amp;"     "</f>
        <v xml:space="preserve">Mercado Envíos gratis     </v>
      </c>
      <c r="M672" s="52" t="str">
        <f>M670&amp;"     "</f>
        <v xml:space="preserve">Clásica     </v>
      </c>
      <c r="N672" s="52" t="str">
        <f ca="1">N670</f>
        <v>14%</v>
      </c>
      <c r="O672" s="52" t="str">
        <f>O670&amp;"     "</f>
        <v xml:space="preserve">Inactiva     </v>
      </c>
    </row>
    <row r="673" spans="1:15" ht="49.95" customHeight="1">
      <c r="A673" s="52" t="s">
        <v>24</v>
      </c>
      <c r="B673" s="52" t="s">
        <v>1659</v>
      </c>
      <c r="C673" s="52" t="s">
        <v>1663</v>
      </c>
      <c r="D673" s="52" t="s">
        <v>1663</v>
      </c>
      <c r="E673" s="54" t="str">
        <f>"     "&amp;E670</f>
        <v xml:space="preserve">     Reposabrazos Pasajero Honda Cb190 Cb190r 2020-2024</v>
      </c>
      <c r="F673" s="52" t="s">
        <v>90</v>
      </c>
      <c r="G673" s="53">
        <v>0</v>
      </c>
      <c r="H673" s="52" t="s">
        <v>62</v>
      </c>
      <c r="I673" s="52">
        <f>I670</f>
        <v>39990</v>
      </c>
      <c r="J673" s="52" t="str">
        <f>J670&amp;"     "</f>
        <v xml:space="preserve">$     </v>
      </c>
      <c r="K673" s="52" t="str">
        <f>K670&amp;"     "</f>
        <v xml:space="preserve">Nuevo     </v>
      </c>
      <c r="L673" s="52" t="str">
        <f>L670&amp;"     "</f>
        <v xml:space="preserve">Mercado Envíos gratis     </v>
      </c>
      <c r="M673" s="52" t="str">
        <f>M670&amp;"     "</f>
        <v xml:space="preserve">Clásica     </v>
      </c>
      <c r="N673" s="52" t="str">
        <f ca="1">N670</f>
        <v>14%</v>
      </c>
      <c r="O673" s="52" t="str">
        <f>O670&amp;"     "</f>
        <v xml:space="preserve">Inactiva     </v>
      </c>
    </row>
    <row r="674" spans="1:15" ht="49.95" customHeight="1">
      <c r="A674" s="52" t="s">
        <v>24</v>
      </c>
      <c r="B674" s="52" t="s">
        <v>1659</v>
      </c>
      <c r="C674" s="52" t="s">
        <v>1664</v>
      </c>
      <c r="D674" s="52" t="s">
        <v>1664</v>
      </c>
      <c r="E674" s="54" t="str">
        <f>"     "&amp;E670</f>
        <v xml:space="preserve">     Reposabrazos Pasajero Honda Cb190 Cb190r 2020-2024</v>
      </c>
      <c r="F674" s="52" t="s">
        <v>88</v>
      </c>
      <c r="G674" s="53">
        <v>0</v>
      </c>
      <c r="H674" s="52" t="s">
        <v>62</v>
      </c>
      <c r="I674" s="52">
        <f>I670</f>
        <v>39990</v>
      </c>
      <c r="J674" s="52" t="str">
        <f>J670&amp;"     "</f>
        <v xml:space="preserve">$     </v>
      </c>
      <c r="K674" s="52" t="str">
        <f>K670&amp;"     "</f>
        <v xml:space="preserve">Nuevo     </v>
      </c>
      <c r="L674" s="52" t="str">
        <f>L670&amp;"     "</f>
        <v xml:space="preserve">Mercado Envíos gratis     </v>
      </c>
      <c r="M674" s="52" t="str">
        <f>M670&amp;"     "</f>
        <v xml:space="preserve">Clásica     </v>
      </c>
      <c r="N674" s="52" t="str">
        <f ca="1">N670</f>
        <v>14%</v>
      </c>
      <c r="O674" s="52" t="str">
        <f>O670&amp;"     "</f>
        <v xml:space="preserve">Inactiva     </v>
      </c>
    </row>
    <row r="675" spans="1:15" ht="49.95" customHeight="1">
      <c r="A675" s="52" t="s">
        <v>1665</v>
      </c>
      <c r="B675" s="52" t="s">
        <v>1666</v>
      </c>
      <c r="C675" s="52" t="s">
        <v>1667</v>
      </c>
      <c r="D675" s="52"/>
      <c r="E675" s="52" t="s">
        <v>1668</v>
      </c>
      <c r="F675" s="52" t="s">
        <v>1668</v>
      </c>
      <c r="G675" s="53">
        <v>0</v>
      </c>
      <c r="H675" s="52" t="s">
        <v>62</v>
      </c>
      <c r="I675" s="53">
        <v>9990</v>
      </c>
      <c r="J675" s="53" t="s">
        <v>63</v>
      </c>
      <c r="K675" s="53" t="s">
        <v>64</v>
      </c>
      <c r="L675" s="53" t="s">
        <v>71</v>
      </c>
      <c r="M675" s="53" t="s">
        <v>66</v>
      </c>
      <c r="N675" s="52" t="str">
        <f ca="1">IF(INDIRECT("M675")="Clásica","15%",IF(INDIRECT("M675")="Premium","19%","-"))</f>
        <v>15%</v>
      </c>
      <c r="O675" s="53" t="s">
        <v>1455</v>
      </c>
    </row>
    <row r="676" spans="1:15" ht="49.95" customHeight="1">
      <c r="A676" s="52" t="s">
        <v>24</v>
      </c>
      <c r="B676" s="52" t="s">
        <v>1669</v>
      </c>
      <c r="C676" s="52"/>
      <c r="D676" s="52"/>
      <c r="E676" s="52" t="s">
        <v>1670</v>
      </c>
      <c r="F676" s="52" t="s">
        <v>62</v>
      </c>
      <c r="G676" s="52" t="s">
        <v>1473</v>
      </c>
      <c r="H676" s="52" t="s">
        <v>62</v>
      </c>
      <c r="I676" s="53">
        <v>69990</v>
      </c>
      <c r="J676" s="53" t="s">
        <v>63</v>
      </c>
      <c r="K676" s="53" t="s">
        <v>64</v>
      </c>
      <c r="L676" s="53" t="s">
        <v>65</v>
      </c>
      <c r="M676" s="53" t="s">
        <v>1240</v>
      </c>
      <c r="N676" s="52" t="str">
        <f ca="1">IF(INDIRECT("M676")="Clásica","14%",IF(INDIRECT("M676")="Premium","18%","-"))</f>
        <v>18%</v>
      </c>
      <c r="O676" s="53" t="s">
        <v>1455</v>
      </c>
    </row>
    <row r="677" spans="1:15" ht="49.95" customHeight="1">
      <c r="A677" s="52" t="s">
        <v>24</v>
      </c>
      <c r="B677" s="52" t="s">
        <v>1669</v>
      </c>
      <c r="C677" s="52" t="s">
        <v>1671</v>
      </c>
      <c r="D677" s="52" t="s">
        <v>1671</v>
      </c>
      <c r="E677" s="54" t="str">
        <f>"     "&amp;E676</f>
        <v xml:space="preserve">     Topes De Caída O Slider Ktm Duke 200-250-390 Colores</v>
      </c>
      <c r="F677" s="52" t="s">
        <v>86</v>
      </c>
      <c r="G677" s="53">
        <v>0</v>
      </c>
      <c r="H677" s="52" t="s">
        <v>62</v>
      </c>
      <c r="I677" s="52">
        <f>I676</f>
        <v>69990</v>
      </c>
      <c r="J677" s="52" t="str">
        <f>J676&amp;"     "</f>
        <v xml:space="preserve">$     </v>
      </c>
      <c r="K677" s="52" t="str">
        <f>K676&amp;"     "</f>
        <v xml:space="preserve">Nuevo     </v>
      </c>
      <c r="L677" s="52" t="str">
        <f>L676&amp;"     "</f>
        <v xml:space="preserve">Mercado Envíos gratis     </v>
      </c>
      <c r="M677" s="52" t="str">
        <f>M676&amp;"     "</f>
        <v xml:space="preserve">Premium     </v>
      </c>
      <c r="N677" s="52" t="str">
        <f ca="1">N676</f>
        <v>18%</v>
      </c>
      <c r="O677" s="52" t="str">
        <f>O676&amp;"     "</f>
        <v xml:space="preserve">Inactiva     </v>
      </c>
    </row>
    <row r="678" spans="1:15" ht="49.95" customHeight="1">
      <c r="A678" s="52" t="s">
        <v>24</v>
      </c>
      <c r="B678" s="52" t="s">
        <v>1669</v>
      </c>
      <c r="C678" s="52" t="s">
        <v>1672</v>
      </c>
      <c r="D678" s="52" t="s">
        <v>1672</v>
      </c>
      <c r="E678" s="54" t="str">
        <f>"     "&amp;E676</f>
        <v xml:space="preserve">     Topes De Caída O Slider Ktm Duke 200-250-390 Colores</v>
      </c>
      <c r="F678" s="52" t="s">
        <v>100</v>
      </c>
      <c r="G678" s="53">
        <v>0</v>
      </c>
      <c r="H678" s="52" t="s">
        <v>62</v>
      </c>
      <c r="I678" s="52">
        <f>I676</f>
        <v>69990</v>
      </c>
      <c r="J678" s="52" t="str">
        <f>J676&amp;"     "</f>
        <v xml:space="preserve">$     </v>
      </c>
      <c r="K678" s="52" t="str">
        <f>K676&amp;"     "</f>
        <v xml:space="preserve">Nuevo     </v>
      </c>
      <c r="L678" s="52" t="str">
        <f>L676&amp;"     "</f>
        <v xml:space="preserve">Mercado Envíos gratis     </v>
      </c>
      <c r="M678" s="52" t="str">
        <f>M676&amp;"     "</f>
        <v xml:space="preserve">Premium     </v>
      </c>
      <c r="N678" s="52" t="str">
        <f ca="1">N676</f>
        <v>18%</v>
      </c>
      <c r="O678" s="52" t="str">
        <f>O676&amp;"     "</f>
        <v xml:space="preserve">Inactiva     </v>
      </c>
    </row>
    <row r="679" spans="1:15" ht="49.95" customHeight="1">
      <c r="A679" s="52" t="s">
        <v>1673</v>
      </c>
      <c r="B679" s="52" t="s">
        <v>1674</v>
      </c>
      <c r="C679" s="52" t="s">
        <v>1675</v>
      </c>
      <c r="D679" s="52"/>
      <c r="E679" s="52" t="s">
        <v>1676</v>
      </c>
      <c r="F679" s="52" t="s">
        <v>1676</v>
      </c>
      <c r="G679" s="53">
        <v>0</v>
      </c>
      <c r="H679" s="52" t="s">
        <v>62</v>
      </c>
      <c r="I679" s="53">
        <v>19990</v>
      </c>
      <c r="J679" s="53" t="s">
        <v>63</v>
      </c>
      <c r="K679" s="53" t="s">
        <v>64</v>
      </c>
      <c r="L679" s="53" t="s">
        <v>65</v>
      </c>
      <c r="M679" s="53" t="s">
        <v>66</v>
      </c>
      <c r="N679" s="52" t="str">
        <f ca="1">IF(INDIRECT("M679")="Clásica","16%",IF(INDIRECT("M679")="Premium","20%","-"))</f>
        <v>16%</v>
      </c>
      <c r="O679" s="53" t="s">
        <v>1455</v>
      </c>
    </row>
    <row r="680" spans="1:15" ht="49.95" customHeight="1">
      <c r="A680" s="52" t="s">
        <v>24</v>
      </c>
      <c r="B680" s="52" t="s">
        <v>1677</v>
      </c>
      <c r="C680" s="52"/>
      <c r="D680" s="52"/>
      <c r="E680" s="52" t="s">
        <v>1678</v>
      </c>
      <c r="F680" s="52" t="s">
        <v>62</v>
      </c>
      <c r="G680" s="52" t="s">
        <v>1473</v>
      </c>
      <c r="H680" s="52" t="s">
        <v>62</v>
      </c>
      <c r="I680" s="53">
        <v>9990</v>
      </c>
      <c r="J680" s="53" t="s">
        <v>63</v>
      </c>
      <c r="K680" s="53" t="s">
        <v>64</v>
      </c>
      <c r="L680" s="53" t="s">
        <v>71</v>
      </c>
      <c r="M680" s="53" t="s">
        <v>66</v>
      </c>
      <c r="N680" s="52" t="str">
        <f ca="1">IF(INDIRECT("M680")="Clásica","14%",IF(INDIRECT("M680")="Premium","18%","-"))</f>
        <v>14%</v>
      </c>
      <c r="O680" s="53" t="s">
        <v>1455</v>
      </c>
    </row>
    <row r="681" spans="1:15" ht="49.95" customHeight="1">
      <c r="A681" s="52" t="s">
        <v>24</v>
      </c>
      <c r="B681" s="52" t="s">
        <v>1677</v>
      </c>
      <c r="C681" s="52" t="s">
        <v>1679</v>
      </c>
      <c r="D681" s="52" t="s">
        <v>1679</v>
      </c>
      <c r="E681" s="54" t="str">
        <f>"     "&amp;E680</f>
        <v xml:space="preserve">     Adhesivos Sticker Pegatinas Reflectantes Ruedas Honda Racing</v>
      </c>
      <c r="F681" s="52" t="s">
        <v>1504</v>
      </c>
      <c r="G681" s="53">
        <v>0</v>
      </c>
      <c r="H681" s="52" t="s">
        <v>62</v>
      </c>
      <c r="I681" s="52">
        <f>I680</f>
        <v>9990</v>
      </c>
      <c r="J681" s="52" t="str">
        <f>J680&amp;"     "</f>
        <v xml:space="preserve">$     </v>
      </c>
      <c r="K681" s="52" t="str">
        <f>K680&amp;"     "</f>
        <v xml:space="preserve">Nuevo     </v>
      </c>
      <c r="L681" s="52" t="str">
        <f>L680&amp;"     "</f>
        <v xml:space="preserve">Mercado Envíos a cargo del comprador     </v>
      </c>
      <c r="M681" s="52" t="str">
        <f>M680&amp;"     "</f>
        <v xml:space="preserve">Clásica     </v>
      </c>
      <c r="N681" s="52" t="str">
        <f ca="1">N680</f>
        <v>14%</v>
      </c>
      <c r="O681" s="52" t="str">
        <f>O680&amp;"     "</f>
        <v xml:space="preserve">Inactiva     </v>
      </c>
    </row>
    <row r="682" spans="1:15" ht="49.95" customHeight="1">
      <c r="A682" s="52" t="s">
        <v>24</v>
      </c>
      <c r="B682" s="52" t="s">
        <v>1677</v>
      </c>
      <c r="C682" s="52" t="s">
        <v>1680</v>
      </c>
      <c r="D682" s="52" t="s">
        <v>1680</v>
      </c>
      <c r="E682" s="54" t="str">
        <f>"     "&amp;E680</f>
        <v xml:space="preserve">     Adhesivos Sticker Pegatinas Reflectantes Ruedas Honda Racing</v>
      </c>
      <c r="F682" s="52" t="s">
        <v>100</v>
      </c>
      <c r="G682" s="53">
        <v>0</v>
      </c>
      <c r="H682" s="52" t="s">
        <v>62</v>
      </c>
      <c r="I682" s="52">
        <f>I680</f>
        <v>9990</v>
      </c>
      <c r="J682" s="52" t="str">
        <f>J680&amp;"     "</f>
        <v xml:space="preserve">$     </v>
      </c>
      <c r="K682" s="52" t="str">
        <f>K680&amp;"     "</f>
        <v xml:space="preserve">Nuevo     </v>
      </c>
      <c r="L682" s="52" t="str">
        <f>L680&amp;"     "</f>
        <v xml:space="preserve">Mercado Envíos a cargo del comprador     </v>
      </c>
      <c r="M682" s="52" t="str">
        <f>M680&amp;"     "</f>
        <v xml:space="preserve">Clásica     </v>
      </c>
      <c r="N682" s="52" t="str">
        <f ca="1">N680</f>
        <v>14%</v>
      </c>
      <c r="O682" s="52" t="str">
        <f>O680&amp;"     "</f>
        <v xml:space="preserve">Inactiva     </v>
      </c>
    </row>
    <row r="683" spans="1:15" ht="49.95" customHeight="1">
      <c r="A683" s="52" t="s">
        <v>24</v>
      </c>
      <c r="B683" s="52" t="s">
        <v>1677</v>
      </c>
      <c r="C683" s="52" t="s">
        <v>1681</v>
      </c>
      <c r="D683" s="52" t="s">
        <v>1681</v>
      </c>
      <c r="E683" s="54" t="str">
        <f>"     "&amp;E680</f>
        <v xml:space="preserve">     Adhesivos Sticker Pegatinas Reflectantes Ruedas Honda Racing</v>
      </c>
      <c r="F683" s="52" t="s">
        <v>90</v>
      </c>
      <c r="G683" s="53">
        <v>0</v>
      </c>
      <c r="H683" s="52" t="s">
        <v>62</v>
      </c>
      <c r="I683" s="52">
        <f>I680</f>
        <v>9990</v>
      </c>
      <c r="J683" s="52" t="str">
        <f>J680&amp;"     "</f>
        <v xml:space="preserve">$     </v>
      </c>
      <c r="K683" s="52" t="str">
        <f>K680&amp;"     "</f>
        <v xml:space="preserve">Nuevo     </v>
      </c>
      <c r="L683" s="52" t="str">
        <f>L680&amp;"     "</f>
        <v xml:space="preserve">Mercado Envíos a cargo del comprador     </v>
      </c>
      <c r="M683" s="52" t="str">
        <f>M680&amp;"     "</f>
        <v xml:space="preserve">Clásica     </v>
      </c>
      <c r="N683" s="52" t="str">
        <f ca="1">N680</f>
        <v>14%</v>
      </c>
      <c r="O683" s="52" t="str">
        <f>O680&amp;"     "</f>
        <v xml:space="preserve">Inactiva     </v>
      </c>
    </row>
    <row r="684" spans="1:15" ht="49.95" customHeight="1">
      <c r="A684" s="52" t="s">
        <v>24</v>
      </c>
      <c r="B684" s="52" t="s">
        <v>1677</v>
      </c>
      <c r="C684" s="52" t="s">
        <v>1682</v>
      </c>
      <c r="D684" s="52" t="s">
        <v>1682</v>
      </c>
      <c r="E684" s="54" t="str">
        <f>"     "&amp;E680</f>
        <v xml:space="preserve">     Adhesivos Sticker Pegatinas Reflectantes Ruedas Honda Racing</v>
      </c>
      <c r="F684" s="52" t="s">
        <v>97</v>
      </c>
      <c r="G684" s="53">
        <v>0</v>
      </c>
      <c r="H684" s="52" t="s">
        <v>62</v>
      </c>
      <c r="I684" s="52">
        <f>I680</f>
        <v>9990</v>
      </c>
      <c r="J684" s="52" t="str">
        <f>J680&amp;"     "</f>
        <v xml:space="preserve">$     </v>
      </c>
      <c r="K684" s="52" t="str">
        <f>K680&amp;"     "</f>
        <v xml:space="preserve">Nuevo     </v>
      </c>
      <c r="L684" s="52" t="str">
        <f>L680&amp;"     "</f>
        <v xml:space="preserve">Mercado Envíos a cargo del comprador     </v>
      </c>
      <c r="M684" s="52" t="str">
        <f>M680&amp;"     "</f>
        <v xml:space="preserve">Clásica     </v>
      </c>
      <c r="N684" s="52" t="str">
        <f ca="1">N680</f>
        <v>14%</v>
      </c>
      <c r="O684" s="52" t="str">
        <f>O680&amp;"     "</f>
        <v xml:space="preserve">Inactiva     </v>
      </c>
    </row>
    <row r="685" spans="1:15" ht="49.95" customHeight="1">
      <c r="A685" s="52" t="s">
        <v>24</v>
      </c>
      <c r="B685" s="52" t="s">
        <v>1677</v>
      </c>
      <c r="C685" s="52" t="s">
        <v>1683</v>
      </c>
      <c r="D685" s="52" t="s">
        <v>1683</v>
      </c>
      <c r="E685" s="54" t="str">
        <f>"     "&amp;E680</f>
        <v xml:space="preserve">     Adhesivos Sticker Pegatinas Reflectantes Ruedas Honda Racing</v>
      </c>
      <c r="F685" s="52" t="s">
        <v>88</v>
      </c>
      <c r="G685" s="53">
        <v>0</v>
      </c>
      <c r="H685" s="52" t="s">
        <v>62</v>
      </c>
      <c r="I685" s="52">
        <f>I680</f>
        <v>9990</v>
      </c>
      <c r="J685" s="52" t="str">
        <f>J680&amp;"     "</f>
        <v xml:space="preserve">$     </v>
      </c>
      <c r="K685" s="52" t="str">
        <f>K680&amp;"     "</f>
        <v xml:space="preserve">Nuevo     </v>
      </c>
      <c r="L685" s="52" t="str">
        <f>L680&amp;"     "</f>
        <v xml:space="preserve">Mercado Envíos a cargo del comprador     </v>
      </c>
      <c r="M685" s="52" t="str">
        <f>M680&amp;"     "</f>
        <v xml:space="preserve">Clásica     </v>
      </c>
      <c r="N685" s="52" t="str">
        <f ca="1">N680</f>
        <v>14%</v>
      </c>
      <c r="O685" s="52" t="str">
        <f>O680&amp;"     "</f>
        <v xml:space="preserve">Inactiva     </v>
      </c>
    </row>
    <row r="686" spans="1:15" ht="49.95" customHeight="1">
      <c r="A686" s="52" t="s">
        <v>1573</v>
      </c>
      <c r="B686" s="52" t="s">
        <v>1684</v>
      </c>
      <c r="C686" s="52" t="s">
        <v>1575</v>
      </c>
      <c r="D686" s="52"/>
      <c r="E686" s="52" t="s">
        <v>1685</v>
      </c>
      <c r="F686" s="52" t="s">
        <v>1685</v>
      </c>
      <c r="G686" s="53">
        <v>0</v>
      </c>
      <c r="H686" s="52" t="s">
        <v>62</v>
      </c>
      <c r="I686" s="53">
        <v>79990</v>
      </c>
      <c r="J686" s="53" t="s">
        <v>63</v>
      </c>
      <c r="K686" s="53" t="s">
        <v>64</v>
      </c>
      <c r="L686" s="53" t="s">
        <v>65</v>
      </c>
      <c r="M686" s="53" t="s">
        <v>66</v>
      </c>
      <c r="N686" s="52" t="str">
        <f ca="1">IF(INDIRECT("M686")="Clásica","14%",IF(INDIRECT("M686")="Premium","18%","-"))</f>
        <v>14%</v>
      </c>
      <c r="O686" s="53" t="s">
        <v>1455</v>
      </c>
    </row>
    <row r="687" spans="1:15" ht="49.95" customHeight="1">
      <c r="A687" s="52" t="s">
        <v>24</v>
      </c>
      <c r="B687" s="52" t="s">
        <v>1686</v>
      </c>
      <c r="C687" s="52"/>
      <c r="D687" s="52"/>
      <c r="E687" s="52" t="s">
        <v>1687</v>
      </c>
      <c r="F687" s="52" t="s">
        <v>62</v>
      </c>
      <c r="G687" s="52" t="s">
        <v>1473</v>
      </c>
      <c r="H687" s="52" t="s">
        <v>62</v>
      </c>
      <c r="I687" s="53">
        <v>37990</v>
      </c>
      <c r="J687" s="53" t="s">
        <v>63</v>
      </c>
      <c r="K687" s="53" t="s">
        <v>64</v>
      </c>
      <c r="L687" s="53" t="s">
        <v>65</v>
      </c>
      <c r="M687" s="53" t="s">
        <v>66</v>
      </c>
      <c r="N687" s="52" t="str">
        <f ca="1">IF(INDIRECT("M687")="Clásica","15%",IF(INDIRECT("M687")="Premium","19%","-"))</f>
        <v>15%</v>
      </c>
      <c r="O687" s="53" t="s">
        <v>1455</v>
      </c>
    </row>
    <row r="688" spans="1:15" ht="49.95" customHeight="1">
      <c r="A688" s="52" t="s">
        <v>24</v>
      </c>
      <c r="B688" s="52" t="s">
        <v>1686</v>
      </c>
      <c r="C688" s="52" t="s">
        <v>1688</v>
      </c>
      <c r="D688" s="52" t="s">
        <v>1688</v>
      </c>
      <c r="E688" s="54" t="str">
        <f>"     "&amp;E687</f>
        <v xml:space="preserve">     Cúpula Parabrisas Ktm Duke 200 390 Primera Gen. (no Ng)</v>
      </c>
      <c r="F688" s="52" t="s">
        <v>86</v>
      </c>
      <c r="G688" s="53">
        <v>0</v>
      </c>
      <c r="H688" s="52" t="s">
        <v>62</v>
      </c>
      <c r="I688" s="52">
        <f>I687</f>
        <v>37990</v>
      </c>
      <c r="J688" s="52" t="str">
        <f>J687&amp;"     "</f>
        <v xml:space="preserve">$     </v>
      </c>
      <c r="K688" s="52" t="str">
        <f>K687&amp;"     "</f>
        <v xml:space="preserve">Nuevo     </v>
      </c>
      <c r="L688" s="52" t="str">
        <f>L687&amp;"     "</f>
        <v xml:space="preserve">Mercado Envíos gratis     </v>
      </c>
      <c r="M688" s="52" t="str">
        <f>M687&amp;"     "</f>
        <v xml:space="preserve">Clásica     </v>
      </c>
      <c r="N688" s="52" t="str">
        <f ca="1">N687</f>
        <v>15%</v>
      </c>
      <c r="O688" s="52" t="str">
        <f>O687&amp;"     "</f>
        <v xml:space="preserve">Inactiva     </v>
      </c>
    </row>
    <row r="689" spans="1:15" ht="49.95" customHeight="1">
      <c r="A689" s="52" t="s">
        <v>24</v>
      </c>
      <c r="B689" s="52" t="s">
        <v>1686</v>
      </c>
      <c r="C689" s="52" t="s">
        <v>1689</v>
      </c>
      <c r="D689" s="52" t="s">
        <v>1689</v>
      </c>
      <c r="E689" s="54" t="str">
        <f>"     "&amp;E687</f>
        <v xml:space="preserve">     Cúpula Parabrisas Ktm Duke 200 390 Primera Gen. (no Ng)</v>
      </c>
      <c r="F689" s="52" t="s">
        <v>249</v>
      </c>
      <c r="G689" s="53">
        <v>0</v>
      </c>
      <c r="H689" s="52" t="s">
        <v>62</v>
      </c>
      <c r="I689" s="52">
        <f>I687</f>
        <v>37990</v>
      </c>
      <c r="J689" s="52" t="str">
        <f>J687&amp;"     "</f>
        <v xml:space="preserve">$     </v>
      </c>
      <c r="K689" s="52" t="str">
        <f>K687&amp;"     "</f>
        <v xml:space="preserve">Nuevo     </v>
      </c>
      <c r="L689" s="52" t="str">
        <f>L687&amp;"     "</f>
        <v xml:space="preserve">Mercado Envíos gratis     </v>
      </c>
      <c r="M689" s="52" t="str">
        <f>M687&amp;"     "</f>
        <v xml:space="preserve">Clásica     </v>
      </c>
      <c r="N689" s="52" t="str">
        <f ca="1">N687</f>
        <v>15%</v>
      </c>
      <c r="O689" s="52" t="str">
        <f>O687&amp;"     "</f>
        <v xml:space="preserve">Inactiva     </v>
      </c>
    </row>
    <row r="690" spans="1:15" ht="49.95" customHeight="1">
      <c r="A690" s="52" t="s">
        <v>1690</v>
      </c>
      <c r="B690" s="52" t="s">
        <v>1691</v>
      </c>
      <c r="C690" s="52" t="s">
        <v>1692</v>
      </c>
      <c r="D690" s="52"/>
      <c r="E690" s="52" t="s">
        <v>1693</v>
      </c>
      <c r="F690" s="52" t="s">
        <v>1693</v>
      </c>
      <c r="G690" s="53">
        <v>0</v>
      </c>
      <c r="H690" s="52" t="s">
        <v>62</v>
      </c>
      <c r="I690" s="53">
        <v>47990</v>
      </c>
      <c r="J690" s="53" t="s">
        <v>63</v>
      </c>
      <c r="K690" s="53" t="s">
        <v>64</v>
      </c>
      <c r="L690" s="53" t="s">
        <v>65</v>
      </c>
      <c r="M690" s="53" t="s">
        <v>66</v>
      </c>
      <c r="N690" s="52" t="str">
        <f ca="1">IF(INDIRECT("M690")="Clásica","15%",IF(INDIRECT("M690")="Premium","19%","-"))</f>
        <v>15%</v>
      </c>
      <c r="O690" s="53" t="s">
        <v>1455</v>
      </c>
    </row>
    <row r="691" spans="1:15" ht="49.95" customHeight="1">
      <c r="A691" s="52" t="s">
        <v>1493</v>
      </c>
      <c r="B691" s="52" t="s">
        <v>1694</v>
      </c>
      <c r="C691" s="52" t="s">
        <v>1495</v>
      </c>
      <c r="D691" s="52"/>
      <c r="E691" s="52" t="s">
        <v>1695</v>
      </c>
      <c r="F691" s="52" t="s">
        <v>1695</v>
      </c>
      <c r="G691" s="53">
        <v>0</v>
      </c>
      <c r="H691" s="52" t="s">
        <v>62</v>
      </c>
      <c r="I691" s="53">
        <v>39990</v>
      </c>
      <c r="J691" s="53" t="s">
        <v>63</v>
      </c>
      <c r="K691" s="53" t="s">
        <v>64</v>
      </c>
      <c r="L691" s="53" t="s">
        <v>65</v>
      </c>
      <c r="M691" s="53" t="s">
        <v>66</v>
      </c>
      <c r="N691" s="52" t="str">
        <f ca="1">IF(INDIRECT("M691")="Clásica","14%",IF(INDIRECT("M691")="Premium","18%","-"))</f>
        <v>14%</v>
      </c>
      <c r="O691" s="53" t="s">
        <v>1455</v>
      </c>
    </row>
    <row r="692" spans="1:15" ht="49.95" customHeight="1">
      <c r="A692" s="52" t="s">
        <v>24</v>
      </c>
      <c r="B692" s="52" t="s">
        <v>1696</v>
      </c>
      <c r="C692" s="52"/>
      <c r="D692" s="52"/>
      <c r="E692" s="52" t="s">
        <v>1697</v>
      </c>
      <c r="F692" s="52" t="s">
        <v>62</v>
      </c>
      <c r="G692" s="52" t="s">
        <v>1473</v>
      </c>
      <c r="H692" s="52" t="s">
        <v>62</v>
      </c>
      <c r="I692" s="53">
        <v>39990</v>
      </c>
      <c r="J692" s="53" t="s">
        <v>63</v>
      </c>
      <c r="K692" s="53" t="s">
        <v>64</v>
      </c>
      <c r="L692" s="53" t="s">
        <v>65</v>
      </c>
      <c r="M692" s="53" t="s">
        <v>66</v>
      </c>
      <c r="N692" s="52" t="str">
        <f ca="1">IF(INDIRECT("M692")="Clásica","14%",IF(INDIRECT("M692")="Premium","18%","-"))</f>
        <v>14%</v>
      </c>
      <c r="O692" s="53" t="s">
        <v>1455</v>
      </c>
    </row>
    <row r="693" spans="1:15" ht="49.95" customHeight="1">
      <c r="A693" s="52" t="s">
        <v>24</v>
      </c>
      <c r="B693" s="52" t="s">
        <v>1696</v>
      </c>
      <c r="C693" s="52" t="s">
        <v>1698</v>
      </c>
      <c r="D693" s="52" t="s">
        <v>1698</v>
      </c>
      <c r="E693" s="54" t="str">
        <f>"     "&amp;E692</f>
        <v xml:space="preserve">     Set Protector Estanque Tank Pad/grip Kawasaki Ninja400 Z400</v>
      </c>
      <c r="F693" s="52" t="s">
        <v>445</v>
      </c>
      <c r="G693" s="53">
        <v>0</v>
      </c>
      <c r="H693" s="52" t="s">
        <v>62</v>
      </c>
      <c r="I693" s="52">
        <f>I692</f>
        <v>39990</v>
      </c>
      <c r="J693" s="52" t="str">
        <f>J692&amp;"     "</f>
        <v xml:space="preserve">$     </v>
      </c>
      <c r="K693" s="52" t="str">
        <f>K692&amp;"     "</f>
        <v xml:space="preserve">Nuevo     </v>
      </c>
      <c r="L693" s="52" t="str">
        <f>L692&amp;"     "</f>
        <v xml:space="preserve">Mercado Envíos gratis     </v>
      </c>
      <c r="M693" s="52" t="str">
        <f>M692&amp;"     "</f>
        <v xml:space="preserve">Clásica     </v>
      </c>
      <c r="N693" s="52" t="str">
        <f ca="1">N692</f>
        <v>14%</v>
      </c>
      <c r="O693" s="52" t="str">
        <f>O692&amp;"     "</f>
        <v xml:space="preserve">Inactiva     </v>
      </c>
    </row>
    <row r="694" spans="1:15" ht="49.95" customHeight="1">
      <c r="A694" s="52" t="s">
        <v>24</v>
      </c>
      <c r="B694" s="52" t="s">
        <v>1696</v>
      </c>
      <c r="C694" s="52" t="s">
        <v>1699</v>
      </c>
      <c r="D694" s="52" t="s">
        <v>1699</v>
      </c>
      <c r="E694" s="54" t="str">
        <f>"     "&amp;E692</f>
        <v xml:space="preserve">     Set Protector Estanque Tank Pad/grip Kawasaki Ninja400 Z400</v>
      </c>
      <c r="F694" s="52" t="s">
        <v>97</v>
      </c>
      <c r="G694" s="53">
        <v>0</v>
      </c>
      <c r="H694" s="52" t="s">
        <v>62</v>
      </c>
      <c r="I694" s="52">
        <f>I692</f>
        <v>39990</v>
      </c>
      <c r="J694" s="52" t="str">
        <f>J692&amp;"     "</f>
        <v xml:space="preserve">$     </v>
      </c>
      <c r="K694" s="52" t="str">
        <f>K692&amp;"     "</f>
        <v xml:space="preserve">Nuevo     </v>
      </c>
      <c r="L694" s="52" t="str">
        <f>L692&amp;"     "</f>
        <v xml:space="preserve">Mercado Envíos gratis     </v>
      </c>
      <c r="M694" s="52" t="str">
        <f>M692&amp;"     "</f>
        <v xml:space="preserve">Clásica     </v>
      </c>
      <c r="N694" s="52" t="str">
        <f ca="1">N692</f>
        <v>14%</v>
      </c>
      <c r="O694" s="52" t="str">
        <f>O692&amp;"     "</f>
        <v xml:space="preserve">Inactiva     </v>
      </c>
    </row>
    <row r="695" spans="1:15" ht="49.95" customHeight="1">
      <c r="A695" s="52" t="s">
        <v>24</v>
      </c>
      <c r="B695" s="52" t="s">
        <v>1700</v>
      </c>
      <c r="C695" s="52"/>
      <c r="D695" s="52"/>
      <c r="E695" s="52" t="s">
        <v>1701</v>
      </c>
      <c r="F695" s="52" t="s">
        <v>62</v>
      </c>
      <c r="G695" s="52" t="s">
        <v>1473</v>
      </c>
      <c r="H695" s="52" t="s">
        <v>62</v>
      </c>
      <c r="I695" s="53">
        <v>39990</v>
      </c>
      <c r="J695" s="53" t="s">
        <v>63</v>
      </c>
      <c r="K695" s="53" t="s">
        <v>64</v>
      </c>
      <c r="L695" s="53" t="s">
        <v>65</v>
      </c>
      <c r="M695" s="53" t="s">
        <v>66</v>
      </c>
      <c r="N695" s="52" t="str">
        <f ca="1">IF(INDIRECT("M695")="Clásica","14%",IF(INDIRECT("M695")="Premium","18%","-"))</f>
        <v>14%</v>
      </c>
      <c r="O695" s="53" t="s">
        <v>1455</v>
      </c>
    </row>
    <row r="696" spans="1:15" ht="49.95" customHeight="1">
      <c r="A696" s="52" t="s">
        <v>24</v>
      </c>
      <c r="B696" s="52" t="s">
        <v>1700</v>
      </c>
      <c r="C696" s="52" t="s">
        <v>1702</v>
      </c>
      <c r="D696" s="52" t="s">
        <v>1702</v>
      </c>
      <c r="E696" s="54" t="str">
        <f>"     "&amp;E695</f>
        <v xml:space="preserve">     Colín Monoplaza Deportivo Yamaha R15 R 15 V3</v>
      </c>
      <c r="F696" s="52" t="s">
        <v>84</v>
      </c>
      <c r="G696" s="53">
        <v>0</v>
      </c>
      <c r="H696" s="52" t="s">
        <v>62</v>
      </c>
      <c r="I696" s="52">
        <f>I695</f>
        <v>39990</v>
      </c>
      <c r="J696" s="52" t="str">
        <f>J695&amp;"     "</f>
        <v xml:space="preserve">$     </v>
      </c>
      <c r="K696" s="52" t="str">
        <f>K695&amp;"     "</f>
        <v xml:space="preserve">Nuevo     </v>
      </c>
      <c r="L696" s="52" t="str">
        <f>L695&amp;"     "</f>
        <v xml:space="preserve">Mercado Envíos gratis     </v>
      </c>
      <c r="M696" s="52" t="str">
        <f>M695&amp;"     "</f>
        <v xml:space="preserve">Clásica     </v>
      </c>
      <c r="N696" s="52" t="str">
        <f ca="1">N695</f>
        <v>14%</v>
      </c>
      <c r="O696" s="52" t="str">
        <f>O695&amp;"     "</f>
        <v xml:space="preserve">Inactiva     </v>
      </c>
    </row>
    <row r="697" spans="1:15" ht="49.95" customHeight="1">
      <c r="A697" s="52" t="s">
        <v>24</v>
      </c>
      <c r="B697" s="52" t="s">
        <v>1700</v>
      </c>
      <c r="C697" s="52" t="s">
        <v>1703</v>
      </c>
      <c r="D697" s="52" t="s">
        <v>1703</v>
      </c>
      <c r="E697" s="54" t="str">
        <f>"     "&amp;E695</f>
        <v xml:space="preserve">     Colín Monoplaza Deportivo Yamaha R15 R 15 V3</v>
      </c>
      <c r="F697" s="52" t="s">
        <v>86</v>
      </c>
      <c r="G697" s="53">
        <v>0</v>
      </c>
      <c r="H697" s="52" t="s">
        <v>62</v>
      </c>
      <c r="I697" s="52">
        <f>I695</f>
        <v>39990</v>
      </c>
      <c r="J697" s="52" t="str">
        <f>J695&amp;"     "</f>
        <v xml:space="preserve">$     </v>
      </c>
      <c r="K697" s="52" t="str">
        <f>K695&amp;"     "</f>
        <v xml:space="preserve">Nuevo     </v>
      </c>
      <c r="L697" s="52" t="str">
        <f>L695&amp;"     "</f>
        <v xml:space="preserve">Mercado Envíos gratis     </v>
      </c>
      <c r="M697" s="52" t="str">
        <f>M695&amp;"     "</f>
        <v xml:space="preserve">Clásica     </v>
      </c>
      <c r="N697" s="52" t="str">
        <f ca="1">N695</f>
        <v>14%</v>
      </c>
      <c r="O697" s="52" t="str">
        <f>O695&amp;"     "</f>
        <v xml:space="preserve">Inactiva     </v>
      </c>
    </row>
    <row r="698" spans="1:15" ht="49.95" customHeight="1">
      <c r="A698" s="52" t="s">
        <v>24</v>
      </c>
      <c r="B698" s="52" t="s">
        <v>1700</v>
      </c>
      <c r="C698" s="52" t="s">
        <v>1704</v>
      </c>
      <c r="D698" s="52" t="s">
        <v>1704</v>
      </c>
      <c r="E698" s="54" t="str">
        <f>"     "&amp;E695</f>
        <v xml:space="preserve">     Colín Monoplaza Deportivo Yamaha R15 R 15 V3</v>
      </c>
      <c r="F698" s="52" t="s">
        <v>90</v>
      </c>
      <c r="G698" s="53">
        <v>0</v>
      </c>
      <c r="H698" s="52" t="s">
        <v>62</v>
      </c>
      <c r="I698" s="52">
        <f>I695</f>
        <v>39990</v>
      </c>
      <c r="J698" s="52" t="str">
        <f>J695&amp;"     "</f>
        <v xml:space="preserve">$     </v>
      </c>
      <c r="K698" s="52" t="str">
        <f>K695&amp;"     "</f>
        <v xml:space="preserve">Nuevo     </v>
      </c>
      <c r="L698" s="52" t="str">
        <f>L695&amp;"     "</f>
        <v xml:space="preserve">Mercado Envíos gratis     </v>
      </c>
      <c r="M698" s="52" t="str">
        <f>M695&amp;"     "</f>
        <v xml:space="preserve">Clásica     </v>
      </c>
      <c r="N698" s="52" t="str">
        <f ca="1">N695</f>
        <v>14%</v>
      </c>
      <c r="O698" s="52" t="str">
        <f>O695&amp;"     "</f>
        <v xml:space="preserve">Inactiva     </v>
      </c>
    </row>
    <row r="699" spans="1:15" ht="49.95" customHeight="1">
      <c r="A699" s="52" t="s">
        <v>1705</v>
      </c>
      <c r="B699" s="52" t="s">
        <v>1706</v>
      </c>
      <c r="C699" s="52" t="s">
        <v>1707</v>
      </c>
      <c r="D699" s="52"/>
      <c r="E699" s="52" t="s">
        <v>1708</v>
      </c>
      <c r="F699" s="52" t="s">
        <v>1708</v>
      </c>
      <c r="G699" s="53">
        <v>0</v>
      </c>
      <c r="H699" s="52" t="s">
        <v>62</v>
      </c>
      <c r="I699" s="53">
        <v>19990</v>
      </c>
      <c r="J699" s="53" t="s">
        <v>63</v>
      </c>
      <c r="K699" s="53" t="s">
        <v>64</v>
      </c>
      <c r="L699" s="53" t="s">
        <v>65</v>
      </c>
      <c r="M699" s="53" t="s">
        <v>66</v>
      </c>
      <c r="N699" s="52" t="str">
        <f ca="1">IF(INDIRECT("M699")="Clásica","14%",IF(INDIRECT("M699")="Premium","18%","-"))</f>
        <v>14%</v>
      </c>
      <c r="O699" s="53" t="s">
        <v>1455</v>
      </c>
    </row>
    <row r="700" spans="1:15" ht="49.95" customHeight="1">
      <c r="A700" s="52" t="s">
        <v>1709</v>
      </c>
      <c r="B700" s="52" t="s">
        <v>1710</v>
      </c>
      <c r="C700" s="52" t="s">
        <v>1711</v>
      </c>
      <c r="D700" s="52"/>
      <c r="E700" s="52" t="s">
        <v>1712</v>
      </c>
      <c r="F700" s="52" t="s">
        <v>1712</v>
      </c>
      <c r="G700" s="53">
        <v>0</v>
      </c>
      <c r="H700" s="52" t="s">
        <v>62</v>
      </c>
      <c r="I700" s="53">
        <v>16990</v>
      </c>
      <c r="J700" s="53" t="s">
        <v>63</v>
      </c>
      <c r="K700" s="53" t="s">
        <v>64</v>
      </c>
      <c r="L700" s="53" t="s">
        <v>71</v>
      </c>
      <c r="M700" s="53" t="s">
        <v>66</v>
      </c>
      <c r="N700" s="52" t="str">
        <f ca="1">IF(INDIRECT("M700")="Clásica","14%",IF(INDIRECT("M700")="Premium","18%","-"))</f>
        <v>14%</v>
      </c>
      <c r="O700" s="53" t="s">
        <v>1455</v>
      </c>
    </row>
    <row r="701" spans="1:15" ht="49.95" customHeight="1">
      <c r="A701" s="52" t="s">
        <v>1713</v>
      </c>
      <c r="B701" s="52" t="s">
        <v>1714</v>
      </c>
      <c r="C701" s="52" t="s">
        <v>1715</v>
      </c>
      <c r="D701" s="52"/>
      <c r="E701" s="52" t="s">
        <v>1716</v>
      </c>
      <c r="F701" s="52" t="s">
        <v>86</v>
      </c>
      <c r="G701" s="53">
        <v>0</v>
      </c>
      <c r="H701" s="52" t="s">
        <v>62</v>
      </c>
      <c r="I701" s="53">
        <v>14990</v>
      </c>
      <c r="J701" s="53" t="s">
        <v>63</v>
      </c>
      <c r="K701" s="53" t="s">
        <v>64</v>
      </c>
      <c r="L701" s="53" t="s">
        <v>71</v>
      </c>
      <c r="M701" s="53" t="s">
        <v>66</v>
      </c>
      <c r="N701" s="52" t="str">
        <f ca="1">IF(INDIRECT("M701")="Clásica","14%",IF(INDIRECT("M701")="Premium","18%","-"))</f>
        <v>14%</v>
      </c>
      <c r="O701" s="53" t="s">
        <v>1455</v>
      </c>
    </row>
    <row r="702" spans="1:15" ht="49.95" customHeight="1">
      <c r="A702" s="52" t="s">
        <v>24</v>
      </c>
      <c r="B702" s="52" t="s">
        <v>1717</v>
      </c>
      <c r="C702" s="52"/>
      <c r="D702" s="52"/>
      <c r="E702" s="52" t="s">
        <v>1718</v>
      </c>
      <c r="F702" s="52" t="s">
        <v>62</v>
      </c>
      <c r="G702" s="52" t="s">
        <v>1473</v>
      </c>
      <c r="H702" s="52" t="s">
        <v>62</v>
      </c>
      <c r="I702" s="53">
        <v>4990</v>
      </c>
      <c r="J702" s="53" t="s">
        <v>63</v>
      </c>
      <c r="K702" s="53" t="s">
        <v>64</v>
      </c>
      <c r="L702" s="53" t="s">
        <v>71</v>
      </c>
      <c r="M702" s="53" t="s">
        <v>66</v>
      </c>
      <c r="N702" s="52" t="str">
        <f ca="1">IF(INDIRECT("M702")="Clásica","14%",IF(INDIRECT("M702")="Premium","18%","-"))</f>
        <v>14%</v>
      </c>
      <c r="O702" s="53" t="s">
        <v>1455</v>
      </c>
    </row>
    <row r="703" spans="1:15" ht="49.95" customHeight="1">
      <c r="A703" s="52" t="s">
        <v>24</v>
      </c>
      <c r="B703" s="52" t="s">
        <v>1717</v>
      </c>
      <c r="C703" s="52" t="s">
        <v>1719</v>
      </c>
      <c r="D703" s="52" t="s">
        <v>1719</v>
      </c>
      <c r="E703" s="54" t="str">
        <f>"     "&amp;E702</f>
        <v xml:space="preserve">     Tank Grip / Protector Estanque Tracción Yamaha R6 2008-2015</v>
      </c>
      <c r="F703" s="52" t="s">
        <v>86</v>
      </c>
      <c r="G703" s="53">
        <v>0</v>
      </c>
      <c r="H703" s="52" t="s">
        <v>62</v>
      </c>
      <c r="I703" s="52">
        <f>I702</f>
        <v>4990</v>
      </c>
      <c r="J703" s="52" t="str">
        <f>J702&amp;"     "</f>
        <v xml:space="preserve">$     </v>
      </c>
      <c r="K703" s="52" t="str">
        <f>K702&amp;"     "</f>
        <v xml:space="preserve">Nuevo     </v>
      </c>
      <c r="L703" s="52" t="str">
        <f>L702&amp;"     "</f>
        <v xml:space="preserve">Mercado Envíos a cargo del comprador     </v>
      </c>
      <c r="M703" s="52" t="str">
        <f>M702&amp;"     "</f>
        <v xml:space="preserve">Clásica     </v>
      </c>
      <c r="N703" s="52" t="str">
        <f ca="1">N702</f>
        <v>14%</v>
      </c>
      <c r="O703" s="52" t="str">
        <f>O702&amp;"     "</f>
        <v xml:space="preserve">Inactiva     </v>
      </c>
    </row>
    <row r="704" spans="1:15" ht="49.95" customHeight="1">
      <c r="A704" s="52" t="s">
        <v>24</v>
      </c>
      <c r="B704" s="52" t="s">
        <v>1717</v>
      </c>
      <c r="C704" s="52" t="s">
        <v>1720</v>
      </c>
      <c r="D704" s="52" t="s">
        <v>1720</v>
      </c>
      <c r="E704" s="54" t="str">
        <f>"     "&amp;E702</f>
        <v xml:space="preserve">     Tank Grip / Protector Estanque Tracción Yamaha R6 2008-2015</v>
      </c>
      <c r="F704" s="52" t="s">
        <v>84</v>
      </c>
      <c r="G704" s="53">
        <v>0</v>
      </c>
      <c r="H704" s="52" t="s">
        <v>62</v>
      </c>
      <c r="I704" s="52">
        <f>I702</f>
        <v>4990</v>
      </c>
      <c r="J704" s="52" t="str">
        <f>J702&amp;"     "</f>
        <v xml:space="preserve">$     </v>
      </c>
      <c r="K704" s="52" t="str">
        <f>K702&amp;"     "</f>
        <v xml:space="preserve">Nuevo     </v>
      </c>
      <c r="L704" s="52" t="str">
        <f>L702&amp;"     "</f>
        <v xml:space="preserve">Mercado Envíos a cargo del comprador     </v>
      </c>
      <c r="M704" s="52" t="str">
        <f>M702&amp;"     "</f>
        <v xml:space="preserve">Clásica     </v>
      </c>
      <c r="N704" s="52" t="str">
        <f ca="1">N702</f>
        <v>14%</v>
      </c>
      <c r="O704" s="52" t="str">
        <f>O702&amp;"     "</f>
        <v xml:space="preserve">Inactiva     </v>
      </c>
    </row>
    <row r="705" spans="1:15" ht="49.95" customHeight="1">
      <c r="A705" s="52" t="s">
        <v>24</v>
      </c>
      <c r="B705" s="52" t="s">
        <v>1717</v>
      </c>
      <c r="C705" s="52" t="s">
        <v>1721</v>
      </c>
      <c r="D705" s="52" t="s">
        <v>1721</v>
      </c>
      <c r="E705" s="54" t="str">
        <f>"     "&amp;E702</f>
        <v xml:space="preserve">     Tank Grip / Protector Estanque Tracción Yamaha R6 2008-2015</v>
      </c>
      <c r="F705" s="52" t="s">
        <v>90</v>
      </c>
      <c r="G705" s="53">
        <v>0</v>
      </c>
      <c r="H705" s="52" t="s">
        <v>62</v>
      </c>
      <c r="I705" s="52">
        <f>I702</f>
        <v>4990</v>
      </c>
      <c r="J705" s="52" t="str">
        <f>J702&amp;"     "</f>
        <v xml:space="preserve">$     </v>
      </c>
      <c r="K705" s="52" t="str">
        <f>K702&amp;"     "</f>
        <v xml:space="preserve">Nuevo     </v>
      </c>
      <c r="L705" s="52" t="str">
        <f>L702&amp;"     "</f>
        <v xml:space="preserve">Mercado Envíos a cargo del comprador     </v>
      </c>
      <c r="M705" s="52" t="str">
        <f>M702&amp;"     "</f>
        <v xml:space="preserve">Clásica     </v>
      </c>
      <c r="N705" s="52" t="str">
        <f ca="1">N702</f>
        <v>14%</v>
      </c>
      <c r="O705" s="52" t="str">
        <f>O702&amp;"     "</f>
        <v xml:space="preserve">Inactiva     </v>
      </c>
    </row>
    <row r="706" spans="1:15" ht="49.95" customHeight="1">
      <c r="A706" s="52" t="s">
        <v>1722</v>
      </c>
      <c r="B706" s="52" t="s">
        <v>1723</v>
      </c>
      <c r="C706" s="52" t="s">
        <v>1724</v>
      </c>
      <c r="D706" s="52"/>
      <c r="E706" s="52" t="s">
        <v>1725</v>
      </c>
      <c r="F706" s="52" t="s">
        <v>1725</v>
      </c>
      <c r="G706" s="53">
        <v>0</v>
      </c>
      <c r="H706" s="52" t="s">
        <v>62</v>
      </c>
      <c r="I706" s="53">
        <v>34990</v>
      </c>
      <c r="J706" s="53" t="s">
        <v>63</v>
      </c>
      <c r="K706" s="53" t="s">
        <v>64</v>
      </c>
      <c r="L706" s="53" t="s">
        <v>65</v>
      </c>
      <c r="M706" s="53" t="s">
        <v>66</v>
      </c>
      <c r="N706" s="52" t="str">
        <f ca="1">IF(INDIRECT("M706")="Clásica","14%",IF(INDIRECT("M706")="Premium","18%","-"))</f>
        <v>14%</v>
      </c>
      <c r="O706" s="53" t="s">
        <v>1455</v>
      </c>
    </row>
    <row r="707" spans="1:15" ht="49.95" customHeight="1">
      <c r="A707" s="52" t="s">
        <v>1726</v>
      </c>
      <c r="B707" s="52" t="s">
        <v>1727</v>
      </c>
      <c r="C707" s="52" t="s">
        <v>1728</v>
      </c>
      <c r="D707" s="52"/>
      <c r="E707" s="52" t="s">
        <v>1729</v>
      </c>
      <c r="F707" s="52" t="s">
        <v>86</v>
      </c>
      <c r="G707" s="53">
        <v>0</v>
      </c>
      <c r="H707" s="52" t="s">
        <v>62</v>
      </c>
      <c r="I707" s="53">
        <v>129990</v>
      </c>
      <c r="J707" s="53" t="s">
        <v>63</v>
      </c>
      <c r="K707" s="53" t="s">
        <v>64</v>
      </c>
      <c r="L707" s="53" t="s">
        <v>65</v>
      </c>
      <c r="M707" s="53" t="s">
        <v>66</v>
      </c>
      <c r="N707" s="52" t="str">
        <f ca="1">IF(INDIRECT("M707")="Clásica","14%",IF(INDIRECT("M707")="Premium","18%","-"))</f>
        <v>14%</v>
      </c>
      <c r="O707" s="53" t="s">
        <v>1455</v>
      </c>
    </row>
    <row r="708" spans="1:15" ht="49.95" customHeight="1">
      <c r="A708" s="52" t="s">
        <v>1730</v>
      </c>
      <c r="B708" s="52" t="s">
        <v>1731</v>
      </c>
      <c r="C708" s="52" t="s">
        <v>1732</v>
      </c>
      <c r="D708" s="52"/>
      <c r="E708" s="52" t="s">
        <v>1733</v>
      </c>
      <c r="F708" s="52" t="s">
        <v>90</v>
      </c>
      <c r="G708" s="53">
        <v>0</v>
      </c>
      <c r="H708" s="52" t="s">
        <v>62</v>
      </c>
      <c r="I708" s="53">
        <v>34990</v>
      </c>
      <c r="J708" s="53" t="s">
        <v>63</v>
      </c>
      <c r="K708" s="53" t="s">
        <v>64</v>
      </c>
      <c r="L708" s="53" t="s">
        <v>65</v>
      </c>
      <c r="M708" s="53" t="s">
        <v>66</v>
      </c>
      <c r="N708" s="52" t="str">
        <f ca="1">IF(INDIRECT("M708")="Clásica","14%",IF(INDIRECT("M708")="Premium","18%","-"))</f>
        <v>14%</v>
      </c>
      <c r="O708" s="53" t="s">
        <v>1455</v>
      </c>
    </row>
    <row r="709" spans="1:15" ht="49.95" customHeight="1">
      <c r="A709" s="52" t="s">
        <v>1734</v>
      </c>
      <c r="B709" s="52" t="s">
        <v>1735</v>
      </c>
      <c r="C709" s="52" t="s">
        <v>1736</v>
      </c>
      <c r="D709" s="52"/>
      <c r="E709" s="52" t="s">
        <v>1737</v>
      </c>
      <c r="F709" s="52" t="s">
        <v>1737</v>
      </c>
      <c r="G709" s="53">
        <v>0</v>
      </c>
      <c r="H709" s="52" t="s">
        <v>62</v>
      </c>
      <c r="I709" s="53">
        <v>44990</v>
      </c>
      <c r="J709" s="53" t="s">
        <v>63</v>
      </c>
      <c r="K709" s="53" t="s">
        <v>64</v>
      </c>
      <c r="L709" s="53" t="s">
        <v>65</v>
      </c>
      <c r="M709" s="53" t="s">
        <v>66</v>
      </c>
      <c r="N709" s="52" t="str">
        <f ca="1">IF(INDIRECT("M709")="Clásica","14%",IF(INDIRECT("M709")="Premium","18%","-"))</f>
        <v>14%</v>
      </c>
      <c r="O709" s="53" t="s">
        <v>1455</v>
      </c>
    </row>
    <row r="710" spans="1:15" ht="49.95" customHeight="1">
      <c r="A710" s="52" t="s">
        <v>1738</v>
      </c>
      <c r="B710" s="52" t="s">
        <v>1739</v>
      </c>
      <c r="C710" s="52" t="s">
        <v>1740</v>
      </c>
      <c r="D710" s="52"/>
      <c r="E710" s="52" t="s">
        <v>1741</v>
      </c>
      <c r="F710" s="52" t="s">
        <v>1741</v>
      </c>
      <c r="G710" s="53">
        <v>0</v>
      </c>
      <c r="H710" s="52" t="s">
        <v>62</v>
      </c>
      <c r="I710" s="53">
        <v>49990</v>
      </c>
      <c r="J710" s="53" t="s">
        <v>63</v>
      </c>
      <c r="K710" s="53" t="s">
        <v>64</v>
      </c>
      <c r="L710" s="53" t="s">
        <v>65</v>
      </c>
      <c r="M710" s="53" t="s">
        <v>66</v>
      </c>
      <c r="N710" s="52" t="str">
        <f ca="1">IF(INDIRECT("M710")="Clásica","14%",IF(INDIRECT("M710")="Premium","18%","-"))</f>
        <v>14%</v>
      </c>
      <c r="O710" s="53" t="s">
        <v>1455</v>
      </c>
    </row>
    <row r="711" spans="1:15" ht="49.95" customHeight="1">
      <c r="A711" s="52" t="s">
        <v>24</v>
      </c>
      <c r="B711" s="52" t="s">
        <v>1742</v>
      </c>
      <c r="C711" s="52"/>
      <c r="D711" s="52"/>
      <c r="E711" s="52" t="s">
        <v>1743</v>
      </c>
      <c r="F711" s="52" t="s">
        <v>62</v>
      </c>
      <c r="G711" s="52" t="s">
        <v>1473</v>
      </c>
      <c r="H711" s="52" t="s">
        <v>62</v>
      </c>
      <c r="I711" s="53">
        <v>41990</v>
      </c>
      <c r="J711" s="53" t="s">
        <v>63</v>
      </c>
      <c r="K711" s="53" t="s">
        <v>64</v>
      </c>
      <c r="L711" s="53" t="s">
        <v>65</v>
      </c>
      <c r="M711" s="53" t="s">
        <v>66</v>
      </c>
      <c r="N711" s="52" t="str">
        <f ca="1">IF(INDIRECT("M711")="Clásica","14%",IF(INDIRECT("M711")="Premium","18%","-"))</f>
        <v>14%</v>
      </c>
      <c r="O711" s="53" t="s">
        <v>1455</v>
      </c>
    </row>
    <row r="712" spans="1:15" ht="49.95" customHeight="1">
      <c r="A712" s="52" t="s">
        <v>24</v>
      </c>
      <c r="B712" s="52" t="s">
        <v>1742</v>
      </c>
      <c r="C712" s="52" t="s">
        <v>1744</v>
      </c>
      <c r="D712" s="52" t="s">
        <v>1744</v>
      </c>
      <c r="E712" s="54" t="str">
        <f>"     "&amp;E711</f>
        <v xml:space="preserve">     Manillas Manillares Palancas Ktm Duke Rc 200 250 390 S/logo</v>
      </c>
      <c r="F712" s="52" t="s">
        <v>100</v>
      </c>
      <c r="G712" s="53">
        <v>0</v>
      </c>
      <c r="H712" s="52" t="s">
        <v>62</v>
      </c>
      <c r="I712" s="52">
        <f>I711</f>
        <v>41990</v>
      </c>
      <c r="J712" s="52" t="str">
        <f>J711&amp;"     "</f>
        <v xml:space="preserve">$     </v>
      </c>
      <c r="K712" s="52" t="str">
        <f>K711&amp;"     "</f>
        <v xml:space="preserve">Nuevo     </v>
      </c>
      <c r="L712" s="52" t="str">
        <f>L711&amp;"     "</f>
        <v xml:space="preserve">Mercado Envíos gratis     </v>
      </c>
      <c r="M712" s="52" t="str">
        <f>M711&amp;"     "</f>
        <v xml:space="preserve">Clásica     </v>
      </c>
      <c r="N712" s="52" t="str">
        <f ca="1">N711</f>
        <v>14%</v>
      </c>
      <c r="O712" s="52" t="str">
        <f>O711&amp;"     "</f>
        <v xml:space="preserve">Inactiva     </v>
      </c>
    </row>
    <row r="713" spans="1:15" ht="49.95" customHeight="1">
      <c r="A713" s="52" t="s">
        <v>24</v>
      </c>
      <c r="B713" s="52" t="s">
        <v>1742</v>
      </c>
      <c r="C713" s="52" t="s">
        <v>1745</v>
      </c>
      <c r="D713" s="52" t="s">
        <v>1745</v>
      </c>
      <c r="E713" s="54" t="str">
        <f>"     "&amp;E711</f>
        <v xml:space="preserve">     Manillas Manillares Palancas Ktm Duke Rc 200 250 390 S/logo</v>
      </c>
      <c r="F713" s="52" t="s">
        <v>86</v>
      </c>
      <c r="G713" s="53">
        <v>0</v>
      </c>
      <c r="H713" s="52" t="s">
        <v>62</v>
      </c>
      <c r="I713" s="52">
        <f>I711</f>
        <v>41990</v>
      </c>
      <c r="J713" s="52" t="str">
        <f>J711&amp;"     "</f>
        <v xml:space="preserve">$     </v>
      </c>
      <c r="K713" s="52" t="str">
        <f>K711&amp;"     "</f>
        <v xml:space="preserve">Nuevo     </v>
      </c>
      <c r="L713" s="52" t="str">
        <f>L711&amp;"     "</f>
        <v xml:space="preserve">Mercado Envíos gratis     </v>
      </c>
      <c r="M713" s="52" t="str">
        <f>M711&amp;"     "</f>
        <v xml:space="preserve">Clásica     </v>
      </c>
      <c r="N713" s="52" t="str">
        <f ca="1">N711</f>
        <v>14%</v>
      </c>
      <c r="O713" s="52" t="str">
        <f>O711&amp;"     "</f>
        <v xml:space="preserve">Inactiva     </v>
      </c>
    </row>
    <row r="714" spans="1:15" ht="49.95" customHeight="1">
      <c r="A714" s="52" t="s">
        <v>24</v>
      </c>
      <c r="B714" s="52" t="s">
        <v>1746</v>
      </c>
      <c r="C714" s="52"/>
      <c r="D714" s="52"/>
      <c r="E714" s="52" t="s">
        <v>1747</v>
      </c>
      <c r="F714" s="52" t="s">
        <v>62</v>
      </c>
      <c r="G714" s="52" t="s">
        <v>1473</v>
      </c>
      <c r="H714" s="52" t="s">
        <v>62</v>
      </c>
      <c r="I714" s="53">
        <v>59990</v>
      </c>
      <c r="J714" s="53" t="s">
        <v>63</v>
      </c>
      <c r="K714" s="53" t="s">
        <v>64</v>
      </c>
      <c r="L714" s="53" t="s">
        <v>65</v>
      </c>
      <c r="M714" s="53" t="s">
        <v>66</v>
      </c>
      <c r="N714" s="52" t="str">
        <f ca="1">IF(INDIRECT("M714")="Clásica","15%",IF(INDIRECT("M714")="Premium","19%","-"))</f>
        <v>15%</v>
      </c>
      <c r="O714" s="53" t="s">
        <v>1455</v>
      </c>
    </row>
    <row r="715" spans="1:15" ht="49.95" customHeight="1">
      <c r="A715" s="52" t="s">
        <v>24</v>
      </c>
      <c r="B715" s="52" t="s">
        <v>1746</v>
      </c>
      <c r="C715" s="52" t="s">
        <v>1748</v>
      </c>
      <c r="D715" s="52" t="s">
        <v>1748</v>
      </c>
      <c r="E715" s="54" t="str">
        <f>"     "&amp;E714</f>
        <v xml:space="preserve">     Cúpula Parabrisas Deflector Viento Honda Cb500x Cb 500x</v>
      </c>
      <c r="F715" s="52" t="s">
        <v>73</v>
      </c>
      <c r="G715" s="53">
        <v>0</v>
      </c>
      <c r="H715" s="52" t="s">
        <v>62</v>
      </c>
      <c r="I715" s="52">
        <f>I714</f>
        <v>59990</v>
      </c>
      <c r="J715" s="52" t="str">
        <f>J714&amp;"     "</f>
        <v xml:space="preserve">$     </v>
      </c>
      <c r="K715" s="52" t="str">
        <f>K714&amp;"     "</f>
        <v xml:space="preserve">Nuevo     </v>
      </c>
      <c r="L715" s="52" t="str">
        <f>L714&amp;"     "</f>
        <v xml:space="preserve">Mercado Envíos gratis     </v>
      </c>
      <c r="M715" s="52" t="str">
        <f>M714&amp;"     "</f>
        <v xml:space="preserve">Clásica     </v>
      </c>
      <c r="N715" s="52" t="str">
        <f ca="1">N714</f>
        <v>15%</v>
      </c>
      <c r="O715" s="52" t="str">
        <f>O714&amp;"     "</f>
        <v xml:space="preserve">Inactiva     </v>
      </c>
    </row>
    <row r="716" spans="1:15" ht="49.95" customHeight="1">
      <c r="A716" s="52" t="s">
        <v>24</v>
      </c>
      <c r="B716" s="52" t="s">
        <v>1746</v>
      </c>
      <c r="C716" s="52" t="s">
        <v>1749</v>
      </c>
      <c r="D716" s="52" t="s">
        <v>1749</v>
      </c>
      <c r="E716" s="54" t="str">
        <f>"     "&amp;E714</f>
        <v xml:space="preserve">     Cúpula Parabrisas Deflector Viento Honda Cb500x Cb 500x</v>
      </c>
      <c r="F716" s="52" t="s">
        <v>86</v>
      </c>
      <c r="G716" s="53">
        <v>0</v>
      </c>
      <c r="H716" s="52" t="s">
        <v>62</v>
      </c>
      <c r="I716" s="52">
        <f>I714</f>
        <v>59990</v>
      </c>
      <c r="J716" s="52" t="str">
        <f>J714&amp;"     "</f>
        <v xml:space="preserve">$     </v>
      </c>
      <c r="K716" s="52" t="str">
        <f>K714&amp;"     "</f>
        <v xml:space="preserve">Nuevo     </v>
      </c>
      <c r="L716" s="52" t="str">
        <f>L714&amp;"     "</f>
        <v xml:space="preserve">Mercado Envíos gratis     </v>
      </c>
      <c r="M716" s="52" t="str">
        <f>M714&amp;"     "</f>
        <v xml:space="preserve">Clásica     </v>
      </c>
      <c r="N716" s="52" t="str">
        <f ca="1">N714</f>
        <v>15%</v>
      </c>
      <c r="O716" s="52" t="str">
        <f>O714&amp;"     "</f>
        <v xml:space="preserve">Inactiva     </v>
      </c>
    </row>
    <row r="717" spans="1:15" ht="49.95" customHeight="1">
      <c r="A717" s="52" t="s">
        <v>24</v>
      </c>
      <c r="B717" s="52" t="s">
        <v>1750</v>
      </c>
      <c r="C717" s="52"/>
      <c r="D717" s="52"/>
      <c r="E717" s="52" t="s">
        <v>1751</v>
      </c>
      <c r="F717" s="52" t="s">
        <v>62</v>
      </c>
      <c r="G717" s="52" t="s">
        <v>1473</v>
      </c>
      <c r="H717" s="52" t="s">
        <v>62</v>
      </c>
      <c r="I717" s="53">
        <v>239990</v>
      </c>
      <c r="J717" s="53" t="s">
        <v>63</v>
      </c>
      <c r="K717" s="53" t="s">
        <v>64</v>
      </c>
      <c r="L717" s="53" t="s">
        <v>65</v>
      </c>
      <c r="M717" s="53" t="s">
        <v>66</v>
      </c>
      <c r="N717" s="52" t="str">
        <f ca="1">IF(INDIRECT("M717")="Clásica","14%",IF(INDIRECT("M717")="Premium","18%","-"))</f>
        <v>14%</v>
      </c>
      <c r="O717" s="53" t="s">
        <v>1455</v>
      </c>
    </row>
    <row r="718" spans="1:15" ht="49.95" customHeight="1">
      <c r="A718" s="52" t="s">
        <v>24</v>
      </c>
      <c r="B718" s="52" t="s">
        <v>1750</v>
      </c>
      <c r="C718" s="52" t="s">
        <v>1752</v>
      </c>
      <c r="D718" s="52" t="s">
        <v>1752</v>
      </c>
      <c r="E718" s="54" t="str">
        <f>"     "&amp;E717</f>
        <v xml:space="preserve">     Maleta Top Case Aluminio Moto 65 L Negro/gris X-series.</v>
      </c>
      <c r="F718" s="52" t="s">
        <v>86</v>
      </c>
      <c r="G718" s="53">
        <v>0</v>
      </c>
      <c r="H718" s="52" t="s">
        <v>62</v>
      </c>
      <c r="I718" s="52">
        <f>I717</f>
        <v>239990</v>
      </c>
      <c r="J718" s="52" t="str">
        <f>J717&amp;"     "</f>
        <v xml:space="preserve">$     </v>
      </c>
      <c r="K718" s="52" t="str">
        <f>K717&amp;"     "</f>
        <v xml:space="preserve">Nuevo     </v>
      </c>
      <c r="L718" s="52" t="str">
        <f>L717&amp;"     "</f>
        <v xml:space="preserve">Mercado Envíos gratis     </v>
      </c>
      <c r="M718" s="52" t="str">
        <f>M717&amp;"     "</f>
        <v xml:space="preserve">Clásica     </v>
      </c>
      <c r="N718" s="52" t="str">
        <f ca="1">N717</f>
        <v>14%</v>
      </c>
      <c r="O718" s="52" t="str">
        <f>O717&amp;"     "</f>
        <v xml:space="preserve">Inactiva     </v>
      </c>
    </row>
    <row r="719" spans="1:15" ht="49.95" customHeight="1">
      <c r="A719" s="52" t="s">
        <v>24</v>
      </c>
      <c r="B719" s="52" t="s">
        <v>1750</v>
      </c>
      <c r="C719" s="52" t="s">
        <v>1753</v>
      </c>
      <c r="D719" s="52" t="s">
        <v>1753</v>
      </c>
      <c r="E719" s="54" t="str">
        <f>"     "&amp;E717</f>
        <v xml:space="preserve">     Maleta Top Case Aluminio Moto 65 L Negro/gris X-series.</v>
      </c>
      <c r="F719" s="52" t="s">
        <v>97</v>
      </c>
      <c r="G719" s="53">
        <v>0</v>
      </c>
      <c r="H719" s="52" t="s">
        <v>62</v>
      </c>
      <c r="I719" s="52">
        <f>I717</f>
        <v>239990</v>
      </c>
      <c r="J719" s="52" t="str">
        <f>J717&amp;"     "</f>
        <v xml:space="preserve">$     </v>
      </c>
      <c r="K719" s="52" t="str">
        <f>K717&amp;"     "</f>
        <v xml:space="preserve">Nuevo     </v>
      </c>
      <c r="L719" s="52" t="str">
        <f>L717&amp;"     "</f>
        <v xml:space="preserve">Mercado Envíos gratis     </v>
      </c>
      <c r="M719" s="52" t="str">
        <f>M717&amp;"     "</f>
        <v xml:space="preserve">Clásica     </v>
      </c>
      <c r="N719" s="52" t="str">
        <f ca="1">N717</f>
        <v>14%</v>
      </c>
      <c r="O719" s="52" t="str">
        <f>O717&amp;"     "</f>
        <v xml:space="preserve">Inactiva     </v>
      </c>
    </row>
    <row r="720" spans="1:15" ht="49.95" customHeight="1">
      <c r="A720" s="52" t="s">
        <v>1754</v>
      </c>
      <c r="B720" s="52" t="s">
        <v>1755</v>
      </c>
      <c r="C720" s="52" t="s">
        <v>1756</v>
      </c>
      <c r="D720" s="52"/>
      <c r="E720" s="52" t="s">
        <v>1757</v>
      </c>
      <c r="F720" s="52" t="s">
        <v>86</v>
      </c>
      <c r="G720" s="53">
        <v>0</v>
      </c>
      <c r="H720" s="52" t="s">
        <v>62</v>
      </c>
      <c r="I720" s="53">
        <v>27990</v>
      </c>
      <c r="J720" s="53" t="s">
        <v>63</v>
      </c>
      <c r="K720" s="53" t="s">
        <v>64</v>
      </c>
      <c r="L720" s="53" t="s">
        <v>65</v>
      </c>
      <c r="M720" s="53" t="s">
        <v>66</v>
      </c>
      <c r="N720" s="52" t="str">
        <f ca="1">IF(INDIRECT("M720")="Clásica","14%",IF(INDIRECT("M720")="Premium","18%","-"))</f>
        <v>14%</v>
      </c>
      <c r="O720" s="53" t="s">
        <v>1455</v>
      </c>
    </row>
    <row r="721" spans="1:15" ht="49.95" customHeight="1">
      <c r="A721" s="52" t="s">
        <v>1758</v>
      </c>
      <c r="B721" s="52" t="s">
        <v>1759</v>
      </c>
      <c r="C721" s="52" t="s">
        <v>1760</v>
      </c>
      <c r="D721" s="52"/>
      <c r="E721" s="52" t="s">
        <v>1761</v>
      </c>
      <c r="F721" s="52" t="s">
        <v>1761</v>
      </c>
      <c r="G721" s="53">
        <v>0</v>
      </c>
      <c r="H721" s="52" t="s">
        <v>62</v>
      </c>
      <c r="I721" s="53">
        <v>49990</v>
      </c>
      <c r="J721" s="53" t="s">
        <v>63</v>
      </c>
      <c r="K721" s="53" t="s">
        <v>64</v>
      </c>
      <c r="L721" s="53" t="s">
        <v>65</v>
      </c>
      <c r="M721" s="53" t="s">
        <v>66</v>
      </c>
      <c r="N721" s="52" t="str">
        <f ca="1">IF(INDIRECT("M721")="Clásica","14%",IF(INDIRECT("M721")="Premium","18%","-"))</f>
        <v>14%</v>
      </c>
      <c r="O721" s="53" t="s">
        <v>1455</v>
      </c>
    </row>
    <row r="722" spans="1:15" ht="49.95" customHeight="1">
      <c r="A722" s="52" t="s">
        <v>1762</v>
      </c>
      <c r="B722" s="52" t="s">
        <v>1763</v>
      </c>
      <c r="C722" s="52" t="s">
        <v>1764</v>
      </c>
      <c r="D722" s="52"/>
      <c r="E722" s="52" t="s">
        <v>1765</v>
      </c>
      <c r="F722" s="52" t="s">
        <v>73</v>
      </c>
      <c r="G722" s="53">
        <v>0</v>
      </c>
      <c r="H722" s="52" t="s">
        <v>62</v>
      </c>
      <c r="I722" s="53">
        <v>69990</v>
      </c>
      <c r="J722" s="53" t="s">
        <v>63</v>
      </c>
      <c r="K722" s="53" t="s">
        <v>64</v>
      </c>
      <c r="L722" s="53" t="s">
        <v>65</v>
      </c>
      <c r="M722" s="53" t="s">
        <v>66</v>
      </c>
      <c r="N722" s="52" t="str">
        <f ca="1">IF(INDIRECT("M722")="Clásica","15%",IF(INDIRECT("M722")="Premium","19%","-"))</f>
        <v>15%</v>
      </c>
      <c r="O722" s="53" t="s">
        <v>1455</v>
      </c>
    </row>
    <row r="723" spans="1:15" ht="49.95" customHeight="1">
      <c r="A723" s="52" t="s">
        <v>24</v>
      </c>
      <c r="B723" s="52" t="s">
        <v>1766</v>
      </c>
      <c r="C723" s="52"/>
      <c r="D723" s="52"/>
      <c r="E723" s="52" t="s">
        <v>1767</v>
      </c>
      <c r="F723" s="52" t="s">
        <v>62</v>
      </c>
      <c r="G723" s="52" t="s">
        <v>1473</v>
      </c>
      <c r="H723" s="52" t="s">
        <v>62</v>
      </c>
      <c r="I723" s="53">
        <v>59990</v>
      </c>
      <c r="J723" s="53" t="s">
        <v>63</v>
      </c>
      <c r="K723" s="53" t="s">
        <v>64</v>
      </c>
      <c r="L723" s="53" t="s">
        <v>65</v>
      </c>
      <c r="M723" s="53" t="s">
        <v>66</v>
      </c>
      <c r="N723" s="52" t="str">
        <f ca="1">IF(INDIRECT("M723")="Clásica","14%",IF(INDIRECT("M723")="Premium","18%","-"))</f>
        <v>14%</v>
      </c>
      <c r="O723" s="53" t="s">
        <v>1455</v>
      </c>
    </row>
    <row r="724" spans="1:15" ht="49.95" customHeight="1">
      <c r="A724" s="52" t="s">
        <v>24</v>
      </c>
      <c r="B724" s="52" t="s">
        <v>1766</v>
      </c>
      <c r="C724" s="52" t="s">
        <v>1768</v>
      </c>
      <c r="D724" s="52" t="s">
        <v>1768</v>
      </c>
      <c r="E724" s="54" t="str">
        <f>"     "&amp;E723</f>
        <v xml:space="preserve">     Sliders Topes De Caída Kawasaki Z400 Ninja 400 Ninja 500</v>
      </c>
      <c r="F724" s="52" t="s">
        <v>445</v>
      </c>
      <c r="G724" s="53">
        <v>0</v>
      </c>
      <c r="H724" s="52" t="s">
        <v>62</v>
      </c>
      <c r="I724" s="52">
        <f>I723</f>
        <v>59990</v>
      </c>
      <c r="J724" s="52" t="str">
        <f>J723&amp;"     "</f>
        <v xml:space="preserve">$     </v>
      </c>
      <c r="K724" s="52" t="str">
        <f>K723&amp;"     "</f>
        <v xml:space="preserve">Nuevo     </v>
      </c>
      <c r="L724" s="52" t="str">
        <f>L723&amp;"     "</f>
        <v xml:space="preserve">Mercado Envíos gratis     </v>
      </c>
      <c r="M724" s="52" t="str">
        <f>M723&amp;"     "</f>
        <v xml:space="preserve">Clásica     </v>
      </c>
      <c r="N724" s="52" t="str">
        <f ca="1">N723</f>
        <v>14%</v>
      </c>
      <c r="O724" s="52" t="str">
        <f>O723&amp;"     "</f>
        <v xml:space="preserve">Inactiva     </v>
      </c>
    </row>
    <row r="725" spans="1:15" ht="49.95" customHeight="1">
      <c r="A725" s="52" t="s">
        <v>24</v>
      </c>
      <c r="B725" s="52" t="s">
        <v>1766</v>
      </c>
      <c r="C725" s="52" t="s">
        <v>1769</v>
      </c>
      <c r="D725" s="52" t="s">
        <v>1769</v>
      </c>
      <c r="E725" s="54" t="str">
        <f>"     "&amp;E723</f>
        <v xml:space="preserve">     Sliders Topes De Caída Kawasaki Z400 Ninja 400 Ninja 500</v>
      </c>
      <c r="F725" s="52" t="s">
        <v>86</v>
      </c>
      <c r="G725" s="53">
        <v>0</v>
      </c>
      <c r="H725" s="52" t="s">
        <v>62</v>
      </c>
      <c r="I725" s="52">
        <f>I723</f>
        <v>59990</v>
      </c>
      <c r="J725" s="52" t="str">
        <f>J723&amp;"     "</f>
        <v xml:space="preserve">$     </v>
      </c>
      <c r="K725" s="52" t="str">
        <f>K723&amp;"     "</f>
        <v xml:space="preserve">Nuevo     </v>
      </c>
      <c r="L725" s="52" t="str">
        <f>L723&amp;"     "</f>
        <v xml:space="preserve">Mercado Envíos gratis     </v>
      </c>
      <c r="M725" s="52" t="str">
        <f>M723&amp;"     "</f>
        <v xml:space="preserve">Clásica     </v>
      </c>
      <c r="N725" s="52" t="str">
        <f ca="1">N723</f>
        <v>14%</v>
      </c>
      <c r="O725" s="52" t="str">
        <f>O723&amp;"     "</f>
        <v xml:space="preserve">Inactiva     </v>
      </c>
    </row>
    <row r="726" spans="1:15" ht="49.95" customHeight="1">
      <c r="A726" s="52" t="s">
        <v>1770</v>
      </c>
      <c r="B726" s="52" t="s">
        <v>1771</v>
      </c>
      <c r="C726" s="52" t="s">
        <v>1772</v>
      </c>
      <c r="D726" s="52"/>
      <c r="E726" s="52" t="s">
        <v>1773</v>
      </c>
      <c r="F726" s="52" t="s">
        <v>524</v>
      </c>
      <c r="G726" s="53">
        <v>0</v>
      </c>
      <c r="H726" s="52" t="s">
        <v>62</v>
      </c>
      <c r="I726" s="53">
        <v>39990</v>
      </c>
      <c r="J726" s="53" t="s">
        <v>63</v>
      </c>
      <c r="K726" s="53" t="s">
        <v>64</v>
      </c>
      <c r="L726" s="53" t="s">
        <v>65</v>
      </c>
      <c r="M726" s="53" t="s">
        <v>66</v>
      </c>
      <c r="N726" s="52" t="str">
        <f ca="1">IF(INDIRECT("M726")="Clásica","14%",IF(INDIRECT("M726")="Premium","18%","-"))</f>
        <v>14%</v>
      </c>
      <c r="O726" s="53" t="s">
        <v>1455</v>
      </c>
    </row>
    <row r="727" spans="1:15" ht="49.95" customHeight="1">
      <c r="A727" s="52" t="s">
        <v>1774</v>
      </c>
      <c r="B727" s="52" t="s">
        <v>1775</v>
      </c>
      <c r="C727" s="52" t="s">
        <v>1776</v>
      </c>
      <c r="D727" s="52"/>
      <c r="E727" s="52" t="s">
        <v>1777</v>
      </c>
      <c r="F727" s="52" t="s">
        <v>86</v>
      </c>
      <c r="G727" s="53">
        <v>0</v>
      </c>
      <c r="H727" s="52" t="s">
        <v>62</v>
      </c>
      <c r="I727" s="53">
        <v>34990</v>
      </c>
      <c r="J727" s="53" t="s">
        <v>63</v>
      </c>
      <c r="K727" s="53" t="s">
        <v>64</v>
      </c>
      <c r="L727" s="53" t="s">
        <v>65</v>
      </c>
      <c r="M727" s="53" t="s">
        <v>66</v>
      </c>
      <c r="N727" s="52" t="str">
        <f ca="1">IF(INDIRECT("M727")="Clásica","14%",IF(INDIRECT("M727")="Premium","18%","-"))</f>
        <v>14%</v>
      </c>
      <c r="O727" s="53" t="s">
        <v>1455</v>
      </c>
    </row>
    <row r="728" spans="1:15" ht="49.95" customHeight="1">
      <c r="A728" s="52" t="s">
        <v>1778</v>
      </c>
      <c r="B728" s="52" t="s">
        <v>1779</v>
      </c>
      <c r="C728" s="52" t="s">
        <v>1780</v>
      </c>
      <c r="D728" s="52"/>
      <c r="E728" s="52" t="s">
        <v>1781</v>
      </c>
      <c r="F728" s="52" t="s">
        <v>1781</v>
      </c>
      <c r="G728" s="53">
        <v>0</v>
      </c>
      <c r="H728" s="52" t="s">
        <v>62</v>
      </c>
      <c r="I728" s="53">
        <v>10990</v>
      </c>
      <c r="J728" s="53" t="s">
        <v>63</v>
      </c>
      <c r="K728" s="53" t="s">
        <v>64</v>
      </c>
      <c r="L728" s="53" t="s">
        <v>71</v>
      </c>
      <c r="M728" s="53" t="s">
        <v>1240</v>
      </c>
      <c r="N728" s="52" t="str">
        <f ca="1">IF(INDIRECT("M728")="Clásica","15%",IF(INDIRECT("M728")="Premium","19%","-"))</f>
        <v>19%</v>
      </c>
      <c r="O728" s="53" t="s">
        <v>1455</v>
      </c>
    </row>
    <row r="729" spans="1:15" ht="49.95" customHeight="1">
      <c r="A729" s="52" t="s">
        <v>1782</v>
      </c>
      <c r="B729" s="52" t="s">
        <v>1783</v>
      </c>
      <c r="C729" s="52" t="s">
        <v>1784</v>
      </c>
      <c r="D729" s="52"/>
      <c r="E729" s="52" t="s">
        <v>1785</v>
      </c>
      <c r="F729" s="52" t="s">
        <v>1785</v>
      </c>
      <c r="G729" s="53">
        <v>0</v>
      </c>
      <c r="H729" s="52" t="s">
        <v>62</v>
      </c>
      <c r="I729" s="53">
        <v>18990</v>
      </c>
      <c r="J729" s="53" t="s">
        <v>63</v>
      </c>
      <c r="K729" s="53" t="s">
        <v>64</v>
      </c>
      <c r="L729" s="53" t="s">
        <v>71</v>
      </c>
      <c r="M729" s="53" t="s">
        <v>66</v>
      </c>
      <c r="N729" s="52" t="str">
        <f ca="1">IF(INDIRECT("M729")="Clásica","14%",IF(INDIRECT("M729")="Premium","18%","-"))</f>
        <v>14%</v>
      </c>
      <c r="O729" s="53" t="s">
        <v>1455</v>
      </c>
    </row>
    <row r="730" spans="1:15" ht="49.95" customHeight="1">
      <c r="A730" s="52" t="s">
        <v>1786</v>
      </c>
      <c r="B730" s="52" t="s">
        <v>1787</v>
      </c>
      <c r="C730" s="52" t="s">
        <v>1788</v>
      </c>
      <c r="D730" s="52"/>
      <c r="E730" s="52" t="s">
        <v>1789</v>
      </c>
      <c r="F730" s="52" t="s">
        <v>1789</v>
      </c>
      <c r="G730" s="53">
        <v>0</v>
      </c>
      <c r="H730" s="52" t="s">
        <v>62</v>
      </c>
      <c r="I730" s="53">
        <v>34990</v>
      </c>
      <c r="J730" s="53" t="s">
        <v>63</v>
      </c>
      <c r="K730" s="53" t="s">
        <v>64</v>
      </c>
      <c r="L730" s="53" t="s">
        <v>65</v>
      </c>
      <c r="M730" s="53" t="s">
        <v>66</v>
      </c>
      <c r="N730" s="52" t="str">
        <f ca="1">IF(INDIRECT("M730")="Clásica","14%",IF(INDIRECT("M730")="Premium","18%","-"))</f>
        <v>14%</v>
      </c>
      <c r="O730" s="53" t="s">
        <v>1455</v>
      </c>
    </row>
    <row r="731" spans="1:15" ht="49.95" customHeight="1">
      <c r="A731" s="52" t="s">
        <v>1790</v>
      </c>
      <c r="B731" s="52" t="s">
        <v>1791</v>
      </c>
      <c r="C731" s="52" t="s">
        <v>1792</v>
      </c>
      <c r="D731" s="52"/>
      <c r="E731" s="52" t="s">
        <v>1793</v>
      </c>
      <c r="F731" s="52" t="s">
        <v>1793</v>
      </c>
      <c r="G731" s="53">
        <v>0</v>
      </c>
      <c r="H731" s="52" t="s">
        <v>62</v>
      </c>
      <c r="I731" s="53">
        <v>32990</v>
      </c>
      <c r="J731" s="53" t="s">
        <v>63</v>
      </c>
      <c r="K731" s="53" t="s">
        <v>64</v>
      </c>
      <c r="L731" s="53" t="s">
        <v>65</v>
      </c>
      <c r="M731" s="53" t="s">
        <v>66</v>
      </c>
      <c r="N731" s="52" t="str">
        <f ca="1">IF(INDIRECT("M731")="Clásica","14%",IF(INDIRECT("M731")="Premium","18%","-"))</f>
        <v>14%</v>
      </c>
      <c r="O731" s="53" t="s">
        <v>1455</v>
      </c>
    </row>
    <row r="732" spans="1:15" ht="49.95" customHeight="1">
      <c r="A732" s="52" t="s">
        <v>1794</v>
      </c>
      <c r="B732" s="52" t="s">
        <v>1795</v>
      </c>
      <c r="C732" s="52" t="s">
        <v>1796</v>
      </c>
      <c r="D732" s="52"/>
      <c r="E732" s="52" t="s">
        <v>1797</v>
      </c>
      <c r="F732" s="52" t="s">
        <v>1797</v>
      </c>
      <c r="G732" s="53">
        <v>0</v>
      </c>
      <c r="H732" s="52" t="s">
        <v>62</v>
      </c>
      <c r="I732" s="53">
        <v>34990</v>
      </c>
      <c r="J732" s="53" t="s">
        <v>63</v>
      </c>
      <c r="K732" s="53" t="s">
        <v>64</v>
      </c>
      <c r="L732" s="53" t="s">
        <v>65</v>
      </c>
      <c r="M732" s="53" t="s">
        <v>66</v>
      </c>
      <c r="N732" s="52" t="str">
        <f ca="1">IF(INDIRECT("M732")="Clásica","14%",IF(INDIRECT("M732")="Premium","18%","-"))</f>
        <v>14%</v>
      </c>
      <c r="O732" s="53" t="s">
        <v>1455</v>
      </c>
    </row>
    <row r="733" spans="1:15" ht="49.95" customHeight="1">
      <c r="A733" s="52" t="s">
        <v>1798</v>
      </c>
      <c r="B733" s="52" t="s">
        <v>1799</v>
      </c>
      <c r="C733" s="52" t="s">
        <v>1800</v>
      </c>
      <c r="D733" s="52"/>
      <c r="E733" s="52" t="s">
        <v>1801</v>
      </c>
      <c r="F733" s="52" t="s">
        <v>1801</v>
      </c>
      <c r="G733" s="53">
        <v>0</v>
      </c>
      <c r="H733" s="52" t="s">
        <v>62</v>
      </c>
      <c r="I733" s="53">
        <v>14990</v>
      </c>
      <c r="J733" s="53" t="s">
        <v>63</v>
      </c>
      <c r="K733" s="53" t="s">
        <v>64</v>
      </c>
      <c r="L733" s="53" t="s">
        <v>71</v>
      </c>
      <c r="M733" s="53" t="s">
        <v>66</v>
      </c>
      <c r="N733" s="52" t="str">
        <f ca="1">IF(INDIRECT("M733")="Clásica","14%",IF(INDIRECT("M733")="Premium","18%","-"))</f>
        <v>14%</v>
      </c>
      <c r="O733" s="53" t="s">
        <v>1455</v>
      </c>
    </row>
    <row r="734" spans="1:15" ht="49.95" customHeight="1">
      <c r="A734" s="52" t="s">
        <v>24</v>
      </c>
      <c r="B734" s="52" t="s">
        <v>1802</v>
      </c>
      <c r="C734" s="52"/>
      <c r="D734" s="52"/>
      <c r="E734" s="52" t="s">
        <v>1803</v>
      </c>
      <c r="F734" s="52" t="s">
        <v>62</v>
      </c>
      <c r="G734" s="52" t="s">
        <v>1473</v>
      </c>
      <c r="H734" s="52" t="s">
        <v>62</v>
      </c>
      <c r="I734" s="53">
        <v>59990</v>
      </c>
      <c r="J734" s="53" t="s">
        <v>63</v>
      </c>
      <c r="K734" s="53" t="s">
        <v>64</v>
      </c>
      <c r="L734" s="53" t="s">
        <v>65</v>
      </c>
      <c r="M734" s="53" t="s">
        <v>66</v>
      </c>
      <c r="N734" s="52" t="str">
        <f ca="1">IF(INDIRECT("M734")="Clásica","15%",IF(INDIRECT("M734")="Premium","19%","-"))</f>
        <v>15%</v>
      </c>
      <c r="O734" s="53" t="s">
        <v>1455</v>
      </c>
    </row>
    <row r="735" spans="1:15" ht="49.95" customHeight="1">
      <c r="A735" s="52" t="s">
        <v>24</v>
      </c>
      <c r="B735" s="52" t="s">
        <v>1802</v>
      </c>
      <c r="C735" s="52" t="s">
        <v>1804</v>
      </c>
      <c r="D735" s="52" t="s">
        <v>1804</v>
      </c>
      <c r="E735" s="54" t="str">
        <f>"     "&amp;E734</f>
        <v xml:space="preserve">     Pedales Freno Y Cambio Ktm Duke 200 250 390 Desde Año 2017</v>
      </c>
      <c r="F735" s="52" t="s">
        <v>100</v>
      </c>
      <c r="G735" s="53">
        <v>0</v>
      </c>
      <c r="H735" s="52" t="s">
        <v>62</v>
      </c>
      <c r="I735" s="52">
        <f>I734</f>
        <v>59990</v>
      </c>
      <c r="J735" s="52" t="str">
        <f>J734&amp;"     "</f>
        <v xml:space="preserve">$     </v>
      </c>
      <c r="K735" s="52" t="str">
        <f>K734&amp;"     "</f>
        <v xml:space="preserve">Nuevo     </v>
      </c>
      <c r="L735" s="52" t="str">
        <f>L734&amp;"     "</f>
        <v xml:space="preserve">Mercado Envíos gratis     </v>
      </c>
      <c r="M735" s="52" t="str">
        <f>M734&amp;"     "</f>
        <v xml:space="preserve">Clásica     </v>
      </c>
      <c r="N735" s="52" t="str">
        <f ca="1">N734</f>
        <v>15%</v>
      </c>
      <c r="O735" s="52" t="str">
        <f>O734&amp;"     "</f>
        <v xml:space="preserve">Inactiva     </v>
      </c>
    </row>
    <row r="736" spans="1:15" ht="49.95" customHeight="1">
      <c r="A736" s="52" t="s">
        <v>24</v>
      </c>
      <c r="B736" s="52" t="s">
        <v>1802</v>
      </c>
      <c r="C736" s="52" t="s">
        <v>1805</v>
      </c>
      <c r="D736" s="52" t="s">
        <v>1805</v>
      </c>
      <c r="E736" s="54" t="str">
        <f>"     "&amp;E734</f>
        <v xml:space="preserve">     Pedales Freno Y Cambio Ktm Duke 200 250 390 Desde Año 2017</v>
      </c>
      <c r="F736" s="52" t="s">
        <v>86</v>
      </c>
      <c r="G736" s="53">
        <v>0</v>
      </c>
      <c r="H736" s="52" t="s">
        <v>62</v>
      </c>
      <c r="I736" s="52">
        <f>I734</f>
        <v>59990</v>
      </c>
      <c r="J736" s="52" t="str">
        <f>J734&amp;"     "</f>
        <v xml:space="preserve">$     </v>
      </c>
      <c r="K736" s="52" t="str">
        <f>K734&amp;"     "</f>
        <v xml:space="preserve">Nuevo     </v>
      </c>
      <c r="L736" s="52" t="str">
        <f>L734&amp;"     "</f>
        <v xml:space="preserve">Mercado Envíos gratis     </v>
      </c>
      <c r="M736" s="52" t="str">
        <f>M734&amp;"     "</f>
        <v xml:space="preserve">Clásica     </v>
      </c>
      <c r="N736" s="52" t="str">
        <f ca="1">N734</f>
        <v>15%</v>
      </c>
      <c r="O736" s="52" t="str">
        <f>O734&amp;"     "</f>
        <v xml:space="preserve">Inactiva     </v>
      </c>
    </row>
    <row r="737" spans="1:15" ht="49.95" customHeight="1">
      <c r="A737" s="52" t="s">
        <v>1806</v>
      </c>
      <c r="B737" s="52" t="s">
        <v>1807</v>
      </c>
      <c r="C737" s="52" t="s">
        <v>1808</v>
      </c>
      <c r="D737" s="52"/>
      <c r="E737" s="52" t="s">
        <v>1803</v>
      </c>
      <c r="F737" s="52" t="s">
        <v>1803</v>
      </c>
      <c r="G737" s="53">
        <v>0</v>
      </c>
      <c r="H737" s="52" t="s">
        <v>62</v>
      </c>
      <c r="I737" s="53">
        <v>54990</v>
      </c>
      <c r="J737" s="53" t="s">
        <v>63</v>
      </c>
      <c r="K737" s="53" t="s">
        <v>64</v>
      </c>
      <c r="L737" s="53" t="s">
        <v>65</v>
      </c>
      <c r="M737" s="53" t="s">
        <v>66</v>
      </c>
      <c r="N737" s="52" t="str">
        <f ca="1">IF(INDIRECT("M737")="Clásica","15%",IF(INDIRECT("M737")="Premium","19%","-"))</f>
        <v>15%</v>
      </c>
      <c r="O737" s="53" t="s">
        <v>1455</v>
      </c>
    </row>
    <row r="738" spans="1:15" ht="49.95" customHeight="1">
      <c r="A738" s="52" t="s">
        <v>1809</v>
      </c>
      <c r="B738" s="52" t="s">
        <v>1810</v>
      </c>
      <c r="C738" s="52" t="s">
        <v>1811</v>
      </c>
      <c r="D738" s="52"/>
      <c r="E738" s="52" t="s">
        <v>1812</v>
      </c>
      <c r="F738" s="52" t="s">
        <v>1812</v>
      </c>
      <c r="G738" s="53">
        <v>0</v>
      </c>
      <c r="H738" s="52" t="s">
        <v>62</v>
      </c>
      <c r="I738" s="53">
        <v>18990</v>
      </c>
      <c r="J738" s="53" t="s">
        <v>63</v>
      </c>
      <c r="K738" s="53" t="s">
        <v>64</v>
      </c>
      <c r="L738" s="53" t="s">
        <v>71</v>
      </c>
      <c r="M738" s="53" t="s">
        <v>66</v>
      </c>
      <c r="N738" s="52" t="str">
        <f ca="1">IF(INDIRECT("M738")="Clásica","14%",IF(INDIRECT("M738")="Premium","18%","-"))</f>
        <v>14%</v>
      </c>
      <c r="O738" s="53" t="s">
        <v>1455</v>
      </c>
    </row>
    <row r="739" spans="1:15" ht="49.95" customHeight="1">
      <c r="A739" s="52" t="s">
        <v>1813</v>
      </c>
      <c r="B739" s="52" t="s">
        <v>1814</v>
      </c>
      <c r="C739" s="52" t="s">
        <v>1815</v>
      </c>
      <c r="D739" s="52"/>
      <c r="E739" s="52" t="s">
        <v>1816</v>
      </c>
      <c r="F739" s="52" t="s">
        <v>1816</v>
      </c>
      <c r="G739" s="53">
        <v>0</v>
      </c>
      <c r="H739" s="52" t="s">
        <v>62</v>
      </c>
      <c r="I739" s="53">
        <v>27990</v>
      </c>
      <c r="J739" s="53" t="s">
        <v>63</v>
      </c>
      <c r="K739" s="53" t="s">
        <v>64</v>
      </c>
      <c r="L739" s="53" t="s">
        <v>65</v>
      </c>
      <c r="M739" s="53" t="s">
        <v>66</v>
      </c>
      <c r="N739" s="52" t="str">
        <f ca="1">IF(INDIRECT("M739")="Clásica","14%",IF(INDIRECT("M739")="Premium","18%","-"))</f>
        <v>14%</v>
      </c>
      <c r="O739" s="53" t="s">
        <v>1455</v>
      </c>
    </row>
    <row r="740" spans="1:15" ht="49.95" customHeight="1">
      <c r="A740" s="52" t="s">
        <v>1817</v>
      </c>
      <c r="B740" s="52" t="s">
        <v>1818</v>
      </c>
      <c r="C740" s="52" t="s">
        <v>1819</v>
      </c>
      <c r="D740" s="52"/>
      <c r="E740" s="52" t="s">
        <v>1820</v>
      </c>
      <c r="F740" s="52" t="s">
        <v>1820</v>
      </c>
      <c r="G740" s="53">
        <v>0</v>
      </c>
      <c r="H740" s="52" t="s">
        <v>62</v>
      </c>
      <c r="I740" s="53">
        <v>29990</v>
      </c>
      <c r="J740" s="53" t="s">
        <v>63</v>
      </c>
      <c r="K740" s="53" t="s">
        <v>64</v>
      </c>
      <c r="L740" s="53" t="s">
        <v>65</v>
      </c>
      <c r="M740" s="53" t="s">
        <v>66</v>
      </c>
      <c r="N740" s="52" t="str">
        <f ca="1">IF(INDIRECT("M740")="Clásica","15%",IF(INDIRECT("M740")="Premium","19%","-"))</f>
        <v>15%</v>
      </c>
      <c r="O740" s="53" t="s">
        <v>1455</v>
      </c>
    </row>
    <row r="741" spans="1:15" ht="49.95" customHeight="1">
      <c r="A741" s="52" t="s">
        <v>1821</v>
      </c>
      <c r="B741" s="52" t="s">
        <v>1822</v>
      </c>
      <c r="C741" s="52" t="s">
        <v>1823</v>
      </c>
      <c r="D741" s="52"/>
      <c r="E741" s="52" t="s">
        <v>1824</v>
      </c>
      <c r="F741" s="52" t="s">
        <v>1824</v>
      </c>
      <c r="G741" s="53">
        <v>0</v>
      </c>
      <c r="H741" s="52" t="s">
        <v>62</v>
      </c>
      <c r="I741" s="53">
        <v>29990</v>
      </c>
      <c r="J741" s="53" t="s">
        <v>63</v>
      </c>
      <c r="K741" s="53" t="s">
        <v>64</v>
      </c>
      <c r="L741" s="53" t="s">
        <v>65</v>
      </c>
      <c r="M741" s="53" t="s">
        <v>66</v>
      </c>
      <c r="N741" s="52" t="str">
        <f ca="1">IF(INDIRECT("M741")="Clásica","15%",IF(INDIRECT("M741")="Premium","19%","-"))</f>
        <v>15%</v>
      </c>
      <c r="O741" s="53" t="s">
        <v>1455</v>
      </c>
    </row>
    <row r="742" spans="1:15" ht="49.95" customHeight="1">
      <c r="A742" s="52" t="s">
        <v>24</v>
      </c>
      <c r="B742" s="52" t="s">
        <v>1825</v>
      </c>
      <c r="C742" s="52"/>
      <c r="D742" s="52"/>
      <c r="E742" s="52" t="s">
        <v>1826</v>
      </c>
      <c r="F742" s="52" t="s">
        <v>62</v>
      </c>
      <c r="G742" s="52" t="s">
        <v>1473</v>
      </c>
      <c r="H742" s="52" t="s">
        <v>62</v>
      </c>
      <c r="I742" s="53">
        <v>34990</v>
      </c>
      <c r="J742" s="53" t="s">
        <v>63</v>
      </c>
      <c r="K742" s="53" t="s">
        <v>64</v>
      </c>
      <c r="L742" s="53" t="s">
        <v>65</v>
      </c>
      <c r="M742" s="53" t="s">
        <v>66</v>
      </c>
      <c r="N742" s="52" t="str">
        <f ca="1">IF(INDIRECT("M742")="Clásica","14%",IF(INDIRECT("M742")="Premium","18%","-"))</f>
        <v>14%</v>
      </c>
      <c r="O742" s="53" t="s">
        <v>1455</v>
      </c>
    </row>
    <row r="743" spans="1:15" ht="49.95" customHeight="1">
      <c r="A743" s="52" t="s">
        <v>24</v>
      </c>
      <c r="B743" s="52" t="s">
        <v>1825</v>
      </c>
      <c r="C743" s="52" t="s">
        <v>1827</v>
      </c>
      <c r="D743" s="52" t="s">
        <v>1827</v>
      </c>
      <c r="E743" s="54" t="str">
        <f>"     "&amp;E742</f>
        <v xml:space="preserve">     Protector Radiador Cubre Cubierta Kawasaki Ninja 400 Logo</v>
      </c>
      <c r="F743" s="52" t="s">
        <v>86</v>
      </c>
      <c r="G743" s="53">
        <v>0</v>
      </c>
      <c r="H743" s="52" t="s">
        <v>62</v>
      </c>
      <c r="I743" s="52">
        <f>I742</f>
        <v>34990</v>
      </c>
      <c r="J743" s="52" t="str">
        <f>J742&amp;"     "</f>
        <v xml:space="preserve">$     </v>
      </c>
      <c r="K743" s="52" t="str">
        <f>K742&amp;"     "</f>
        <v xml:space="preserve">Nuevo     </v>
      </c>
      <c r="L743" s="52" t="str">
        <f>L742&amp;"     "</f>
        <v xml:space="preserve">Mercado Envíos gratis     </v>
      </c>
      <c r="M743" s="52" t="str">
        <f>M742&amp;"     "</f>
        <v xml:space="preserve">Clásica     </v>
      </c>
      <c r="N743" s="52" t="str">
        <f ca="1">N742</f>
        <v>14%</v>
      </c>
      <c r="O743" s="52" t="str">
        <f>O742&amp;"     "</f>
        <v xml:space="preserve">Inactiva     </v>
      </c>
    </row>
    <row r="744" spans="1:15" ht="49.95" customHeight="1">
      <c r="A744" s="52" t="s">
        <v>24</v>
      </c>
      <c r="B744" s="52" t="s">
        <v>1825</v>
      </c>
      <c r="C744" s="52" t="s">
        <v>1828</v>
      </c>
      <c r="D744" s="52" t="s">
        <v>1828</v>
      </c>
      <c r="E744" s="54" t="str">
        <f>"     "&amp;E742</f>
        <v xml:space="preserve">     Protector Radiador Cubre Cubierta Kawasaki Ninja 400 Logo</v>
      </c>
      <c r="F744" s="52" t="s">
        <v>445</v>
      </c>
      <c r="G744" s="53">
        <v>0</v>
      </c>
      <c r="H744" s="52" t="s">
        <v>62</v>
      </c>
      <c r="I744" s="52">
        <f>I742</f>
        <v>34990</v>
      </c>
      <c r="J744" s="52" t="str">
        <f>J742&amp;"     "</f>
        <v xml:space="preserve">$     </v>
      </c>
      <c r="K744" s="52" t="str">
        <f>K742&amp;"     "</f>
        <v xml:space="preserve">Nuevo     </v>
      </c>
      <c r="L744" s="52" t="str">
        <f>L742&amp;"     "</f>
        <v xml:space="preserve">Mercado Envíos gratis     </v>
      </c>
      <c r="M744" s="52" t="str">
        <f>M742&amp;"     "</f>
        <v xml:space="preserve">Clásica     </v>
      </c>
      <c r="N744" s="52" t="str">
        <f ca="1">N742</f>
        <v>14%</v>
      </c>
      <c r="O744" s="52" t="str">
        <f>O742&amp;"     "</f>
        <v xml:space="preserve">Inactiva     </v>
      </c>
    </row>
    <row r="745" spans="1:15" ht="49.95" customHeight="1">
      <c r="A745" s="52" t="s">
        <v>24</v>
      </c>
      <c r="B745" s="52" t="s">
        <v>1825</v>
      </c>
      <c r="C745" s="52" t="s">
        <v>1829</v>
      </c>
      <c r="D745" s="52" t="s">
        <v>1829</v>
      </c>
      <c r="E745" s="54" t="str">
        <f>"     "&amp;E742</f>
        <v xml:space="preserve">     Protector Radiador Cubre Cubierta Kawasaki Ninja 400 Logo</v>
      </c>
      <c r="F745" s="52" t="s">
        <v>90</v>
      </c>
      <c r="G745" s="53">
        <v>0</v>
      </c>
      <c r="H745" s="52" t="s">
        <v>62</v>
      </c>
      <c r="I745" s="52">
        <f>I742</f>
        <v>34990</v>
      </c>
      <c r="J745" s="52" t="str">
        <f>J742&amp;"     "</f>
        <v xml:space="preserve">$     </v>
      </c>
      <c r="K745" s="52" t="str">
        <f>K742&amp;"     "</f>
        <v xml:space="preserve">Nuevo     </v>
      </c>
      <c r="L745" s="52" t="str">
        <f>L742&amp;"     "</f>
        <v xml:space="preserve">Mercado Envíos gratis     </v>
      </c>
      <c r="M745" s="52" t="str">
        <f>M742&amp;"     "</f>
        <v xml:space="preserve">Clásica     </v>
      </c>
      <c r="N745" s="52" t="str">
        <f ca="1">N742</f>
        <v>14%</v>
      </c>
      <c r="O745" s="52" t="str">
        <f>O742&amp;"     "</f>
        <v xml:space="preserve">Inactiva     </v>
      </c>
    </row>
    <row r="746" spans="1:15" ht="49.95" customHeight="1">
      <c r="A746" s="52" t="s">
        <v>24</v>
      </c>
      <c r="B746" s="52" t="s">
        <v>1830</v>
      </c>
      <c r="C746" s="52"/>
      <c r="D746" s="52"/>
      <c r="E746" s="52" t="s">
        <v>1831</v>
      </c>
      <c r="F746" s="52" t="s">
        <v>62</v>
      </c>
      <c r="G746" s="52" t="s">
        <v>1473</v>
      </c>
      <c r="H746" s="52" t="s">
        <v>62</v>
      </c>
      <c r="I746" s="53">
        <v>84990</v>
      </c>
      <c r="J746" s="53" t="s">
        <v>63</v>
      </c>
      <c r="K746" s="53" t="s">
        <v>64</v>
      </c>
      <c r="L746" s="53" t="s">
        <v>65</v>
      </c>
      <c r="M746" s="53" t="s">
        <v>66</v>
      </c>
      <c r="N746" s="52" t="str">
        <f ca="1">IF(INDIRECT("M746")="Clásica","15%",IF(INDIRECT("M746")="Premium","19%","-"))</f>
        <v>15%</v>
      </c>
      <c r="O746" s="53" t="s">
        <v>1455</v>
      </c>
    </row>
    <row r="747" spans="1:15" ht="49.95" customHeight="1">
      <c r="A747" s="52" t="s">
        <v>24</v>
      </c>
      <c r="B747" s="52" t="s">
        <v>1830</v>
      </c>
      <c r="C747" s="52" t="s">
        <v>1832</v>
      </c>
      <c r="D747" s="52" t="s">
        <v>1832</v>
      </c>
      <c r="E747" s="54" t="str">
        <f>"     "&amp;E746</f>
        <v xml:space="preserve">     Foco Integrado + Soporte Patente Cola Honda Crf 300l Crf300l</v>
      </c>
      <c r="F747" s="52" t="s">
        <v>73</v>
      </c>
      <c r="G747" s="53">
        <v>0</v>
      </c>
      <c r="H747" s="52" t="s">
        <v>62</v>
      </c>
      <c r="I747" s="52">
        <f>I746</f>
        <v>84990</v>
      </c>
      <c r="J747" s="52" t="str">
        <f>J746&amp;"     "</f>
        <v xml:space="preserve">$     </v>
      </c>
      <c r="K747" s="52" t="str">
        <f>K746&amp;"     "</f>
        <v xml:space="preserve">Nuevo     </v>
      </c>
      <c r="L747" s="52" t="str">
        <f>L746&amp;"     "</f>
        <v xml:space="preserve">Mercado Envíos gratis     </v>
      </c>
      <c r="M747" s="52" t="str">
        <f>M746&amp;"     "</f>
        <v xml:space="preserve">Clásica     </v>
      </c>
      <c r="N747" s="52" t="str">
        <f ca="1">N746</f>
        <v>15%</v>
      </c>
      <c r="O747" s="52" t="str">
        <f>O746&amp;"     "</f>
        <v xml:space="preserve">Inactiva     </v>
      </c>
    </row>
    <row r="748" spans="1:15" ht="49.95" customHeight="1">
      <c r="A748" s="52" t="s">
        <v>24</v>
      </c>
      <c r="B748" s="52" t="s">
        <v>1830</v>
      </c>
      <c r="C748" s="52" t="s">
        <v>1833</v>
      </c>
      <c r="D748" s="52" t="s">
        <v>1833</v>
      </c>
      <c r="E748" s="54" t="str">
        <f>"     "&amp;E746</f>
        <v xml:space="preserve">     Foco Integrado + Soporte Patente Cola Honda Crf 300l Crf300l</v>
      </c>
      <c r="F748" s="52" t="s">
        <v>90</v>
      </c>
      <c r="G748" s="53">
        <v>0</v>
      </c>
      <c r="H748" s="52" t="s">
        <v>62</v>
      </c>
      <c r="I748" s="52">
        <f>I746</f>
        <v>84990</v>
      </c>
      <c r="J748" s="52" t="str">
        <f>J746&amp;"     "</f>
        <v xml:space="preserve">$     </v>
      </c>
      <c r="K748" s="52" t="str">
        <f>K746&amp;"     "</f>
        <v xml:space="preserve">Nuevo     </v>
      </c>
      <c r="L748" s="52" t="str">
        <f>L746&amp;"     "</f>
        <v xml:space="preserve">Mercado Envíos gratis     </v>
      </c>
      <c r="M748" s="52" t="str">
        <f>M746&amp;"     "</f>
        <v xml:space="preserve">Clásica     </v>
      </c>
      <c r="N748" s="52" t="str">
        <f ca="1">N746</f>
        <v>15%</v>
      </c>
      <c r="O748" s="52" t="str">
        <f>O746&amp;"     "</f>
        <v xml:space="preserve">Inactiva     </v>
      </c>
    </row>
    <row r="749" spans="1:15" ht="49.95" customHeight="1">
      <c r="A749" s="52" t="s">
        <v>1834</v>
      </c>
      <c r="B749" s="52" t="s">
        <v>1835</v>
      </c>
      <c r="C749" s="52" t="s">
        <v>1836</v>
      </c>
      <c r="D749" s="52"/>
      <c r="E749" s="52" t="s">
        <v>1837</v>
      </c>
      <c r="F749" s="52" t="s">
        <v>1838</v>
      </c>
      <c r="G749" s="53">
        <v>0</v>
      </c>
      <c r="H749" s="52" t="s">
        <v>62</v>
      </c>
      <c r="I749" s="52" t="s">
        <v>24</v>
      </c>
      <c r="J749" s="53" t="s">
        <v>63</v>
      </c>
      <c r="K749" s="53" t="s">
        <v>64</v>
      </c>
      <c r="L749" s="53" t="s">
        <v>65</v>
      </c>
      <c r="M749" s="53" t="s">
        <v>66</v>
      </c>
      <c r="N749" s="52" t="str">
        <f ca="1">IF(INDIRECT("M749")="Clásica","14%",IF(INDIRECT("M749")="Premium","18%","-"))</f>
        <v>14%</v>
      </c>
      <c r="O749" s="53" t="s">
        <v>1455</v>
      </c>
    </row>
    <row r="750" spans="1:15" ht="49.95" customHeight="1">
      <c r="A750" s="52" t="s">
        <v>24</v>
      </c>
      <c r="B750" s="52" t="s">
        <v>1839</v>
      </c>
      <c r="C750" s="52"/>
      <c r="D750" s="52"/>
      <c r="E750" s="52" t="s">
        <v>1840</v>
      </c>
      <c r="F750" s="52" t="s">
        <v>62</v>
      </c>
      <c r="G750" s="52" t="s">
        <v>1473</v>
      </c>
      <c r="H750" s="52" t="s">
        <v>62</v>
      </c>
      <c r="I750" s="53">
        <v>18990</v>
      </c>
      <c r="J750" s="53" t="s">
        <v>63</v>
      </c>
      <c r="K750" s="53" t="s">
        <v>64</v>
      </c>
      <c r="L750" s="53" t="s">
        <v>71</v>
      </c>
      <c r="M750" s="53" t="s">
        <v>1240</v>
      </c>
      <c r="N750" s="52" t="str">
        <f ca="1">IF(INDIRECT("M750")="Clásica","14%",IF(INDIRECT("M750")="Premium","18%","-"))</f>
        <v>18%</v>
      </c>
      <c r="O750" s="53" t="s">
        <v>1455</v>
      </c>
    </row>
    <row r="751" spans="1:15" ht="49.95" customHeight="1">
      <c r="A751" s="52" t="s">
        <v>24</v>
      </c>
      <c r="B751" s="52" t="s">
        <v>1839</v>
      </c>
      <c r="C751" s="52" t="s">
        <v>1841</v>
      </c>
      <c r="D751" s="52" t="s">
        <v>1841</v>
      </c>
      <c r="E751" s="54" t="str">
        <f>"     "&amp;E750</f>
        <v xml:space="preserve">     Puños Honda Cb190 Cb190r Con Logo Colores Con Tope</v>
      </c>
      <c r="F751" s="52" t="s">
        <v>90</v>
      </c>
      <c r="G751" s="53">
        <v>0</v>
      </c>
      <c r="H751" s="52" t="s">
        <v>62</v>
      </c>
      <c r="I751" s="52">
        <f>I750</f>
        <v>18990</v>
      </c>
      <c r="J751" s="52" t="str">
        <f>J750&amp;"     "</f>
        <v xml:space="preserve">$     </v>
      </c>
      <c r="K751" s="52" t="str">
        <f>K750&amp;"     "</f>
        <v xml:space="preserve">Nuevo     </v>
      </c>
      <c r="L751" s="52" t="str">
        <f>L750&amp;"     "</f>
        <v xml:space="preserve">Mercado Envíos a cargo del comprador     </v>
      </c>
      <c r="M751" s="52" t="str">
        <f>M750&amp;"     "</f>
        <v xml:space="preserve">Premium     </v>
      </c>
      <c r="N751" s="52" t="str">
        <f ca="1">N750</f>
        <v>18%</v>
      </c>
      <c r="O751" s="52" t="str">
        <f>O750&amp;"     "</f>
        <v xml:space="preserve">Inactiva     </v>
      </c>
    </row>
    <row r="752" spans="1:15" ht="49.95" customHeight="1">
      <c r="A752" s="52" t="s">
        <v>24</v>
      </c>
      <c r="B752" s="52" t="s">
        <v>1839</v>
      </c>
      <c r="C752" s="52" t="s">
        <v>1842</v>
      </c>
      <c r="D752" s="52" t="s">
        <v>1842</v>
      </c>
      <c r="E752" s="54" t="str">
        <f>"     "&amp;E750</f>
        <v xml:space="preserve">     Puños Honda Cb190 Cb190r Con Logo Colores Con Tope</v>
      </c>
      <c r="F752" s="52" t="s">
        <v>88</v>
      </c>
      <c r="G752" s="53">
        <v>0</v>
      </c>
      <c r="H752" s="52" t="s">
        <v>62</v>
      </c>
      <c r="I752" s="52">
        <f>I750</f>
        <v>18990</v>
      </c>
      <c r="J752" s="52" t="str">
        <f>J750&amp;"     "</f>
        <v xml:space="preserve">$     </v>
      </c>
      <c r="K752" s="52" t="str">
        <f>K750&amp;"     "</f>
        <v xml:space="preserve">Nuevo     </v>
      </c>
      <c r="L752" s="52" t="str">
        <f>L750&amp;"     "</f>
        <v xml:space="preserve">Mercado Envíos a cargo del comprador     </v>
      </c>
      <c r="M752" s="52" t="str">
        <f>M750&amp;"     "</f>
        <v xml:space="preserve">Premium     </v>
      </c>
      <c r="N752" s="52" t="str">
        <f ca="1">N750</f>
        <v>18%</v>
      </c>
      <c r="O752" s="52" t="str">
        <f>O750&amp;"     "</f>
        <v xml:space="preserve">Inactiva     </v>
      </c>
    </row>
    <row r="753" spans="1:15" ht="49.95" customHeight="1">
      <c r="A753" s="52" t="s">
        <v>24</v>
      </c>
      <c r="B753" s="52" t="s">
        <v>1843</v>
      </c>
      <c r="C753" s="52"/>
      <c r="D753" s="52"/>
      <c r="E753" s="52" t="s">
        <v>1844</v>
      </c>
      <c r="F753" s="52" t="s">
        <v>62</v>
      </c>
      <c r="G753" s="52" t="s">
        <v>1473</v>
      </c>
      <c r="H753" s="52" t="s">
        <v>62</v>
      </c>
      <c r="I753" s="53">
        <v>39990</v>
      </c>
      <c r="J753" s="53" t="s">
        <v>63</v>
      </c>
      <c r="K753" s="53" t="s">
        <v>64</v>
      </c>
      <c r="L753" s="53" t="s">
        <v>65</v>
      </c>
      <c r="M753" s="53" t="s">
        <v>1240</v>
      </c>
      <c r="N753" s="52" t="str">
        <f ca="1">IF(INDIRECT("M753")="Clásica","14%",IF(INDIRECT("M753")="Premium","18%","-"))</f>
        <v>18%</v>
      </c>
      <c r="O753" s="53" t="s">
        <v>1455</v>
      </c>
    </row>
    <row r="754" spans="1:15" ht="49.95" customHeight="1">
      <c r="A754" s="52" t="s">
        <v>24</v>
      </c>
      <c r="B754" s="52" t="s">
        <v>1843</v>
      </c>
      <c r="C754" s="52" t="s">
        <v>1845</v>
      </c>
      <c r="D754" s="52" t="s">
        <v>1845</v>
      </c>
      <c r="E754" s="54" t="str">
        <f>"     "&amp;E753</f>
        <v xml:space="preserve">     Espejos Retrovisores Tipo Rizoma Ktm Duke Con Logo</v>
      </c>
      <c r="F754" s="52" t="s">
        <v>86</v>
      </c>
      <c r="G754" s="53">
        <v>0</v>
      </c>
      <c r="H754" s="52" t="s">
        <v>62</v>
      </c>
      <c r="I754" s="52">
        <f>I753</f>
        <v>39990</v>
      </c>
      <c r="J754" s="52" t="str">
        <f>J753&amp;"     "</f>
        <v xml:space="preserve">$     </v>
      </c>
      <c r="K754" s="52" t="str">
        <f>K753&amp;"     "</f>
        <v xml:space="preserve">Nuevo     </v>
      </c>
      <c r="L754" s="52" t="str">
        <f>L753&amp;"     "</f>
        <v xml:space="preserve">Mercado Envíos gratis     </v>
      </c>
      <c r="M754" s="52" t="str">
        <f>M753&amp;"     "</f>
        <v xml:space="preserve">Premium     </v>
      </c>
      <c r="N754" s="52" t="str">
        <f ca="1">N753</f>
        <v>18%</v>
      </c>
      <c r="O754" s="52" t="str">
        <f>O753&amp;"     "</f>
        <v xml:space="preserve">Inactiva     </v>
      </c>
    </row>
    <row r="755" spans="1:15" ht="49.95" customHeight="1">
      <c r="A755" s="52" t="s">
        <v>24</v>
      </c>
      <c r="B755" s="52" t="s">
        <v>1843</v>
      </c>
      <c r="C755" s="52" t="s">
        <v>1846</v>
      </c>
      <c r="D755" s="52" t="s">
        <v>1846</v>
      </c>
      <c r="E755" s="54" t="str">
        <f>"     "&amp;E753</f>
        <v xml:space="preserve">     Espejos Retrovisores Tipo Rizoma Ktm Duke Con Logo</v>
      </c>
      <c r="F755" s="52" t="s">
        <v>100</v>
      </c>
      <c r="G755" s="53">
        <v>0</v>
      </c>
      <c r="H755" s="52" t="s">
        <v>62</v>
      </c>
      <c r="I755" s="52">
        <f>I753</f>
        <v>39990</v>
      </c>
      <c r="J755" s="52" t="str">
        <f>J753&amp;"     "</f>
        <v xml:space="preserve">$     </v>
      </c>
      <c r="K755" s="52" t="str">
        <f>K753&amp;"     "</f>
        <v xml:space="preserve">Nuevo     </v>
      </c>
      <c r="L755" s="52" t="str">
        <f>L753&amp;"     "</f>
        <v xml:space="preserve">Mercado Envíos gratis     </v>
      </c>
      <c r="M755" s="52" t="str">
        <f>M753&amp;"     "</f>
        <v xml:space="preserve">Premium     </v>
      </c>
      <c r="N755" s="52" t="str">
        <f ca="1">N753</f>
        <v>18%</v>
      </c>
      <c r="O755" s="52" t="str">
        <f>O753&amp;"     "</f>
        <v xml:space="preserve">Inactiva     </v>
      </c>
    </row>
    <row r="756" spans="1:15" ht="49.95" customHeight="1">
      <c r="A756" s="52" t="s">
        <v>24</v>
      </c>
      <c r="B756" s="52" t="s">
        <v>1847</v>
      </c>
      <c r="C756" s="52"/>
      <c r="D756" s="52"/>
      <c r="E756" s="52" t="s">
        <v>1848</v>
      </c>
      <c r="F756" s="52" t="s">
        <v>62</v>
      </c>
      <c r="G756" s="52" t="s">
        <v>1473</v>
      </c>
      <c r="H756" s="52" t="s">
        <v>62</v>
      </c>
      <c r="I756" s="53">
        <v>24990</v>
      </c>
      <c r="J756" s="53" t="s">
        <v>63</v>
      </c>
      <c r="K756" s="53" t="s">
        <v>64</v>
      </c>
      <c r="L756" s="53" t="s">
        <v>65</v>
      </c>
      <c r="M756" s="53" t="s">
        <v>66</v>
      </c>
      <c r="N756" s="52" t="str">
        <f ca="1">IF(INDIRECT("M756")="Clásica","14%",IF(INDIRECT("M756")="Premium","18%","-"))</f>
        <v>14%</v>
      </c>
      <c r="O756" s="53" t="s">
        <v>1455</v>
      </c>
    </row>
    <row r="757" spans="1:15" ht="49.95" customHeight="1">
      <c r="A757" s="52" t="s">
        <v>24</v>
      </c>
      <c r="B757" s="52" t="s">
        <v>1847</v>
      </c>
      <c r="C757" s="52" t="s">
        <v>1849</v>
      </c>
      <c r="D757" s="52" t="s">
        <v>1849</v>
      </c>
      <c r="E757" s="54" t="str">
        <f>"     "&amp;E756</f>
        <v xml:space="preserve">     Tank Grip / Protector Estanque Tracción Yahama R3a R3 A Logo</v>
      </c>
      <c r="F757" s="52" t="s">
        <v>84</v>
      </c>
      <c r="G757" s="53">
        <v>0</v>
      </c>
      <c r="H757" s="52" t="s">
        <v>62</v>
      </c>
      <c r="I757" s="52">
        <f>I756</f>
        <v>24990</v>
      </c>
      <c r="J757" s="52" t="str">
        <f>J756&amp;"     "</f>
        <v xml:space="preserve">$     </v>
      </c>
      <c r="K757" s="52" t="str">
        <f>K756&amp;"     "</f>
        <v xml:space="preserve">Nuevo     </v>
      </c>
      <c r="L757" s="52" t="str">
        <f>L756&amp;"     "</f>
        <v xml:space="preserve">Mercado Envíos gratis     </v>
      </c>
      <c r="M757" s="52" t="str">
        <f>M756&amp;"     "</f>
        <v xml:space="preserve">Clásica     </v>
      </c>
      <c r="N757" s="52" t="str">
        <f ca="1">N756</f>
        <v>14%</v>
      </c>
      <c r="O757" s="52" t="str">
        <f>O756&amp;"     "</f>
        <v xml:space="preserve">Inactiva     </v>
      </c>
    </row>
    <row r="758" spans="1:15" ht="49.95" customHeight="1">
      <c r="A758" s="52" t="s">
        <v>24</v>
      </c>
      <c r="B758" s="52" t="s">
        <v>1847</v>
      </c>
      <c r="C758" s="52" t="s">
        <v>1850</v>
      </c>
      <c r="D758" s="52" t="s">
        <v>1850</v>
      </c>
      <c r="E758" s="54" t="str">
        <f>"     "&amp;E756</f>
        <v xml:space="preserve">     Tank Grip / Protector Estanque Tracción Yahama R3a R3 A Logo</v>
      </c>
      <c r="F758" s="52" t="s">
        <v>90</v>
      </c>
      <c r="G758" s="53">
        <v>0</v>
      </c>
      <c r="H758" s="52" t="s">
        <v>62</v>
      </c>
      <c r="I758" s="52">
        <f>I756</f>
        <v>24990</v>
      </c>
      <c r="J758" s="52" t="str">
        <f>J756&amp;"     "</f>
        <v xml:space="preserve">$     </v>
      </c>
      <c r="K758" s="52" t="str">
        <f>K756&amp;"     "</f>
        <v xml:space="preserve">Nuevo     </v>
      </c>
      <c r="L758" s="52" t="str">
        <f>L756&amp;"     "</f>
        <v xml:space="preserve">Mercado Envíos gratis     </v>
      </c>
      <c r="M758" s="52" t="str">
        <f>M756&amp;"     "</f>
        <v xml:space="preserve">Clásica     </v>
      </c>
      <c r="N758" s="52" t="str">
        <f ca="1">N756</f>
        <v>14%</v>
      </c>
      <c r="O758" s="52" t="str">
        <f>O756&amp;"     "</f>
        <v xml:space="preserve">Inactiva     </v>
      </c>
    </row>
    <row r="759" spans="1:15" ht="49.95" customHeight="1">
      <c r="A759" s="52" t="s">
        <v>24</v>
      </c>
      <c r="B759" s="52" t="s">
        <v>1847</v>
      </c>
      <c r="C759" s="52" t="s">
        <v>1851</v>
      </c>
      <c r="D759" s="52" t="s">
        <v>1851</v>
      </c>
      <c r="E759" s="54" t="str">
        <f>"     "&amp;E756</f>
        <v xml:space="preserve">     Tank Grip / Protector Estanque Tracción Yahama R3a R3 A Logo</v>
      </c>
      <c r="F759" s="52" t="s">
        <v>86</v>
      </c>
      <c r="G759" s="53">
        <v>0</v>
      </c>
      <c r="H759" s="52" t="s">
        <v>62</v>
      </c>
      <c r="I759" s="52">
        <f>I756</f>
        <v>24990</v>
      </c>
      <c r="J759" s="52" t="str">
        <f>J756&amp;"     "</f>
        <v xml:space="preserve">$     </v>
      </c>
      <c r="K759" s="52" t="str">
        <f>K756&amp;"     "</f>
        <v xml:space="preserve">Nuevo     </v>
      </c>
      <c r="L759" s="52" t="str">
        <f>L756&amp;"     "</f>
        <v xml:space="preserve">Mercado Envíos gratis     </v>
      </c>
      <c r="M759" s="52" t="str">
        <f>M756&amp;"     "</f>
        <v xml:space="preserve">Clásica     </v>
      </c>
      <c r="N759" s="52" t="str">
        <f ca="1">N756</f>
        <v>14%</v>
      </c>
      <c r="O759" s="52" t="str">
        <f>O756&amp;"     "</f>
        <v xml:space="preserve">Inactiva     </v>
      </c>
    </row>
    <row r="760" spans="1:15" ht="49.95" customHeight="1">
      <c r="A760" s="52" t="s">
        <v>24</v>
      </c>
      <c r="B760" s="52" t="s">
        <v>1852</v>
      </c>
      <c r="C760" s="52"/>
      <c r="D760" s="52"/>
      <c r="E760" s="52" t="s">
        <v>1853</v>
      </c>
      <c r="F760" s="52" t="s">
        <v>62</v>
      </c>
      <c r="G760" s="52" t="s">
        <v>1473</v>
      </c>
      <c r="H760" s="52" t="s">
        <v>62</v>
      </c>
      <c r="I760" s="53">
        <v>44990</v>
      </c>
      <c r="J760" s="53" t="s">
        <v>63</v>
      </c>
      <c r="K760" s="53" t="s">
        <v>64</v>
      </c>
      <c r="L760" s="53" t="s">
        <v>65</v>
      </c>
      <c r="M760" s="53" t="s">
        <v>66</v>
      </c>
      <c r="N760" s="52" t="str">
        <f ca="1">IF(INDIRECT("M760")="Clásica","14%",IF(INDIRECT("M760")="Premium","18%","-"))</f>
        <v>14%</v>
      </c>
      <c r="O760" s="53" t="s">
        <v>1455</v>
      </c>
    </row>
    <row r="761" spans="1:15" ht="49.95" customHeight="1">
      <c r="A761" s="52" t="s">
        <v>24</v>
      </c>
      <c r="B761" s="52" t="s">
        <v>1852</v>
      </c>
      <c r="C761" s="52" t="s">
        <v>1854</v>
      </c>
      <c r="D761" s="52" t="s">
        <v>1854</v>
      </c>
      <c r="E761" s="54" t="str">
        <f>"     "&amp;E760</f>
        <v xml:space="preserve">     Reposapiés Pedalines Traseros Ktm Duke Rc 200 250 390 V2</v>
      </c>
      <c r="F761" s="52" t="s">
        <v>100</v>
      </c>
      <c r="G761" s="53">
        <v>0</v>
      </c>
      <c r="H761" s="52" t="s">
        <v>62</v>
      </c>
      <c r="I761" s="52">
        <f>I760</f>
        <v>44990</v>
      </c>
      <c r="J761" s="52" t="str">
        <f>J760&amp;"     "</f>
        <v xml:space="preserve">$     </v>
      </c>
      <c r="K761" s="52" t="str">
        <f>K760&amp;"     "</f>
        <v xml:space="preserve">Nuevo     </v>
      </c>
      <c r="L761" s="52" t="str">
        <f>L760&amp;"     "</f>
        <v xml:space="preserve">Mercado Envíos gratis     </v>
      </c>
      <c r="M761" s="52" t="str">
        <f>M760&amp;"     "</f>
        <v xml:space="preserve">Clásica     </v>
      </c>
      <c r="N761" s="52" t="str">
        <f ca="1">N760</f>
        <v>14%</v>
      </c>
      <c r="O761" s="52" t="str">
        <f>O760&amp;"     "</f>
        <v xml:space="preserve">Inactiva     </v>
      </c>
    </row>
    <row r="762" spans="1:15" ht="49.95" customHeight="1">
      <c r="A762" s="52" t="s">
        <v>24</v>
      </c>
      <c r="B762" s="52" t="s">
        <v>1852</v>
      </c>
      <c r="C762" s="52" t="s">
        <v>1855</v>
      </c>
      <c r="D762" s="52" t="s">
        <v>1855</v>
      </c>
      <c r="E762" s="54" t="str">
        <f>"     "&amp;E760</f>
        <v xml:space="preserve">     Reposapiés Pedalines Traseros Ktm Duke Rc 200 250 390 V2</v>
      </c>
      <c r="F762" s="52" t="s">
        <v>86</v>
      </c>
      <c r="G762" s="53">
        <v>0</v>
      </c>
      <c r="H762" s="52" t="s">
        <v>62</v>
      </c>
      <c r="I762" s="52">
        <f>I760</f>
        <v>44990</v>
      </c>
      <c r="J762" s="52" t="str">
        <f>J760&amp;"     "</f>
        <v xml:space="preserve">$     </v>
      </c>
      <c r="K762" s="52" t="str">
        <f>K760&amp;"     "</f>
        <v xml:space="preserve">Nuevo     </v>
      </c>
      <c r="L762" s="52" t="str">
        <f>L760&amp;"     "</f>
        <v xml:space="preserve">Mercado Envíos gratis     </v>
      </c>
      <c r="M762" s="52" t="str">
        <f>M760&amp;"     "</f>
        <v xml:space="preserve">Clásica     </v>
      </c>
      <c r="N762" s="52" t="str">
        <f ca="1">N760</f>
        <v>14%</v>
      </c>
      <c r="O762" s="52" t="str">
        <f>O760&amp;"     "</f>
        <v xml:space="preserve">Inactiva     </v>
      </c>
    </row>
    <row r="763" spans="1:15" ht="49.95" customHeight="1">
      <c r="A763" s="52" t="s">
        <v>1856</v>
      </c>
      <c r="B763" s="52" t="s">
        <v>1857</v>
      </c>
      <c r="C763" s="52" t="s">
        <v>1858</v>
      </c>
      <c r="D763" s="52"/>
      <c r="E763" s="52" t="s">
        <v>1859</v>
      </c>
      <c r="F763" s="52" t="s">
        <v>1859</v>
      </c>
      <c r="G763" s="53">
        <v>0</v>
      </c>
      <c r="H763" s="52" t="s">
        <v>62</v>
      </c>
      <c r="I763" s="53">
        <v>15990</v>
      </c>
      <c r="J763" s="53" t="s">
        <v>63</v>
      </c>
      <c r="K763" s="53" t="s">
        <v>64</v>
      </c>
      <c r="L763" s="53" t="s">
        <v>71</v>
      </c>
      <c r="M763" s="53" t="s">
        <v>66</v>
      </c>
      <c r="N763" s="52" t="str">
        <f ca="1">IF(INDIRECT("M763")="Clásica","15%",IF(INDIRECT("M763")="Premium","19%","-"))</f>
        <v>15%</v>
      </c>
      <c r="O763" s="53" t="s">
        <v>1455</v>
      </c>
    </row>
    <row r="764" spans="1:15" ht="49.95" customHeight="1">
      <c r="A764" s="52" t="s">
        <v>1860</v>
      </c>
      <c r="B764" s="52" t="s">
        <v>1861</v>
      </c>
      <c r="C764" s="52" t="s">
        <v>1862</v>
      </c>
      <c r="D764" s="52"/>
      <c r="E764" s="52" t="s">
        <v>1863</v>
      </c>
      <c r="F764" s="52" t="s">
        <v>86</v>
      </c>
      <c r="G764" s="53">
        <v>0</v>
      </c>
      <c r="H764" s="52" t="s">
        <v>62</v>
      </c>
      <c r="I764" s="53">
        <v>249990</v>
      </c>
      <c r="J764" s="53" t="s">
        <v>63</v>
      </c>
      <c r="K764" s="53" t="s">
        <v>64</v>
      </c>
      <c r="L764" s="53" t="s">
        <v>65</v>
      </c>
      <c r="M764" s="53" t="s">
        <v>66</v>
      </c>
      <c r="N764" s="52" t="str">
        <f ca="1">IF(INDIRECT("M764")="Clásica","14%",IF(INDIRECT("M764")="Premium","18%","-"))</f>
        <v>14%</v>
      </c>
      <c r="O764" s="53" t="s">
        <v>1455</v>
      </c>
    </row>
    <row r="765" spans="1:15" ht="49.95" customHeight="1">
      <c r="A765" s="52" t="s">
        <v>1864</v>
      </c>
      <c r="B765" s="52" t="s">
        <v>1865</v>
      </c>
      <c r="C765" s="52" t="s">
        <v>1866</v>
      </c>
      <c r="D765" s="52"/>
      <c r="E765" s="52" t="s">
        <v>899</v>
      </c>
      <c r="F765" s="52" t="s">
        <v>1867</v>
      </c>
      <c r="G765" s="53">
        <v>0</v>
      </c>
      <c r="H765" s="52" t="s">
        <v>62</v>
      </c>
      <c r="I765" s="53">
        <v>59990</v>
      </c>
      <c r="J765" s="53" t="s">
        <v>63</v>
      </c>
      <c r="K765" s="53" t="s">
        <v>64</v>
      </c>
      <c r="L765" s="53" t="s">
        <v>65</v>
      </c>
      <c r="M765" s="53" t="s">
        <v>66</v>
      </c>
      <c r="N765" s="52" t="str">
        <f ca="1">IF(INDIRECT("M765")="Clásica","14%",IF(INDIRECT("M765")="Premium","18%","-"))</f>
        <v>14%</v>
      </c>
      <c r="O765" s="53" t="s">
        <v>1455</v>
      </c>
    </row>
    <row r="766" spans="1:15" ht="49.95" customHeight="1">
      <c r="A766" s="52" t="s">
        <v>1868</v>
      </c>
      <c r="B766" s="52" t="s">
        <v>1869</v>
      </c>
      <c r="C766" s="52" t="s">
        <v>1870</v>
      </c>
      <c r="D766" s="52"/>
      <c r="E766" s="52" t="s">
        <v>1871</v>
      </c>
      <c r="F766" s="52" t="s">
        <v>524</v>
      </c>
      <c r="G766" s="53">
        <v>0</v>
      </c>
      <c r="H766" s="52" t="s">
        <v>62</v>
      </c>
      <c r="I766" s="53">
        <v>39990</v>
      </c>
      <c r="J766" s="53" t="s">
        <v>63</v>
      </c>
      <c r="K766" s="53" t="s">
        <v>64</v>
      </c>
      <c r="L766" s="53" t="s">
        <v>65</v>
      </c>
      <c r="M766" s="53" t="s">
        <v>66</v>
      </c>
      <c r="N766" s="52" t="str">
        <f ca="1">IF(INDIRECT("M766")="Clásica","14%",IF(INDIRECT("M766")="Premium","18%","-"))</f>
        <v>14%</v>
      </c>
      <c r="O766" s="53" t="s">
        <v>1455</v>
      </c>
    </row>
    <row r="767" spans="1:15" ht="49.95" customHeight="1">
      <c r="A767" s="52" t="s">
        <v>1872</v>
      </c>
      <c r="B767" s="52" t="s">
        <v>1873</v>
      </c>
      <c r="C767" s="52" t="s">
        <v>1874</v>
      </c>
      <c r="D767" s="52"/>
      <c r="E767" s="52" t="s">
        <v>1875</v>
      </c>
      <c r="F767" s="52" t="s">
        <v>1875</v>
      </c>
      <c r="G767" s="53">
        <v>0</v>
      </c>
      <c r="H767" s="52" t="s">
        <v>62</v>
      </c>
      <c r="I767" s="53">
        <v>6990</v>
      </c>
      <c r="J767" s="53" t="s">
        <v>63</v>
      </c>
      <c r="K767" s="53" t="s">
        <v>64</v>
      </c>
      <c r="L767" s="53" t="s">
        <v>71</v>
      </c>
      <c r="M767" s="53" t="s">
        <v>66</v>
      </c>
      <c r="N767" s="52" t="str">
        <f ca="1">IF(INDIRECT("M767")="Clásica","16%",IF(INDIRECT("M767")="Premium","20%","-"))</f>
        <v>16%</v>
      </c>
      <c r="O767" s="53" t="s">
        <v>1455</v>
      </c>
    </row>
    <row r="768" spans="1:15" ht="49.95" customHeight="1">
      <c r="A768" s="52" t="s">
        <v>1876</v>
      </c>
      <c r="B768" s="52" t="s">
        <v>1877</v>
      </c>
      <c r="C768" s="52" t="s">
        <v>1878</v>
      </c>
      <c r="D768" s="52"/>
      <c r="E768" s="52" t="s">
        <v>1879</v>
      </c>
      <c r="F768" s="52" t="s">
        <v>1879</v>
      </c>
      <c r="G768" s="53">
        <v>0</v>
      </c>
      <c r="H768" s="52" t="s">
        <v>62</v>
      </c>
      <c r="I768" s="53">
        <v>99990</v>
      </c>
      <c r="J768" s="53" t="s">
        <v>63</v>
      </c>
      <c r="K768" s="53" t="s">
        <v>64</v>
      </c>
      <c r="L768" s="53" t="s">
        <v>65</v>
      </c>
      <c r="M768" s="53" t="s">
        <v>66</v>
      </c>
      <c r="N768" s="52" t="str">
        <f ca="1">IF(INDIRECT("M768")="Clásica","15%",IF(INDIRECT("M768")="Premium","19%","-"))</f>
        <v>15%</v>
      </c>
      <c r="O768" s="53" t="s">
        <v>1455</v>
      </c>
    </row>
    <row r="769" spans="1:15" ht="49.95" customHeight="1">
      <c r="A769" s="52" t="s">
        <v>1880</v>
      </c>
      <c r="B769" s="52" t="s">
        <v>1881</v>
      </c>
      <c r="C769" s="52" t="s">
        <v>1882</v>
      </c>
      <c r="D769" s="52"/>
      <c r="E769" s="52" t="s">
        <v>1883</v>
      </c>
      <c r="F769" s="52" t="s">
        <v>86</v>
      </c>
      <c r="G769" s="53">
        <v>0</v>
      </c>
      <c r="H769" s="52" t="s">
        <v>62</v>
      </c>
      <c r="I769" s="53">
        <v>99990</v>
      </c>
      <c r="J769" s="53" t="s">
        <v>63</v>
      </c>
      <c r="K769" s="53" t="s">
        <v>64</v>
      </c>
      <c r="L769" s="53" t="s">
        <v>65</v>
      </c>
      <c r="M769" s="53" t="s">
        <v>66</v>
      </c>
      <c r="N769" s="52" t="str">
        <f ca="1">IF(INDIRECT("M769")="Clásica","14%",IF(INDIRECT("M769")="Premium","18%","-"))</f>
        <v>14%</v>
      </c>
      <c r="O769" s="53" t="s">
        <v>1455</v>
      </c>
    </row>
    <row r="770" spans="1:15" ht="49.95" customHeight="1">
      <c r="A770" s="52" t="s">
        <v>1884</v>
      </c>
      <c r="B770" s="52" t="s">
        <v>1885</v>
      </c>
      <c r="C770" s="52" t="s">
        <v>1886</v>
      </c>
      <c r="D770" s="52"/>
      <c r="E770" s="52" t="s">
        <v>1887</v>
      </c>
      <c r="F770" s="52" t="s">
        <v>1887</v>
      </c>
      <c r="G770" s="53">
        <v>0</v>
      </c>
      <c r="H770" s="52" t="s">
        <v>62</v>
      </c>
      <c r="I770" s="53">
        <v>49990</v>
      </c>
      <c r="J770" s="53" t="s">
        <v>63</v>
      </c>
      <c r="K770" s="53" t="s">
        <v>64</v>
      </c>
      <c r="L770" s="53" t="s">
        <v>65</v>
      </c>
      <c r="M770" s="53" t="s">
        <v>66</v>
      </c>
      <c r="N770" s="52" t="str">
        <f ca="1">IF(INDIRECT("M770")="Clásica","15%",IF(INDIRECT("M770")="Premium","19%","-"))</f>
        <v>15%</v>
      </c>
      <c r="O770" s="53" t="s">
        <v>1455</v>
      </c>
    </row>
    <row r="771" spans="1:15" ht="49.95" customHeight="1">
      <c r="A771" s="52" t="s">
        <v>1888</v>
      </c>
      <c r="B771" s="52" t="s">
        <v>1889</v>
      </c>
      <c r="C771" s="52" t="s">
        <v>1890</v>
      </c>
      <c r="D771" s="52"/>
      <c r="E771" s="52" t="s">
        <v>1891</v>
      </c>
      <c r="F771" s="52" t="s">
        <v>1891</v>
      </c>
      <c r="G771" s="53">
        <v>0</v>
      </c>
      <c r="H771" s="52" t="s">
        <v>62</v>
      </c>
      <c r="I771" s="53">
        <v>24990</v>
      </c>
      <c r="J771" s="53" t="s">
        <v>63</v>
      </c>
      <c r="K771" s="53" t="s">
        <v>64</v>
      </c>
      <c r="L771" s="53" t="s">
        <v>65</v>
      </c>
      <c r="M771" s="53" t="s">
        <v>66</v>
      </c>
      <c r="N771" s="52" t="str">
        <f ca="1">IF(INDIRECT("M771")="Clásica","14%",IF(INDIRECT("M771")="Premium","18%","-"))</f>
        <v>14%</v>
      </c>
      <c r="O771" s="53" t="s">
        <v>1455</v>
      </c>
    </row>
    <row r="772" spans="1:15" ht="49.95" customHeight="1">
      <c r="A772" s="52" t="s">
        <v>1892</v>
      </c>
      <c r="B772" s="52" t="s">
        <v>1893</v>
      </c>
      <c r="C772" s="52" t="s">
        <v>1894</v>
      </c>
      <c r="D772" s="52"/>
      <c r="E772" s="52" t="s">
        <v>1895</v>
      </c>
      <c r="F772" s="52" t="s">
        <v>1895</v>
      </c>
      <c r="G772" s="53">
        <v>0</v>
      </c>
      <c r="H772" s="52" t="s">
        <v>62</v>
      </c>
      <c r="I772" s="53">
        <v>39990</v>
      </c>
      <c r="J772" s="53" t="s">
        <v>63</v>
      </c>
      <c r="K772" s="53" t="s">
        <v>64</v>
      </c>
      <c r="L772" s="53" t="s">
        <v>65</v>
      </c>
      <c r="M772" s="53" t="s">
        <v>66</v>
      </c>
      <c r="N772" s="52" t="str">
        <f ca="1">IF(INDIRECT("M772")="Clásica","14%",IF(INDIRECT("M772")="Premium","18%","-"))</f>
        <v>14%</v>
      </c>
      <c r="O772" s="53" t="s">
        <v>1455</v>
      </c>
    </row>
    <row r="773" spans="1:15" ht="49.95" customHeight="1">
      <c r="A773" s="52" t="s">
        <v>1896</v>
      </c>
      <c r="B773" s="52" t="s">
        <v>1897</v>
      </c>
      <c r="C773" s="52" t="s">
        <v>1898</v>
      </c>
      <c r="D773" s="52"/>
      <c r="E773" s="52" t="s">
        <v>1899</v>
      </c>
      <c r="F773" s="52" t="s">
        <v>86</v>
      </c>
      <c r="G773" s="53">
        <v>0</v>
      </c>
      <c r="H773" s="52" t="s">
        <v>62</v>
      </c>
      <c r="I773" s="53">
        <v>32990</v>
      </c>
      <c r="J773" s="53" t="s">
        <v>63</v>
      </c>
      <c r="K773" s="53" t="s">
        <v>64</v>
      </c>
      <c r="L773" s="53" t="s">
        <v>65</v>
      </c>
      <c r="M773" s="53" t="s">
        <v>66</v>
      </c>
      <c r="N773" s="52" t="str">
        <f ca="1">IF(INDIRECT("M773")="Clásica","14%",IF(INDIRECT("M773")="Premium","18%","-"))</f>
        <v>14%</v>
      </c>
      <c r="O773" s="53" t="s">
        <v>1455</v>
      </c>
    </row>
    <row r="774" spans="1:15" ht="49.95" customHeight="1">
      <c r="A774" s="52" t="s">
        <v>1900</v>
      </c>
      <c r="B774" s="52" t="s">
        <v>1901</v>
      </c>
      <c r="C774" s="52" t="s">
        <v>1902</v>
      </c>
      <c r="D774" s="52"/>
      <c r="E774" s="52" t="s">
        <v>1903</v>
      </c>
      <c r="F774" s="52" t="s">
        <v>1903</v>
      </c>
      <c r="G774" s="53">
        <v>0</v>
      </c>
      <c r="H774" s="52" t="s">
        <v>62</v>
      </c>
      <c r="I774" s="53">
        <v>44990</v>
      </c>
      <c r="J774" s="53" t="s">
        <v>63</v>
      </c>
      <c r="K774" s="53" t="s">
        <v>64</v>
      </c>
      <c r="L774" s="53" t="s">
        <v>65</v>
      </c>
      <c r="M774" s="53" t="s">
        <v>66</v>
      </c>
      <c r="N774" s="52" t="str">
        <f ca="1">IF(INDIRECT("M774")="Clásica","14%",IF(INDIRECT("M774")="Premium","18%","-"))</f>
        <v>14%</v>
      </c>
      <c r="O774" s="53" t="s">
        <v>1455</v>
      </c>
    </row>
    <row r="775" spans="1:15" ht="49.95" customHeight="1">
      <c r="A775" s="52" t="s">
        <v>1904</v>
      </c>
      <c r="B775" s="52" t="s">
        <v>1905</v>
      </c>
      <c r="C775" s="52" t="s">
        <v>1906</v>
      </c>
      <c r="D775" s="52"/>
      <c r="E775" s="52" t="s">
        <v>1907</v>
      </c>
      <c r="F775" s="52" t="s">
        <v>1907</v>
      </c>
      <c r="G775" s="53">
        <v>0</v>
      </c>
      <c r="H775" s="52" t="s">
        <v>62</v>
      </c>
      <c r="I775" s="53">
        <v>29990</v>
      </c>
      <c r="J775" s="53" t="s">
        <v>63</v>
      </c>
      <c r="K775" s="53" t="s">
        <v>64</v>
      </c>
      <c r="L775" s="53" t="s">
        <v>65</v>
      </c>
      <c r="M775" s="53" t="s">
        <v>66</v>
      </c>
      <c r="N775" s="52" t="str">
        <f ca="1">IF(INDIRECT("M775")="Clásica","14%",IF(INDIRECT("M775")="Premium","18%","-"))</f>
        <v>14%</v>
      </c>
      <c r="O775" s="53" t="s">
        <v>1455</v>
      </c>
    </row>
    <row r="776" spans="1:15" ht="49.95" customHeight="1">
      <c r="A776" s="52" t="s">
        <v>24</v>
      </c>
      <c r="B776" s="52" t="s">
        <v>1908</v>
      </c>
      <c r="C776" s="52"/>
      <c r="D776" s="52"/>
      <c r="E776" s="52" t="s">
        <v>1909</v>
      </c>
      <c r="F776" s="52" t="s">
        <v>62</v>
      </c>
      <c r="G776" s="52" t="s">
        <v>1473</v>
      </c>
      <c r="H776" s="52" t="s">
        <v>62</v>
      </c>
      <c r="I776" s="53">
        <v>69990</v>
      </c>
      <c r="J776" s="53" t="s">
        <v>63</v>
      </c>
      <c r="K776" s="53" t="s">
        <v>64</v>
      </c>
      <c r="L776" s="53" t="s">
        <v>65</v>
      </c>
      <c r="M776" s="53" t="s">
        <v>66</v>
      </c>
      <c r="N776" s="52" t="str">
        <f ca="1">IF(INDIRECT("M776")="Clásica","15%",IF(INDIRECT("M776")="Premium","19%","-"))</f>
        <v>15%</v>
      </c>
      <c r="O776" s="53" t="s">
        <v>1455</v>
      </c>
    </row>
    <row r="777" spans="1:15" ht="49.95" customHeight="1">
      <c r="A777" s="52" t="s">
        <v>24</v>
      </c>
      <c r="B777" s="52" t="s">
        <v>1908</v>
      </c>
      <c r="C777" s="52" t="s">
        <v>1910</v>
      </c>
      <c r="D777" s="52" t="s">
        <v>1910</v>
      </c>
      <c r="E777" s="54" t="str">
        <f>"     "&amp;E776</f>
        <v xml:space="preserve">     Protector Cubierta Cubre Cárter Motor Honda Crf300l</v>
      </c>
      <c r="F777" s="52" t="s">
        <v>90</v>
      </c>
      <c r="G777" s="53">
        <v>0</v>
      </c>
      <c r="H777" s="52" t="s">
        <v>62</v>
      </c>
      <c r="I777" s="52">
        <f>I776</f>
        <v>69990</v>
      </c>
      <c r="J777" s="52" t="str">
        <f>J776&amp;"     "</f>
        <v xml:space="preserve">$     </v>
      </c>
      <c r="K777" s="52" t="str">
        <f>K776&amp;"     "</f>
        <v xml:space="preserve">Nuevo     </v>
      </c>
      <c r="L777" s="52" t="str">
        <f>L776&amp;"     "</f>
        <v xml:space="preserve">Mercado Envíos gratis     </v>
      </c>
      <c r="M777" s="52" t="str">
        <f>M776&amp;"     "</f>
        <v xml:space="preserve">Clásica     </v>
      </c>
      <c r="N777" s="52" t="str">
        <f ca="1">N776</f>
        <v>15%</v>
      </c>
      <c r="O777" s="52" t="str">
        <f>O776&amp;"     "</f>
        <v xml:space="preserve">Inactiva     </v>
      </c>
    </row>
    <row r="778" spans="1:15" ht="49.95" customHeight="1">
      <c r="A778" s="52" t="s">
        <v>24</v>
      </c>
      <c r="B778" s="52" t="s">
        <v>1908</v>
      </c>
      <c r="C778" s="52" t="s">
        <v>1911</v>
      </c>
      <c r="D778" s="52" t="s">
        <v>1911</v>
      </c>
      <c r="E778" s="54" t="str">
        <f>"     "&amp;E776</f>
        <v xml:space="preserve">     Protector Cubierta Cubre Cárter Motor Honda Crf300l</v>
      </c>
      <c r="F778" s="52" t="s">
        <v>86</v>
      </c>
      <c r="G778" s="53">
        <v>0</v>
      </c>
      <c r="H778" s="52" t="s">
        <v>62</v>
      </c>
      <c r="I778" s="52">
        <f>I776</f>
        <v>69990</v>
      </c>
      <c r="J778" s="52" t="str">
        <f>J776&amp;"     "</f>
        <v xml:space="preserve">$     </v>
      </c>
      <c r="K778" s="52" t="str">
        <f>K776&amp;"     "</f>
        <v xml:space="preserve">Nuevo     </v>
      </c>
      <c r="L778" s="52" t="str">
        <f>L776&amp;"     "</f>
        <v xml:space="preserve">Mercado Envíos gratis     </v>
      </c>
      <c r="M778" s="52" t="str">
        <f>M776&amp;"     "</f>
        <v xml:space="preserve">Clásica     </v>
      </c>
      <c r="N778" s="52" t="str">
        <f ca="1">N776</f>
        <v>15%</v>
      </c>
      <c r="O778" s="52" t="str">
        <f>O776&amp;"     "</f>
        <v xml:space="preserve">Inactiva     </v>
      </c>
    </row>
    <row r="779" spans="1:15" ht="49.95" customHeight="1">
      <c r="A779" s="52" t="s">
        <v>1912</v>
      </c>
      <c r="B779" s="52" t="s">
        <v>1913</v>
      </c>
      <c r="C779" s="52" t="s">
        <v>1914</v>
      </c>
      <c r="D779" s="52"/>
      <c r="E779" s="52" t="s">
        <v>1915</v>
      </c>
      <c r="F779" s="52" t="s">
        <v>1915</v>
      </c>
      <c r="G779" s="53">
        <v>0</v>
      </c>
      <c r="H779" s="52" t="s">
        <v>62</v>
      </c>
      <c r="I779" s="53">
        <v>69990</v>
      </c>
      <c r="J779" s="53" t="s">
        <v>63</v>
      </c>
      <c r="K779" s="53" t="s">
        <v>64</v>
      </c>
      <c r="L779" s="53" t="s">
        <v>65</v>
      </c>
      <c r="M779" s="53" t="s">
        <v>66</v>
      </c>
      <c r="N779" s="52" t="str">
        <f ca="1">IF(INDIRECT("M779")="Clásica","14%",IF(INDIRECT("M779")="Premium","18%","-"))</f>
        <v>14%</v>
      </c>
      <c r="O779" s="53" t="s">
        <v>1455</v>
      </c>
    </row>
    <row r="780" spans="1:15" ht="49.95" customHeight="1">
      <c r="A780" s="52" t="s">
        <v>24</v>
      </c>
      <c r="B780" s="52" t="s">
        <v>1916</v>
      </c>
      <c r="C780" s="52"/>
      <c r="D780" s="52"/>
      <c r="E780" s="52" t="s">
        <v>1917</v>
      </c>
      <c r="F780" s="52" t="s">
        <v>62</v>
      </c>
      <c r="G780" s="52" t="s">
        <v>1473</v>
      </c>
      <c r="H780" s="52" t="s">
        <v>62</v>
      </c>
      <c r="I780" s="53">
        <v>49990</v>
      </c>
      <c r="J780" s="53" t="s">
        <v>63</v>
      </c>
      <c r="K780" s="53" t="s">
        <v>64</v>
      </c>
      <c r="L780" s="53" t="s">
        <v>65</v>
      </c>
      <c r="M780" s="53" t="s">
        <v>66</v>
      </c>
      <c r="N780" s="52" t="str">
        <f ca="1">IF(INDIRECT("M780")="Clásica","15%",IF(INDIRECT("M780")="Premium","19%","-"))</f>
        <v>15%</v>
      </c>
      <c r="O780" s="53" t="s">
        <v>1455</v>
      </c>
    </row>
    <row r="781" spans="1:15" ht="49.95" customHeight="1">
      <c r="A781" s="52" t="s">
        <v>24</v>
      </c>
      <c r="B781" s="52" t="s">
        <v>1916</v>
      </c>
      <c r="C781" s="52" t="s">
        <v>1918</v>
      </c>
      <c r="D781" s="52" t="s">
        <v>1918</v>
      </c>
      <c r="E781" s="54" t="str">
        <f>"     "&amp;E780</f>
        <v xml:space="preserve">     Cúpula Parabrisas Doble Burbuja Yamaha R15 V4 R 15</v>
      </c>
      <c r="F781" s="52" t="s">
        <v>224</v>
      </c>
      <c r="G781" s="53">
        <v>0</v>
      </c>
      <c r="H781" s="52" t="s">
        <v>62</v>
      </c>
      <c r="I781" s="52">
        <f>I780</f>
        <v>49990</v>
      </c>
      <c r="J781" s="52" t="str">
        <f>J780&amp;"     "</f>
        <v xml:space="preserve">$     </v>
      </c>
      <c r="K781" s="52" t="str">
        <f>K780&amp;"     "</f>
        <v xml:space="preserve">Nuevo     </v>
      </c>
      <c r="L781" s="52" t="str">
        <f>L780&amp;"     "</f>
        <v xml:space="preserve">Mercado Envíos gratis     </v>
      </c>
      <c r="M781" s="52" t="str">
        <f>M780&amp;"     "</f>
        <v xml:space="preserve">Clásica     </v>
      </c>
      <c r="N781" s="52" t="str">
        <f ca="1">N780</f>
        <v>15%</v>
      </c>
      <c r="O781" s="52" t="str">
        <f>O780&amp;"     "</f>
        <v xml:space="preserve">Inactiva     </v>
      </c>
    </row>
    <row r="782" spans="1:15" ht="49.95" customHeight="1">
      <c r="A782" s="52" t="s">
        <v>24</v>
      </c>
      <c r="B782" s="52" t="s">
        <v>1916</v>
      </c>
      <c r="C782" s="52" t="s">
        <v>1919</v>
      </c>
      <c r="D782" s="52" t="s">
        <v>1919</v>
      </c>
      <c r="E782" s="54" t="str">
        <f>"     "&amp;E780</f>
        <v xml:space="preserve">     Cúpula Parabrisas Doble Burbuja Yamaha R15 V4 R 15</v>
      </c>
      <c r="F782" s="52" t="s">
        <v>86</v>
      </c>
      <c r="G782" s="53">
        <v>0</v>
      </c>
      <c r="H782" s="52" t="s">
        <v>62</v>
      </c>
      <c r="I782" s="52">
        <f>I780</f>
        <v>49990</v>
      </c>
      <c r="J782" s="52" t="str">
        <f>J780&amp;"     "</f>
        <v xml:space="preserve">$     </v>
      </c>
      <c r="K782" s="52" t="str">
        <f>K780&amp;"     "</f>
        <v xml:space="preserve">Nuevo     </v>
      </c>
      <c r="L782" s="52" t="str">
        <f>L780&amp;"     "</f>
        <v xml:space="preserve">Mercado Envíos gratis     </v>
      </c>
      <c r="M782" s="52" t="str">
        <f>M780&amp;"     "</f>
        <v xml:space="preserve">Clásica     </v>
      </c>
      <c r="N782" s="52" t="str">
        <f ca="1">N780</f>
        <v>15%</v>
      </c>
      <c r="O782" s="52" t="str">
        <f>O780&amp;"     "</f>
        <v xml:space="preserve">Inactiva     </v>
      </c>
    </row>
    <row r="783" spans="1:15" ht="49.95" customHeight="1">
      <c r="A783" s="52" t="s">
        <v>1920</v>
      </c>
      <c r="B783" s="52" t="s">
        <v>1921</v>
      </c>
      <c r="C783" s="52" t="s">
        <v>1922</v>
      </c>
      <c r="D783" s="52"/>
      <c r="E783" s="52" t="s">
        <v>1923</v>
      </c>
      <c r="F783" s="52" t="s">
        <v>1923</v>
      </c>
      <c r="G783" s="53">
        <v>0</v>
      </c>
      <c r="H783" s="52" t="s">
        <v>62</v>
      </c>
      <c r="I783" s="53">
        <v>89990</v>
      </c>
      <c r="J783" s="53" t="s">
        <v>63</v>
      </c>
      <c r="K783" s="53" t="s">
        <v>64</v>
      </c>
      <c r="L783" s="53" t="s">
        <v>65</v>
      </c>
      <c r="M783" s="53" t="s">
        <v>66</v>
      </c>
      <c r="N783" s="52" t="str">
        <f ca="1">IF(INDIRECT("M783")="Clásica","15%",IF(INDIRECT("M783")="Premium","19%","-"))</f>
        <v>15%</v>
      </c>
      <c r="O783" s="53" t="s">
        <v>1455</v>
      </c>
    </row>
    <row r="784" spans="1:15" ht="49.95" customHeight="1">
      <c r="A784" s="52" t="s">
        <v>1924</v>
      </c>
      <c r="B784" s="52" t="s">
        <v>1925</v>
      </c>
      <c r="C784" s="52" t="s">
        <v>1926</v>
      </c>
      <c r="D784" s="52"/>
      <c r="E784" s="52" t="s">
        <v>1927</v>
      </c>
      <c r="F784" s="52" t="s">
        <v>524</v>
      </c>
      <c r="G784" s="53">
        <v>0</v>
      </c>
      <c r="H784" s="52" t="s">
        <v>62</v>
      </c>
      <c r="I784" s="53">
        <v>15990</v>
      </c>
      <c r="J784" s="53" t="s">
        <v>63</v>
      </c>
      <c r="K784" s="53" t="s">
        <v>64</v>
      </c>
      <c r="L784" s="53" t="s">
        <v>71</v>
      </c>
      <c r="M784" s="53" t="s">
        <v>66</v>
      </c>
      <c r="N784" s="52" t="str">
        <f ca="1">IF(INDIRECT("M784")="Clásica","14%",IF(INDIRECT("M784")="Premium","18%","-"))</f>
        <v>14%</v>
      </c>
      <c r="O784" s="53" t="s">
        <v>1455</v>
      </c>
    </row>
    <row r="785" spans="1:15" ht="49.95" customHeight="1">
      <c r="A785" s="52" t="s">
        <v>1928</v>
      </c>
      <c r="B785" s="52" t="s">
        <v>1929</v>
      </c>
      <c r="C785" s="52" t="s">
        <v>1930</v>
      </c>
      <c r="D785" s="52"/>
      <c r="E785" s="52" t="s">
        <v>1931</v>
      </c>
      <c r="F785" s="52" t="s">
        <v>62</v>
      </c>
      <c r="G785" s="53">
        <v>0</v>
      </c>
      <c r="H785" s="52" t="s">
        <v>62</v>
      </c>
      <c r="I785" s="53">
        <v>10490</v>
      </c>
      <c r="J785" s="53" t="s">
        <v>63</v>
      </c>
      <c r="K785" s="52" t="s">
        <v>64</v>
      </c>
      <c r="L785" s="53" t="s">
        <v>71</v>
      </c>
      <c r="M785" s="53" t="s">
        <v>66</v>
      </c>
      <c r="N785" s="52" t="str">
        <f ca="1">IF(INDIRECT("M785")="Clásica","13%",IF(INDIRECT("M785")="Premium","17%","-"))</f>
        <v>13%</v>
      </c>
      <c r="O785" s="53" t="s">
        <v>1455</v>
      </c>
    </row>
    <row r="786" spans="1:15" ht="49.95" customHeight="1">
      <c r="A786" s="52" t="s">
        <v>1932</v>
      </c>
      <c r="B786" s="52" t="s">
        <v>1933</v>
      </c>
      <c r="C786" s="52" t="s">
        <v>1934</v>
      </c>
      <c r="D786" s="52"/>
      <c r="E786" s="52" t="s">
        <v>1935</v>
      </c>
      <c r="F786" s="52" t="s">
        <v>1935</v>
      </c>
      <c r="G786" s="53">
        <v>0</v>
      </c>
      <c r="H786" s="52" t="s">
        <v>62</v>
      </c>
      <c r="I786" s="53">
        <v>33990</v>
      </c>
      <c r="J786" s="53" t="s">
        <v>63</v>
      </c>
      <c r="K786" s="53" t="s">
        <v>64</v>
      </c>
      <c r="L786" s="53" t="s">
        <v>65</v>
      </c>
      <c r="M786" s="53" t="s">
        <v>66</v>
      </c>
      <c r="N786" s="52" t="str">
        <f ca="1">IF(INDIRECT("M786")="Clásica","12%",IF(INDIRECT("M786")="Premium","16%","-"))</f>
        <v>12%</v>
      </c>
      <c r="O786" s="53" t="s">
        <v>1455</v>
      </c>
    </row>
    <row r="787" spans="1:15" ht="49.95" customHeight="1">
      <c r="A787" s="52" t="s">
        <v>24</v>
      </c>
      <c r="B787" s="52" t="s">
        <v>1936</v>
      </c>
      <c r="C787" s="52"/>
      <c r="D787" s="52"/>
      <c r="E787" s="52" t="s">
        <v>1937</v>
      </c>
      <c r="F787" s="52" t="s">
        <v>62</v>
      </c>
      <c r="G787" s="52" t="s">
        <v>1473</v>
      </c>
      <c r="H787" s="52" t="s">
        <v>62</v>
      </c>
      <c r="I787" s="53">
        <v>49990</v>
      </c>
      <c r="J787" s="53" t="s">
        <v>63</v>
      </c>
      <c r="K787" s="53" t="s">
        <v>64</v>
      </c>
      <c r="L787" s="53" t="s">
        <v>65</v>
      </c>
      <c r="M787" s="53" t="s">
        <v>66</v>
      </c>
      <c r="N787" s="52" t="str">
        <f ca="1">IF(INDIRECT("M787")="Clásica","15%",IF(INDIRECT("M787")="Premium","19%","-"))</f>
        <v>15%</v>
      </c>
      <c r="O787" s="53" t="s">
        <v>1455</v>
      </c>
    </row>
    <row r="788" spans="1:15" ht="49.95" customHeight="1">
      <c r="A788" s="52" t="s">
        <v>24</v>
      </c>
      <c r="B788" s="52" t="s">
        <v>1936</v>
      </c>
      <c r="C788" s="52" t="s">
        <v>1938</v>
      </c>
      <c r="D788" s="52" t="s">
        <v>1938</v>
      </c>
      <c r="E788" s="54" t="str">
        <f>"     "&amp;E787</f>
        <v xml:space="preserve">     Cúpula Parabrisas Kawasaki  Z250 Z400 Z 400 Z 250 Desde 2019</v>
      </c>
      <c r="F788" s="52" t="s">
        <v>86</v>
      </c>
      <c r="G788" s="53">
        <v>0</v>
      </c>
      <c r="H788" s="52" t="s">
        <v>62</v>
      </c>
      <c r="I788" s="52">
        <f>I787</f>
        <v>49990</v>
      </c>
      <c r="J788" s="52" t="str">
        <f>J787&amp;"     "</f>
        <v xml:space="preserve">$     </v>
      </c>
      <c r="K788" s="52" t="str">
        <f>K787&amp;"     "</f>
        <v xml:space="preserve">Nuevo     </v>
      </c>
      <c r="L788" s="52" t="str">
        <f>L787&amp;"     "</f>
        <v xml:space="preserve">Mercado Envíos gratis     </v>
      </c>
      <c r="M788" s="52" t="str">
        <f>M787&amp;"     "</f>
        <v xml:space="preserve">Clásica     </v>
      </c>
      <c r="N788" s="52" t="str">
        <f ca="1">N787</f>
        <v>15%</v>
      </c>
      <c r="O788" s="52" t="str">
        <f>O787&amp;"     "</f>
        <v xml:space="preserve">Inactiva     </v>
      </c>
    </row>
    <row r="789" spans="1:15" ht="49.95" customHeight="1">
      <c r="A789" s="52" t="s">
        <v>24</v>
      </c>
      <c r="B789" s="52" t="s">
        <v>1936</v>
      </c>
      <c r="C789" s="52" t="s">
        <v>1939</v>
      </c>
      <c r="D789" s="52" t="s">
        <v>1939</v>
      </c>
      <c r="E789" s="54" t="str">
        <f>"     "&amp;E787</f>
        <v xml:space="preserve">     Cúpula Parabrisas Kawasaki  Z250 Z400 Z 400 Z 250 Desde 2019</v>
      </c>
      <c r="F789" s="52" t="s">
        <v>75</v>
      </c>
      <c r="G789" s="53">
        <v>0</v>
      </c>
      <c r="H789" s="52" t="s">
        <v>62</v>
      </c>
      <c r="I789" s="52">
        <f>I787</f>
        <v>49990</v>
      </c>
      <c r="J789" s="52" t="str">
        <f>J787&amp;"     "</f>
        <v xml:space="preserve">$     </v>
      </c>
      <c r="K789" s="52" t="str">
        <f>K787&amp;"     "</f>
        <v xml:space="preserve">Nuevo     </v>
      </c>
      <c r="L789" s="52" t="str">
        <f>L787&amp;"     "</f>
        <v xml:space="preserve">Mercado Envíos gratis     </v>
      </c>
      <c r="M789" s="52" t="str">
        <f>M787&amp;"     "</f>
        <v xml:space="preserve">Clásica     </v>
      </c>
      <c r="N789" s="52" t="str">
        <f ca="1">N787</f>
        <v>15%</v>
      </c>
      <c r="O789" s="52" t="str">
        <f>O787&amp;"     "</f>
        <v xml:space="preserve">Inactiva     </v>
      </c>
    </row>
    <row r="790" spans="1:15" ht="49.95" customHeight="1">
      <c r="A790" s="52" t="s">
        <v>1940</v>
      </c>
      <c r="B790" s="52" t="s">
        <v>1941</v>
      </c>
      <c r="C790" s="52" t="s">
        <v>1942</v>
      </c>
      <c r="D790" s="52"/>
      <c r="E790" s="52" t="s">
        <v>1943</v>
      </c>
      <c r="F790" s="52" t="s">
        <v>1943</v>
      </c>
      <c r="G790" s="53">
        <v>0</v>
      </c>
      <c r="H790" s="52" t="s">
        <v>62</v>
      </c>
      <c r="I790" s="53">
        <v>64990</v>
      </c>
      <c r="J790" s="53" t="s">
        <v>63</v>
      </c>
      <c r="K790" s="53" t="s">
        <v>64</v>
      </c>
      <c r="L790" s="53" t="s">
        <v>65</v>
      </c>
      <c r="M790" s="53" t="s">
        <v>66</v>
      </c>
      <c r="N790" s="52" t="str">
        <f ca="1">IF(INDIRECT("M790")="Clásica","14%",IF(INDIRECT("M790")="Premium","18%","-"))</f>
        <v>14%</v>
      </c>
      <c r="O790" s="53" t="s">
        <v>1455</v>
      </c>
    </row>
    <row r="791" spans="1:15" ht="49.95" customHeight="1">
      <c r="A791" s="52" t="s">
        <v>1944</v>
      </c>
      <c r="B791" s="52" t="s">
        <v>1945</v>
      </c>
      <c r="C791" s="52" t="s">
        <v>1946</v>
      </c>
      <c r="D791" s="52"/>
      <c r="E791" s="52" t="s">
        <v>1947</v>
      </c>
      <c r="F791" s="52" t="s">
        <v>1947</v>
      </c>
      <c r="G791" s="53">
        <v>0</v>
      </c>
      <c r="H791" s="52" t="s">
        <v>62</v>
      </c>
      <c r="I791" s="53">
        <v>24990</v>
      </c>
      <c r="J791" s="53" t="s">
        <v>63</v>
      </c>
      <c r="K791" s="53" t="s">
        <v>64</v>
      </c>
      <c r="L791" s="53" t="s">
        <v>65</v>
      </c>
      <c r="M791" s="53" t="s">
        <v>66</v>
      </c>
      <c r="N791" s="52" t="str">
        <f ca="1">IF(INDIRECT("M791")="Clásica","14%",IF(INDIRECT("M791")="Premium","18%","-"))</f>
        <v>14%</v>
      </c>
      <c r="O791" s="53" t="s">
        <v>1455</v>
      </c>
    </row>
    <row r="792" spans="1:15" ht="49.95" customHeight="1">
      <c r="A792" s="52" t="s">
        <v>24</v>
      </c>
      <c r="B792" s="52" t="s">
        <v>1948</v>
      </c>
      <c r="C792" s="52"/>
      <c r="D792" s="52"/>
      <c r="E792" s="52" t="s">
        <v>1949</v>
      </c>
      <c r="F792" s="52" t="s">
        <v>62</v>
      </c>
      <c r="G792" s="52" t="s">
        <v>1473</v>
      </c>
      <c r="H792" s="52" t="s">
        <v>62</v>
      </c>
      <c r="I792" s="53">
        <v>9990</v>
      </c>
      <c r="J792" s="53" t="s">
        <v>63</v>
      </c>
      <c r="K792" s="53" t="s">
        <v>64</v>
      </c>
      <c r="L792" s="53" t="s">
        <v>71</v>
      </c>
      <c r="M792" s="53" t="s">
        <v>66</v>
      </c>
      <c r="N792" s="52" t="str">
        <f ca="1">IF(INDIRECT("M792")="Clásica","14%",IF(INDIRECT("M792")="Premium","18%","-"))</f>
        <v>14%</v>
      </c>
      <c r="O792" s="53" t="s">
        <v>1455</v>
      </c>
    </row>
    <row r="793" spans="1:15" ht="49.95" customHeight="1">
      <c r="A793" s="52" t="s">
        <v>24</v>
      </c>
      <c r="B793" s="52" t="s">
        <v>1948</v>
      </c>
      <c r="C793" s="52" t="s">
        <v>1950</v>
      </c>
      <c r="D793" s="52" t="s">
        <v>1950</v>
      </c>
      <c r="E793" s="54" t="str">
        <f>"     "&amp;E792</f>
        <v xml:space="preserve">     2da. Sel. Alerón - Winglet Yamaha R15 V3 Colores</v>
      </c>
      <c r="F793" s="52" t="s">
        <v>84</v>
      </c>
      <c r="G793" s="53">
        <v>0</v>
      </c>
      <c r="H793" s="52" t="s">
        <v>62</v>
      </c>
      <c r="I793" s="52">
        <f>I792</f>
        <v>9990</v>
      </c>
      <c r="J793" s="52" t="str">
        <f>J792&amp;"     "</f>
        <v xml:space="preserve">$     </v>
      </c>
      <c r="K793" s="52" t="str">
        <f>K792&amp;"     "</f>
        <v xml:space="preserve">Nuevo     </v>
      </c>
      <c r="L793" s="52" t="str">
        <f>L792&amp;"     "</f>
        <v xml:space="preserve">Mercado Envíos a cargo del comprador     </v>
      </c>
      <c r="M793" s="52" t="str">
        <f>M792&amp;"     "</f>
        <v xml:space="preserve">Clásica     </v>
      </c>
      <c r="N793" s="52" t="str">
        <f ca="1">N792</f>
        <v>14%</v>
      </c>
      <c r="O793" s="52" t="str">
        <f>O792&amp;"     "</f>
        <v xml:space="preserve">Inactiva     </v>
      </c>
    </row>
    <row r="794" spans="1:15" ht="49.95" customHeight="1">
      <c r="A794" s="52" t="s">
        <v>24</v>
      </c>
      <c r="B794" s="52" t="s">
        <v>1948</v>
      </c>
      <c r="C794" s="52" t="s">
        <v>1951</v>
      </c>
      <c r="D794" s="52" t="s">
        <v>1951</v>
      </c>
      <c r="E794" s="54" t="str">
        <f>"     "&amp;E792</f>
        <v xml:space="preserve">     2da. Sel. Alerón - Winglet Yamaha R15 V3 Colores</v>
      </c>
      <c r="F794" s="52" t="s">
        <v>166</v>
      </c>
      <c r="G794" s="53">
        <v>0</v>
      </c>
      <c r="H794" s="52" t="s">
        <v>62</v>
      </c>
      <c r="I794" s="52">
        <f>I792</f>
        <v>9990</v>
      </c>
      <c r="J794" s="52" t="str">
        <f>J792&amp;"     "</f>
        <v xml:space="preserve">$     </v>
      </c>
      <c r="K794" s="52" t="str">
        <f>K792&amp;"     "</f>
        <v xml:space="preserve">Nuevo     </v>
      </c>
      <c r="L794" s="52" t="str">
        <f>L792&amp;"     "</f>
        <v xml:space="preserve">Mercado Envíos a cargo del comprador     </v>
      </c>
      <c r="M794" s="52" t="str">
        <f>M792&amp;"     "</f>
        <v xml:space="preserve">Clásica     </v>
      </c>
      <c r="N794" s="52" t="str">
        <f ca="1">N792</f>
        <v>14%</v>
      </c>
      <c r="O794" s="52" t="str">
        <f>O792&amp;"     "</f>
        <v xml:space="preserve">Inactiva     </v>
      </c>
    </row>
    <row r="795" spans="1:15" ht="49.95" customHeight="1">
      <c r="A795" s="52" t="s">
        <v>1952</v>
      </c>
      <c r="B795" s="52" t="s">
        <v>1953</v>
      </c>
      <c r="C795" s="52" t="s">
        <v>1954</v>
      </c>
      <c r="D795" s="52"/>
      <c r="E795" s="52" t="s">
        <v>1955</v>
      </c>
      <c r="F795" s="52" t="s">
        <v>1955</v>
      </c>
      <c r="G795" s="53">
        <v>0</v>
      </c>
      <c r="H795" s="52" t="s">
        <v>62</v>
      </c>
      <c r="I795" s="53">
        <v>169990</v>
      </c>
      <c r="J795" s="53" t="s">
        <v>63</v>
      </c>
      <c r="K795" s="53" t="s">
        <v>64</v>
      </c>
      <c r="L795" s="53" t="s">
        <v>65</v>
      </c>
      <c r="M795" s="53" t="s">
        <v>66</v>
      </c>
      <c r="N795" s="52" t="str">
        <f ca="1">IF(INDIRECT("M795")="Clásica","15%",IF(INDIRECT("M795")="Premium","19%","-"))</f>
        <v>15%</v>
      </c>
      <c r="O795" s="53" t="s">
        <v>1455</v>
      </c>
    </row>
    <row r="796" spans="1:15" ht="49.95" customHeight="1">
      <c r="A796" s="52" t="s">
        <v>1956</v>
      </c>
      <c r="B796" s="52" t="s">
        <v>1957</v>
      </c>
      <c r="C796" s="52" t="s">
        <v>1958</v>
      </c>
      <c r="D796" s="52"/>
      <c r="E796" s="52" t="s">
        <v>1959</v>
      </c>
      <c r="F796" s="52" t="s">
        <v>524</v>
      </c>
      <c r="G796" s="53">
        <v>0</v>
      </c>
      <c r="H796" s="52" t="s">
        <v>62</v>
      </c>
      <c r="I796" s="53">
        <v>15990</v>
      </c>
      <c r="J796" s="53" t="s">
        <v>63</v>
      </c>
      <c r="K796" s="53" t="s">
        <v>64</v>
      </c>
      <c r="L796" s="53" t="s">
        <v>71</v>
      </c>
      <c r="M796" s="53" t="s">
        <v>66</v>
      </c>
      <c r="N796" s="52" t="str">
        <f ca="1">IF(INDIRECT("M796")="Clásica","14%",IF(INDIRECT("M796")="Premium","18%","-"))</f>
        <v>14%</v>
      </c>
      <c r="O796" s="53" t="s">
        <v>1455</v>
      </c>
    </row>
    <row r="797" spans="1:15" ht="49.95" customHeight="1">
      <c r="A797" s="52" t="s">
        <v>1960</v>
      </c>
      <c r="B797" s="52" t="s">
        <v>1961</v>
      </c>
      <c r="C797" s="52" t="s">
        <v>1962</v>
      </c>
      <c r="D797" s="52"/>
      <c r="E797" s="52" t="s">
        <v>1963</v>
      </c>
      <c r="F797" s="52" t="s">
        <v>1963</v>
      </c>
      <c r="G797" s="53">
        <v>0</v>
      </c>
      <c r="H797" s="52" t="s">
        <v>62</v>
      </c>
      <c r="I797" s="53">
        <v>14990</v>
      </c>
      <c r="J797" s="53" t="s">
        <v>63</v>
      </c>
      <c r="K797" s="53" t="s">
        <v>64</v>
      </c>
      <c r="L797" s="53" t="s">
        <v>71</v>
      </c>
      <c r="M797" s="53" t="s">
        <v>1240</v>
      </c>
      <c r="N797" s="52" t="str">
        <f ca="1">IF(INDIRECT("M797")="Clásica","14%",IF(INDIRECT("M797")="Premium","18%","-"))</f>
        <v>18%</v>
      </c>
      <c r="O797" s="53" t="s">
        <v>1455</v>
      </c>
    </row>
    <row r="798" spans="1:15" ht="49.95" customHeight="1">
      <c r="A798" s="52" t="s">
        <v>24</v>
      </c>
      <c r="B798" s="52" t="s">
        <v>1964</v>
      </c>
      <c r="C798" s="52"/>
      <c r="D798" s="52"/>
      <c r="E798" s="52" t="s">
        <v>1965</v>
      </c>
      <c r="F798" s="52" t="s">
        <v>62</v>
      </c>
      <c r="G798" s="52" t="s">
        <v>1473</v>
      </c>
      <c r="H798" s="52" t="s">
        <v>62</v>
      </c>
      <c r="I798" s="53">
        <v>16980</v>
      </c>
      <c r="J798" s="53" t="s">
        <v>63</v>
      </c>
      <c r="K798" s="53" t="s">
        <v>64</v>
      </c>
      <c r="L798" s="53" t="s">
        <v>71</v>
      </c>
      <c r="M798" s="53" t="s">
        <v>1240</v>
      </c>
      <c r="N798" s="52" t="str">
        <f ca="1">IF(INDIRECT("M798")="Clásica","14%",IF(INDIRECT("M798")="Premium","18%","-"))</f>
        <v>18%</v>
      </c>
      <c r="O798" s="53" t="s">
        <v>1455</v>
      </c>
    </row>
    <row r="799" spans="1:15" ht="49.95" customHeight="1">
      <c r="A799" s="52" t="s">
        <v>24</v>
      </c>
      <c r="B799" s="52" t="s">
        <v>1964</v>
      </c>
      <c r="C799" s="52" t="s">
        <v>1966</v>
      </c>
      <c r="D799" s="52" t="s">
        <v>1966</v>
      </c>
      <c r="E799" s="54" t="str">
        <f>"     "&amp;E798</f>
        <v xml:space="preserve">     Tank Grip / Protector Estanque Tracción Ninja 250 300</v>
      </c>
      <c r="F799" s="52" t="s">
        <v>86</v>
      </c>
      <c r="G799" s="53">
        <v>0</v>
      </c>
      <c r="H799" s="52" t="s">
        <v>62</v>
      </c>
      <c r="I799" s="52">
        <f>I798</f>
        <v>16980</v>
      </c>
      <c r="J799" s="52" t="str">
        <f>J798&amp;"     "</f>
        <v xml:space="preserve">$     </v>
      </c>
      <c r="K799" s="52" t="str">
        <f>K798&amp;"     "</f>
        <v xml:space="preserve">Nuevo     </v>
      </c>
      <c r="L799" s="52" t="str">
        <f>L798&amp;"     "</f>
        <v xml:space="preserve">Mercado Envíos a cargo del comprador     </v>
      </c>
      <c r="M799" s="52" t="str">
        <f>M798&amp;"     "</f>
        <v xml:space="preserve">Premium     </v>
      </c>
      <c r="N799" s="52" t="str">
        <f ca="1">N798</f>
        <v>18%</v>
      </c>
      <c r="O799" s="52" t="str">
        <f>O798&amp;"     "</f>
        <v xml:space="preserve">Inactiva     </v>
      </c>
    </row>
    <row r="800" spans="1:15" ht="49.95" customHeight="1">
      <c r="A800" s="52" t="s">
        <v>24</v>
      </c>
      <c r="B800" s="52" t="s">
        <v>1964</v>
      </c>
      <c r="C800" s="52" t="s">
        <v>1967</v>
      </c>
      <c r="D800" s="52" t="s">
        <v>1967</v>
      </c>
      <c r="E800" s="54" t="str">
        <f>"     "&amp;E798</f>
        <v xml:space="preserve">     Tank Grip / Protector Estanque Tracción Ninja 250 300</v>
      </c>
      <c r="F800" s="52" t="s">
        <v>445</v>
      </c>
      <c r="G800" s="53">
        <v>0</v>
      </c>
      <c r="H800" s="52" t="s">
        <v>62</v>
      </c>
      <c r="I800" s="52">
        <f>I798</f>
        <v>16980</v>
      </c>
      <c r="J800" s="52" t="str">
        <f>J798&amp;"     "</f>
        <v xml:space="preserve">$     </v>
      </c>
      <c r="K800" s="52" t="str">
        <f>K798&amp;"     "</f>
        <v xml:space="preserve">Nuevo     </v>
      </c>
      <c r="L800" s="52" t="str">
        <f>L798&amp;"     "</f>
        <v xml:space="preserve">Mercado Envíos a cargo del comprador     </v>
      </c>
      <c r="M800" s="52" t="str">
        <f>M798&amp;"     "</f>
        <v xml:space="preserve">Premium     </v>
      </c>
      <c r="N800" s="52" t="str">
        <f ca="1">N798</f>
        <v>18%</v>
      </c>
      <c r="O800" s="52" t="str">
        <f>O798&amp;"     "</f>
        <v xml:space="preserve">Inactiva     </v>
      </c>
    </row>
    <row r="801" spans="1:15" ht="49.95" customHeight="1">
      <c r="A801" s="52" t="s">
        <v>24</v>
      </c>
      <c r="B801" s="52" t="s">
        <v>1964</v>
      </c>
      <c r="C801" s="52" t="s">
        <v>1968</v>
      </c>
      <c r="D801" s="52" t="s">
        <v>1968</v>
      </c>
      <c r="E801" s="54" t="str">
        <f>"     "&amp;E798</f>
        <v xml:space="preserve">     Tank Grip / Protector Estanque Tracción Ninja 250 300</v>
      </c>
      <c r="F801" s="52" t="s">
        <v>1969</v>
      </c>
      <c r="G801" s="53">
        <v>0</v>
      </c>
      <c r="H801" s="52" t="s">
        <v>62</v>
      </c>
      <c r="I801" s="52">
        <f>I798</f>
        <v>16980</v>
      </c>
      <c r="J801" s="52" t="str">
        <f>J798&amp;"     "</f>
        <v xml:space="preserve">$     </v>
      </c>
      <c r="K801" s="52" t="str">
        <f>K798&amp;"     "</f>
        <v xml:space="preserve">Nuevo     </v>
      </c>
      <c r="L801" s="52" t="str">
        <f>L798&amp;"     "</f>
        <v xml:space="preserve">Mercado Envíos a cargo del comprador     </v>
      </c>
      <c r="M801" s="52" t="str">
        <f>M798&amp;"     "</f>
        <v xml:space="preserve">Premium     </v>
      </c>
      <c r="N801" s="52" t="str">
        <f ca="1">N798</f>
        <v>18%</v>
      </c>
      <c r="O801" s="52" t="str">
        <f>O798&amp;"     "</f>
        <v xml:space="preserve">Inactiva     </v>
      </c>
    </row>
    <row r="802" spans="1:15" ht="49.95" customHeight="1">
      <c r="A802" s="52" t="s">
        <v>1970</v>
      </c>
      <c r="B802" s="52" t="s">
        <v>1971</v>
      </c>
      <c r="C802" s="52" t="s">
        <v>1972</v>
      </c>
      <c r="D802" s="52"/>
      <c r="E802" s="52" t="s">
        <v>1973</v>
      </c>
      <c r="F802" s="52" t="s">
        <v>1973</v>
      </c>
      <c r="G802" s="53">
        <v>0</v>
      </c>
      <c r="H802" s="52" t="s">
        <v>62</v>
      </c>
      <c r="I802" s="53">
        <v>69990</v>
      </c>
      <c r="J802" s="53" t="s">
        <v>63</v>
      </c>
      <c r="K802" s="53" t="s">
        <v>64</v>
      </c>
      <c r="L802" s="53" t="s">
        <v>65</v>
      </c>
      <c r="M802" s="53" t="s">
        <v>66</v>
      </c>
      <c r="N802" s="52" t="str">
        <f ca="1">IF(INDIRECT("M802")="Clásica","15%",IF(INDIRECT("M802")="Premium","19%","-"))</f>
        <v>15%</v>
      </c>
      <c r="O802" s="53" t="s">
        <v>1455</v>
      </c>
    </row>
    <row r="803" spans="1:15" ht="49.95" customHeight="1">
      <c r="A803" s="52" t="s">
        <v>1974</v>
      </c>
      <c r="B803" s="52" t="s">
        <v>1975</v>
      </c>
      <c r="C803" s="52" t="s">
        <v>1976</v>
      </c>
      <c r="D803" s="52"/>
      <c r="E803" s="52" t="s">
        <v>1977</v>
      </c>
      <c r="F803" s="52" t="s">
        <v>1977</v>
      </c>
      <c r="G803" s="53">
        <v>0</v>
      </c>
      <c r="H803" s="52" t="s">
        <v>62</v>
      </c>
      <c r="I803" s="53">
        <v>34990</v>
      </c>
      <c r="J803" s="53" t="s">
        <v>63</v>
      </c>
      <c r="K803" s="53" t="s">
        <v>64</v>
      </c>
      <c r="L803" s="53" t="s">
        <v>65</v>
      </c>
      <c r="M803" s="53" t="s">
        <v>66</v>
      </c>
      <c r="N803" s="52" t="str">
        <f ca="1">IF(INDIRECT("M803")="Clásica","14%",IF(INDIRECT("M803")="Premium","18%","-"))</f>
        <v>14%</v>
      </c>
      <c r="O803" s="53" t="s">
        <v>1455</v>
      </c>
    </row>
    <row r="804" spans="1:15" ht="49.95" customHeight="1">
      <c r="A804" s="52" t="s">
        <v>1978</v>
      </c>
      <c r="B804" s="52" t="s">
        <v>1979</v>
      </c>
      <c r="C804" s="52" t="s">
        <v>1980</v>
      </c>
      <c r="D804" s="52"/>
      <c r="E804" s="52" t="s">
        <v>1981</v>
      </c>
      <c r="F804" s="52" t="s">
        <v>86</v>
      </c>
      <c r="G804" s="53">
        <v>0</v>
      </c>
      <c r="H804" s="52" t="s">
        <v>62</v>
      </c>
      <c r="I804" s="53">
        <v>89990</v>
      </c>
      <c r="J804" s="53" t="s">
        <v>63</v>
      </c>
      <c r="K804" s="53" t="s">
        <v>64</v>
      </c>
      <c r="L804" s="53" t="s">
        <v>65</v>
      </c>
      <c r="M804" s="53" t="s">
        <v>66</v>
      </c>
      <c r="N804" s="52" t="str">
        <f ca="1">IF(INDIRECT("M804")="Clásica","14%",IF(INDIRECT("M804")="Premium","18%","-"))</f>
        <v>14%</v>
      </c>
      <c r="O804" s="53" t="s">
        <v>1455</v>
      </c>
    </row>
    <row r="805" spans="1:15" ht="49.95" customHeight="1">
      <c r="A805" s="52" t="s">
        <v>1982</v>
      </c>
      <c r="B805" s="52" t="s">
        <v>1983</v>
      </c>
      <c r="C805" s="52" t="s">
        <v>1984</v>
      </c>
      <c r="D805" s="52"/>
      <c r="E805" s="52" t="s">
        <v>1985</v>
      </c>
      <c r="F805" s="52" t="s">
        <v>1985</v>
      </c>
      <c r="G805" s="53">
        <v>0</v>
      </c>
      <c r="H805" s="52" t="s">
        <v>62</v>
      </c>
      <c r="I805" s="53">
        <v>49990</v>
      </c>
      <c r="J805" s="53" t="s">
        <v>63</v>
      </c>
      <c r="K805" s="53" t="s">
        <v>64</v>
      </c>
      <c r="L805" s="53" t="s">
        <v>65</v>
      </c>
      <c r="M805" s="53" t="s">
        <v>66</v>
      </c>
      <c r="N805" s="52" t="str">
        <f ca="1">IF(INDIRECT("M805")="Clásica","15%",IF(INDIRECT("M805")="Premium","19%","-"))</f>
        <v>15%</v>
      </c>
      <c r="O805" s="53" t="s">
        <v>1455</v>
      </c>
    </row>
    <row r="806" spans="1:15" ht="49.95" customHeight="1">
      <c r="A806" s="52" t="s">
        <v>1986</v>
      </c>
      <c r="B806" s="52" t="s">
        <v>1987</v>
      </c>
      <c r="C806" s="52" t="s">
        <v>1988</v>
      </c>
      <c r="D806" s="52"/>
      <c r="E806" s="52" t="s">
        <v>1989</v>
      </c>
      <c r="F806" s="52" t="s">
        <v>1989</v>
      </c>
      <c r="G806" s="53">
        <v>0</v>
      </c>
      <c r="H806" s="52" t="s">
        <v>62</v>
      </c>
      <c r="I806" s="53">
        <v>69990</v>
      </c>
      <c r="J806" s="53" t="s">
        <v>63</v>
      </c>
      <c r="K806" s="53" t="s">
        <v>64</v>
      </c>
      <c r="L806" s="53" t="s">
        <v>65</v>
      </c>
      <c r="M806" s="53" t="s">
        <v>66</v>
      </c>
      <c r="N806" s="52" t="str">
        <f ca="1">IF(INDIRECT("M806")="Clásica","15%",IF(INDIRECT("M806")="Premium","19%","-"))</f>
        <v>15%</v>
      </c>
      <c r="O806" s="53" t="s">
        <v>1455</v>
      </c>
    </row>
    <row r="807" spans="1:15" ht="49.95" customHeight="1">
      <c r="A807" s="52" t="s">
        <v>1990</v>
      </c>
      <c r="B807" s="52" t="s">
        <v>1991</v>
      </c>
      <c r="C807" s="52" t="s">
        <v>1992</v>
      </c>
      <c r="D807" s="52"/>
      <c r="E807" s="52" t="s">
        <v>1993</v>
      </c>
      <c r="F807" s="52" t="s">
        <v>1993</v>
      </c>
      <c r="G807" s="53">
        <v>0</v>
      </c>
      <c r="H807" s="52" t="s">
        <v>62</v>
      </c>
      <c r="I807" s="53">
        <v>69990</v>
      </c>
      <c r="J807" s="53" t="s">
        <v>63</v>
      </c>
      <c r="K807" s="53" t="s">
        <v>64</v>
      </c>
      <c r="L807" s="53" t="s">
        <v>65</v>
      </c>
      <c r="M807" s="53" t="s">
        <v>66</v>
      </c>
      <c r="N807" s="52" t="str">
        <f ca="1">IF(INDIRECT("M807")="Clásica","15%",IF(INDIRECT("M807")="Premium","19%","-"))</f>
        <v>15%</v>
      </c>
      <c r="O807" s="53" t="s">
        <v>1455</v>
      </c>
    </row>
    <row r="808" spans="1:15" ht="49.95" customHeight="1">
      <c r="A808" s="52" t="s">
        <v>1994</v>
      </c>
      <c r="B808" s="52" t="s">
        <v>1995</v>
      </c>
      <c r="C808" s="52" t="s">
        <v>1996</v>
      </c>
      <c r="D808" s="52"/>
      <c r="E808" s="52" t="s">
        <v>1997</v>
      </c>
      <c r="F808" s="52" t="s">
        <v>1997</v>
      </c>
      <c r="G808" s="53">
        <v>0</v>
      </c>
      <c r="H808" s="52" t="s">
        <v>62</v>
      </c>
      <c r="I808" s="53">
        <v>49990</v>
      </c>
      <c r="J808" s="53" t="s">
        <v>63</v>
      </c>
      <c r="K808" s="53" t="s">
        <v>64</v>
      </c>
      <c r="L808" s="53" t="s">
        <v>65</v>
      </c>
      <c r="M808" s="53" t="s">
        <v>66</v>
      </c>
      <c r="N808" s="52" t="str">
        <f ca="1">IF(INDIRECT("M808")="Clásica","15%",IF(INDIRECT("M808")="Premium","19%","-"))</f>
        <v>15%</v>
      </c>
      <c r="O808" s="53" t="s">
        <v>1455</v>
      </c>
    </row>
    <row r="809" spans="1:15" ht="49.95" customHeight="1">
      <c r="A809" s="52" t="s">
        <v>1998</v>
      </c>
      <c r="B809" s="52" t="s">
        <v>1999</v>
      </c>
      <c r="C809" s="52" t="s">
        <v>2000</v>
      </c>
      <c r="D809" s="52"/>
      <c r="E809" s="52" t="s">
        <v>2001</v>
      </c>
      <c r="F809" s="52" t="s">
        <v>86</v>
      </c>
      <c r="G809" s="53">
        <v>0</v>
      </c>
      <c r="H809" s="52" t="s">
        <v>62</v>
      </c>
      <c r="I809" s="53">
        <v>119990</v>
      </c>
      <c r="J809" s="53" t="s">
        <v>63</v>
      </c>
      <c r="K809" s="53" t="s">
        <v>64</v>
      </c>
      <c r="L809" s="53" t="s">
        <v>65</v>
      </c>
      <c r="M809" s="53" t="s">
        <v>66</v>
      </c>
      <c r="N809" s="52" t="str">
        <f ca="1">IF(INDIRECT("M809")="Clásica","14%",IF(INDIRECT("M809")="Premium","18%","-"))</f>
        <v>14%</v>
      </c>
      <c r="O809" s="53" t="s">
        <v>1455</v>
      </c>
    </row>
    <row r="810" spans="1:15" ht="49.95" customHeight="1">
      <c r="A810" s="52" t="s">
        <v>24</v>
      </c>
      <c r="B810" s="52" t="s">
        <v>2002</v>
      </c>
      <c r="C810" s="52"/>
      <c r="D810" s="52"/>
      <c r="E810" s="52" t="s">
        <v>2003</v>
      </c>
      <c r="F810" s="52" t="s">
        <v>62</v>
      </c>
      <c r="G810" s="52" t="s">
        <v>1473</v>
      </c>
      <c r="H810" s="52" t="s">
        <v>62</v>
      </c>
      <c r="I810" s="53">
        <v>84990</v>
      </c>
      <c r="J810" s="53" t="s">
        <v>63</v>
      </c>
      <c r="K810" s="53" t="s">
        <v>64</v>
      </c>
      <c r="L810" s="53" t="s">
        <v>65</v>
      </c>
      <c r="M810" s="53" t="s">
        <v>66</v>
      </c>
      <c r="N810" s="52" t="str">
        <f ca="1">IF(INDIRECT("M810")="Clásica","15%",IF(INDIRECT("M810")="Premium","19%","-"))</f>
        <v>15%</v>
      </c>
      <c r="O810" s="53" t="s">
        <v>1455</v>
      </c>
    </row>
    <row r="811" spans="1:15" ht="49.95" customHeight="1">
      <c r="A811" s="52" t="s">
        <v>24</v>
      </c>
      <c r="B811" s="52" t="s">
        <v>2002</v>
      </c>
      <c r="C811" s="52" t="s">
        <v>2004</v>
      </c>
      <c r="D811" s="52" t="s">
        <v>2004</v>
      </c>
      <c r="E811" s="54" t="str">
        <f>"     "&amp;E810</f>
        <v xml:space="preserve">     Foco Luz Freno + Soporte Patente Elimina Cola Honda Crf250l</v>
      </c>
      <c r="F811" s="52" t="s">
        <v>73</v>
      </c>
      <c r="G811" s="53">
        <v>0</v>
      </c>
      <c r="H811" s="52" t="s">
        <v>62</v>
      </c>
      <c r="I811" s="52">
        <f>I810</f>
        <v>84990</v>
      </c>
      <c r="J811" s="52" t="str">
        <f>J810&amp;"     "</f>
        <v xml:space="preserve">$     </v>
      </c>
      <c r="K811" s="52" t="str">
        <f>K810&amp;"     "</f>
        <v xml:space="preserve">Nuevo     </v>
      </c>
      <c r="L811" s="52" t="str">
        <f>L810&amp;"     "</f>
        <v xml:space="preserve">Mercado Envíos gratis     </v>
      </c>
      <c r="M811" s="52" t="str">
        <f>M810&amp;"     "</f>
        <v xml:space="preserve">Clásica     </v>
      </c>
      <c r="N811" s="52" t="str">
        <f ca="1">N810</f>
        <v>15%</v>
      </c>
      <c r="O811" s="52" t="str">
        <f>O810&amp;"     "</f>
        <v xml:space="preserve">Inactiva     </v>
      </c>
    </row>
    <row r="812" spans="1:15" ht="49.95" customHeight="1">
      <c r="A812" s="52" t="s">
        <v>24</v>
      </c>
      <c r="B812" s="52" t="s">
        <v>2002</v>
      </c>
      <c r="C812" s="52" t="s">
        <v>2005</v>
      </c>
      <c r="D812" s="52" t="s">
        <v>2005</v>
      </c>
      <c r="E812" s="54" t="str">
        <f>"     "&amp;E810</f>
        <v xml:space="preserve">     Foco Luz Freno + Soporte Patente Elimina Cola Honda Crf250l</v>
      </c>
      <c r="F812" s="52" t="s">
        <v>90</v>
      </c>
      <c r="G812" s="53">
        <v>0</v>
      </c>
      <c r="H812" s="52" t="s">
        <v>62</v>
      </c>
      <c r="I812" s="52">
        <f>I810</f>
        <v>84990</v>
      </c>
      <c r="J812" s="52" t="str">
        <f>J810&amp;"     "</f>
        <v xml:space="preserve">$     </v>
      </c>
      <c r="K812" s="52" t="str">
        <f>K810&amp;"     "</f>
        <v xml:space="preserve">Nuevo     </v>
      </c>
      <c r="L812" s="52" t="str">
        <f>L810&amp;"     "</f>
        <v xml:space="preserve">Mercado Envíos gratis     </v>
      </c>
      <c r="M812" s="52" t="str">
        <f>M810&amp;"     "</f>
        <v xml:space="preserve">Clásica     </v>
      </c>
      <c r="N812" s="52" t="str">
        <f ca="1">N810</f>
        <v>15%</v>
      </c>
      <c r="O812" s="52" t="str">
        <f>O810&amp;"     "</f>
        <v xml:space="preserve">Inactiva     </v>
      </c>
    </row>
    <row r="813" spans="1:15" ht="49.95" customHeight="1">
      <c r="A813" s="52" t="s">
        <v>24</v>
      </c>
      <c r="B813" s="52" t="s">
        <v>2002</v>
      </c>
      <c r="C813" s="52" t="s">
        <v>2006</v>
      </c>
      <c r="D813" s="52" t="s">
        <v>2006</v>
      </c>
      <c r="E813" s="54" t="str">
        <f>"     "&amp;E810</f>
        <v xml:space="preserve">     Foco Luz Freno + Soporte Patente Elimina Cola Honda Crf250l</v>
      </c>
      <c r="F813" s="52" t="s">
        <v>2007</v>
      </c>
      <c r="G813" s="53">
        <v>0</v>
      </c>
      <c r="H813" s="52" t="s">
        <v>62</v>
      </c>
      <c r="I813" s="52">
        <f>I810</f>
        <v>84990</v>
      </c>
      <c r="J813" s="52" t="str">
        <f>J810&amp;"     "</f>
        <v xml:space="preserve">$     </v>
      </c>
      <c r="K813" s="52" t="str">
        <f>K810&amp;"     "</f>
        <v xml:space="preserve">Nuevo     </v>
      </c>
      <c r="L813" s="52" t="str">
        <f>L810&amp;"     "</f>
        <v xml:space="preserve">Mercado Envíos gratis     </v>
      </c>
      <c r="M813" s="52" t="str">
        <f>M810&amp;"     "</f>
        <v xml:space="preserve">Clásica     </v>
      </c>
      <c r="N813" s="52" t="str">
        <f ca="1">N810</f>
        <v>15%</v>
      </c>
      <c r="O813" s="52" t="str">
        <f>O810&amp;"     "</f>
        <v xml:space="preserve">Inactiva     </v>
      </c>
    </row>
    <row r="814" spans="1:15" ht="49.95" customHeight="1">
      <c r="A814" s="52" t="s">
        <v>2008</v>
      </c>
      <c r="B814" s="52" t="s">
        <v>2009</v>
      </c>
      <c r="C814" s="52" t="s">
        <v>2010</v>
      </c>
      <c r="D814" s="52"/>
      <c r="E814" s="52" t="s">
        <v>2011</v>
      </c>
      <c r="F814" s="52" t="s">
        <v>86</v>
      </c>
      <c r="G814" s="53">
        <v>0</v>
      </c>
      <c r="H814" s="52" t="s">
        <v>62</v>
      </c>
      <c r="I814" s="53">
        <v>49990</v>
      </c>
      <c r="J814" s="53" t="s">
        <v>63</v>
      </c>
      <c r="K814" s="53" t="s">
        <v>64</v>
      </c>
      <c r="L814" s="53" t="s">
        <v>65</v>
      </c>
      <c r="M814" s="53" t="s">
        <v>66</v>
      </c>
      <c r="N814" s="52" t="str">
        <f ca="1">IF(INDIRECT("M814")="Clásica","14%",IF(INDIRECT("M814")="Premium","18%","-"))</f>
        <v>14%</v>
      </c>
      <c r="O814" s="53" t="s">
        <v>1455</v>
      </c>
    </row>
    <row r="815" spans="1:15" ht="49.95" customHeight="1">
      <c r="A815" s="52" t="s">
        <v>2012</v>
      </c>
      <c r="B815" s="52" t="s">
        <v>2013</v>
      </c>
      <c r="C815" s="52" t="s">
        <v>2014</v>
      </c>
      <c r="D815" s="52"/>
      <c r="E815" s="52" t="s">
        <v>2015</v>
      </c>
      <c r="F815" s="52" t="s">
        <v>86</v>
      </c>
      <c r="G815" s="53">
        <v>0</v>
      </c>
      <c r="H815" s="52" t="s">
        <v>62</v>
      </c>
      <c r="I815" s="53">
        <v>34990</v>
      </c>
      <c r="J815" s="53" t="s">
        <v>63</v>
      </c>
      <c r="K815" s="53" t="s">
        <v>64</v>
      </c>
      <c r="L815" s="53" t="s">
        <v>65</v>
      </c>
      <c r="M815" s="53" t="s">
        <v>66</v>
      </c>
      <c r="N815" s="52" t="str">
        <f ca="1">IF(INDIRECT("M815")="Clásica","14%",IF(INDIRECT("M815")="Premium","18%","-"))</f>
        <v>14%</v>
      </c>
      <c r="O815" s="53" t="s">
        <v>1455</v>
      </c>
    </row>
    <row r="816" spans="1:15" ht="49.95" customHeight="1">
      <c r="A816" s="52" t="s">
        <v>24</v>
      </c>
      <c r="B816" s="52" t="s">
        <v>2016</v>
      </c>
      <c r="C816" s="52"/>
      <c r="D816" s="52"/>
      <c r="E816" s="52" t="s">
        <v>2017</v>
      </c>
      <c r="F816" s="52" t="s">
        <v>62</v>
      </c>
      <c r="G816" s="52" t="s">
        <v>1473</v>
      </c>
      <c r="H816" s="52" t="s">
        <v>62</v>
      </c>
      <c r="I816" s="53">
        <v>19490</v>
      </c>
      <c r="J816" s="53" t="s">
        <v>63</v>
      </c>
      <c r="K816" s="53" t="s">
        <v>64</v>
      </c>
      <c r="L816" s="53" t="s">
        <v>71</v>
      </c>
      <c r="M816" s="53" t="s">
        <v>66</v>
      </c>
      <c r="N816" s="52" t="str">
        <f ca="1">IF(INDIRECT("M816")="Clásica","14%",IF(INDIRECT("M816")="Premium","18%","-"))</f>
        <v>14%</v>
      </c>
      <c r="O816" s="53" t="s">
        <v>1455</v>
      </c>
    </row>
    <row r="817" spans="1:15" ht="49.95" customHeight="1">
      <c r="A817" s="52" t="s">
        <v>24</v>
      </c>
      <c r="B817" s="52" t="s">
        <v>2016</v>
      </c>
      <c r="C817" s="52" t="s">
        <v>2018</v>
      </c>
      <c r="D817" s="52" t="s">
        <v>2018</v>
      </c>
      <c r="E817" s="54" t="str">
        <f>"     "&amp;E816</f>
        <v xml:space="preserve">     Protector Manillas Palancas Manillar Yamaha Yzf R3 R3a Logo</v>
      </c>
      <c r="F817" s="52" t="s">
        <v>88</v>
      </c>
      <c r="G817" s="53">
        <v>0</v>
      </c>
      <c r="H817" s="52" t="s">
        <v>62</v>
      </c>
      <c r="I817" s="52">
        <f>I816</f>
        <v>19490</v>
      </c>
      <c r="J817" s="52" t="str">
        <f>J816&amp;"     "</f>
        <v xml:space="preserve">$     </v>
      </c>
      <c r="K817" s="52" t="str">
        <f>K816&amp;"     "</f>
        <v xml:space="preserve">Nuevo     </v>
      </c>
      <c r="L817" s="52" t="str">
        <f>L816&amp;"     "</f>
        <v xml:space="preserve">Mercado Envíos a cargo del comprador     </v>
      </c>
      <c r="M817" s="52" t="str">
        <f>M816&amp;"     "</f>
        <v xml:space="preserve">Clásica     </v>
      </c>
      <c r="N817" s="52" t="str">
        <f ca="1">N816</f>
        <v>14%</v>
      </c>
      <c r="O817" s="52" t="str">
        <f>O816&amp;"     "</f>
        <v xml:space="preserve">Inactiva     </v>
      </c>
    </row>
    <row r="818" spans="1:15" ht="49.95" customHeight="1">
      <c r="A818" s="52" t="s">
        <v>24</v>
      </c>
      <c r="B818" s="52" t="s">
        <v>2016</v>
      </c>
      <c r="C818" s="52" t="s">
        <v>2019</v>
      </c>
      <c r="D818" s="52" t="s">
        <v>2019</v>
      </c>
      <c r="E818" s="54" t="str">
        <f>"     "&amp;E816</f>
        <v xml:space="preserve">     Protector Manillas Palancas Manillar Yamaha Yzf R3 R3a Logo</v>
      </c>
      <c r="F818" s="52" t="s">
        <v>84</v>
      </c>
      <c r="G818" s="53">
        <v>0</v>
      </c>
      <c r="H818" s="52" t="s">
        <v>62</v>
      </c>
      <c r="I818" s="52">
        <f>I816</f>
        <v>19490</v>
      </c>
      <c r="J818" s="52" t="str">
        <f>J816&amp;"     "</f>
        <v xml:space="preserve">$     </v>
      </c>
      <c r="K818" s="52" t="str">
        <f>K816&amp;"     "</f>
        <v xml:space="preserve">Nuevo     </v>
      </c>
      <c r="L818" s="52" t="str">
        <f>L816&amp;"     "</f>
        <v xml:space="preserve">Mercado Envíos a cargo del comprador     </v>
      </c>
      <c r="M818" s="52" t="str">
        <f>M816&amp;"     "</f>
        <v xml:space="preserve">Clásica     </v>
      </c>
      <c r="N818" s="52" t="str">
        <f ca="1">N816</f>
        <v>14%</v>
      </c>
      <c r="O818" s="52" t="str">
        <f>O816&amp;"     "</f>
        <v xml:space="preserve">Inactiva     </v>
      </c>
    </row>
    <row r="819" spans="1:15" ht="49.95" customHeight="1">
      <c r="A819" s="52" t="s">
        <v>2020</v>
      </c>
      <c r="B819" s="52" t="s">
        <v>2021</v>
      </c>
      <c r="C819" s="52" t="s">
        <v>2022</v>
      </c>
      <c r="D819" s="52"/>
      <c r="E819" s="52" t="s">
        <v>2023</v>
      </c>
      <c r="F819" s="52" t="s">
        <v>86</v>
      </c>
      <c r="G819" s="53">
        <v>0</v>
      </c>
      <c r="H819" s="52" t="s">
        <v>62</v>
      </c>
      <c r="I819" s="53">
        <v>79990</v>
      </c>
      <c r="J819" s="53" t="s">
        <v>63</v>
      </c>
      <c r="K819" s="53" t="s">
        <v>64</v>
      </c>
      <c r="L819" s="53" t="s">
        <v>65</v>
      </c>
      <c r="M819" s="53" t="s">
        <v>66</v>
      </c>
      <c r="N819" s="52" t="str">
        <f ca="1">IF(INDIRECT("M819")="Clásica","14%",IF(INDIRECT("M819")="Premium","18%","-"))</f>
        <v>14%</v>
      </c>
      <c r="O819" s="53" t="s">
        <v>1455</v>
      </c>
    </row>
    <row r="820" spans="1:15" ht="49.95" customHeight="1">
      <c r="A820" s="52" t="s">
        <v>2024</v>
      </c>
      <c r="B820" s="52" t="s">
        <v>2025</v>
      </c>
      <c r="C820" s="52" t="s">
        <v>2026</v>
      </c>
      <c r="D820" s="52"/>
      <c r="E820" s="52" t="s">
        <v>2027</v>
      </c>
      <c r="F820" s="52" t="s">
        <v>2027</v>
      </c>
      <c r="G820" s="53">
        <v>0</v>
      </c>
      <c r="H820" s="52" t="s">
        <v>62</v>
      </c>
      <c r="I820" s="53">
        <v>79990</v>
      </c>
      <c r="J820" s="53" t="s">
        <v>63</v>
      </c>
      <c r="K820" s="53" t="s">
        <v>64</v>
      </c>
      <c r="L820" s="53" t="s">
        <v>65</v>
      </c>
      <c r="M820" s="53" t="s">
        <v>66</v>
      </c>
      <c r="N820" s="52" t="str">
        <f ca="1">IF(INDIRECT("M820")="Clásica","14%",IF(INDIRECT("M820")="Premium","18%","-"))</f>
        <v>14%</v>
      </c>
      <c r="O820" s="53" t="s">
        <v>1455</v>
      </c>
    </row>
    <row r="821" spans="1:15" ht="49.95" customHeight="1">
      <c r="A821" s="52" t="s">
        <v>2028</v>
      </c>
      <c r="B821" s="52" t="s">
        <v>2029</v>
      </c>
      <c r="C821" s="52" t="s">
        <v>2030</v>
      </c>
      <c r="D821" s="52"/>
      <c r="E821" s="52" t="s">
        <v>2031</v>
      </c>
      <c r="F821" s="52" t="s">
        <v>2031</v>
      </c>
      <c r="G821" s="53">
        <v>0</v>
      </c>
      <c r="H821" s="52" t="s">
        <v>62</v>
      </c>
      <c r="I821" s="53">
        <v>34990</v>
      </c>
      <c r="J821" s="53" t="s">
        <v>63</v>
      </c>
      <c r="K821" s="53" t="s">
        <v>64</v>
      </c>
      <c r="L821" s="53" t="s">
        <v>65</v>
      </c>
      <c r="M821" s="53" t="s">
        <v>66</v>
      </c>
      <c r="N821" s="52" t="str">
        <f ca="1">IF(INDIRECT("M821")="Clásica","14%",IF(INDIRECT("M821")="Premium","18%","-"))</f>
        <v>14%</v>
      </c>
      <c r="O821" s="53" t="s">
        <v>1455</v>
      </c>
    </row>
    <row r="822" spans="1:15" ht="49.95" customHeight="1">
      <c r="A822" s="52" t="s">
        <v>24</v>
      </c>
      <c r="B822" s="52" t="s">
        <v>2032</v>
      </c>
      <c r="C822" s="52"/>
      <c r="D822" s="52"/>
      <c r="E822" s="52" t="s">
        <v>2033</v>
      </c>
      <c r="F822" s="52" t="s">
        <v>62</v>
      </c>
      <c r="G822" s="52" t="s">
        <v>1473</v>
      </c>
      <c r="H822" s="52" t="s">
        <v>62</v>
      </c>
      <c r="I822" s="53">
        <v>41990</v>
      </c>
      <c r="J822" s="53" t="s">
        <v>63</v>
      </c>
      <c r="K822" s="53" t="s">
        <v>64</v>
      </c>
      <c r="L822" s="53" t="s">
        <v>65</v>
      </c>
      <c r="M822" s="53" t="s">
        <v>66</v>
      </c>
      <c r="N822" s="52" t="str">
        <f ca="1">IF(INDIRECT("M822")="Clásica","14%",IF(INDIRECT("M822")="Premium","18%","-"))</f>
        <v>14%</v>
      </c>
      <c r="O822" s="53" t="s">
        <v>1455</v>
      </c>
    </row>
    <row r="823" spans="1:15" ht="49.95" customHeight="1">
      <c r="A823" s="52" t="s">
        <v>24</v>
      </c>
      <c r="B823" s="52" t="s">
        <v>2032</v>
      </c>
      <c r="C823" s="52" t="s">
        <v>2034</v>
      </c>
      <c r="D823" s="52" t="s">
        <v>2034</v>
      </c>
      <c r="E823" s="54" t="str">
        <f>"     "&amp;E822</f>
        <v xml:space="preserve">     Manillas Manillares Palancas Yamaha Mt03 Mt03a R3 R3a S/logo</v>
      </c>
      <c r="F823" s="52" t="s">
        <v>86</v>
      </c>
      <c r="G823" s="53">
        <v>0</v>
      </c>
      <c r="H823" s="52" t="s">
        <v>62</v>
      </c>
      <c r="I823" s="52">
        <f>I822</f>
        <v>41990</v>
      </c>
      <c r="J823" s="52" t="str">
        <f>J822&amp;"     "</f>
        <v xml:space="preserve">$     </v>
      </c>
      <c r="K823" s="52" t="str">
        <f>K822&amp;"     "</f>
        <v xml:space="preserve">Nuevo     </v>
      </c>
      <c r="L823" s="52" t="str">
        <f>L822&amp;"     "</f>
        <v xml:space="preserve">Mercado Envíos gratis     </v>
      </c>
      <c r="M823" s="52" t="str">
        <f>M822&amp;"     "</f>
        <v xml:space="preserve">Clásica     </v>
      </c>
      <c r="N823" s="52" t="str">
        <f ca="1">N822</f>
        <v>14%</v>
      </c>
      <c r="O823" s="52" t="str">
        <f>O822&amp;"     "</f>
        <v xml:space="preserve">Inactiva     </v>
      </c>
    </row>
    <row r="824" spans="1:15" ht="49.95" customHeight="1">
      <c r="A824" s="52" t="s">
        <v>24</v>
      </c>
      <c r="B824" s="52" t="s">
        <v>2032</v>
      </c>
      <c r="C824" s="52" t="s">
        <v>2035</v>
      </c>
      <c r="D824" s="52" t="s">
        <v>2035</v>
      </c>
      <c r="E824" s="54" t="str">
        <f>"     "&amp;E822</f>
        <v xml:space="preserve">     Manillas Manillares Palancas Yamaha Mt03 Mt03a R3 R3a S/logo</v>
      </c>
      <c r="F824" s="52" t="s">
        <v>84</v>
      </c>
      <c r="G824" s="53">
        <v>0</v>
      </c>
      <c r="H824" s="52" t="s">
        <v>62</v>
      </c>
      <c r="I824" s="52">
        <f>I822</f>
        <v>41990</v>
      </c>
      <c r="J824" s="52" t="str">
        <f>J822&amp;"     "</f>
        <v xml:space="preserve">$     </v>
      </c>
      <c r="K824" s="52" t="str">
        <f>K822&amp;"     "</f>
        <v xml:space="preserve">Nuevo     </v>
      </c>
      <c r="L824" s="52" t="str">
        <f>L822&amp;"     "</f>
        <v xml:space="preserve">Mercado Envíos gratis     </v>
      </c>
      <c r="M824" s="52" t="str">
        <f>M822&amp;"     "</f>
        <v xml:space="preserve">Clásica     </v>
      </c>
      <c r="N824" s="52" t="str">
        <f ca="1">N822</f>
        <v>14%</v>
      </c>
      <c r="O824" s="52" t="str">
        <f>O822&amp;"     "</f>
        <v xml:space="preserve">Inactiva     </v>
      </c>
    </row>
    <row r="825" spans="1:15" ht="49.95" customHeight="1">
      <c r="A825" s="52" t="s">
        <v>2036</v>
      </c>
      <c r="B825" s="52" t="s">
        <v>2037</v>
      </c>
      <c r="C825" s="52" t="s">
        <v>2038</v>
      </c>
      <c r="D825" s="52"/>
      <c r="E825" s="52" t="s">
        <v>2039</v>
      </c>
      <c r="F825" s="52" t="s">
        <v>2039</v>
      </c>
      <c r="G825" s="53">
        <v>0</v>
      </c>
      <c r="H825" s="52" t="s">
        <v>62</v>
      </c>
      <c r="I825" s="53">
        <v>59990</v>
      </c>
      <c r="J825" s="53" t="s">
        <v>63</v>
      </c>
      <c r="K825" s="53" t="s">
        <v>64</v>
      </c>
      <c r="L825" s="53" t="s">
        <v>65</v>
      </c>
      <c r="M825" s="53" t="s">
        <v>66</v>
      </c>
      <c r="N825" s="52" t="str">
        <f ca="1">IF(INDIRECT("M825")="Clásica","14%",IF(INDIRECT("M825")="Premium","18%","-"))</f>
        <v>14%</v>
      </c>
      <c r="O825" s="53" t="s">
        <v>1455</v>
      </c>
    </row>
    <row r="826" spans="1:15" ht="49.95" customHeight="1">
      <c r="A826" s="52" t="s">
        <v>2040</v>
      </c>
      <c r="B826" s="52" t="s">
        <v>2041</v>
      </c>
      <c r="C826" s="52" t="s">
        <v>2042</v>
      </c>
      <c r="D826" s="52"/>
      <c r="E826" s="52" t="s">
        <v>2043</v>
      </c>
      <c r="F826" s="52" t="s">
        <v>2043</v>
      </c>
      <c r="G826" s="53">
        <v>0</v>
      </c>
      <c r="H826" s="52" t="s">
        <v>62</v>
      </c>
      <c r="I826" s="53">
        <v>44990</v>
      </c>
      <c r="J826" s="53" t="s">
        <v>63</v>
      </c>
      <c r="K826" s="53" t="s">
        <v>64</v>
      </c>
      <c r="L826" s="53" t="s">
        <v>65</v>
      </c>
      <c r="M826" s="53" t="s">
        <v>66</v>
      </c>
      <c r="N826" s="52" t="str">
        <f ca="1">IF(INDIRECT("M826")="Clásica","14%",IF(INDIRECT("M826")="Premium","18%","-"))</f>
        <v>14%</v>
      </c>
      <c r="O826" s="53" t="s">
        <v>1455</v>
      </c>
    </row>
    <row r="827" spans="1:15" ht="49.95" customHeight="1">
      <c r="A827" s="52" t="s">
        <v>2044</v>
      </c>
      <c r="B827" s="52" t="s">
        <v>2045</v>
      </c>
      <c r="C827" s="52" t="s">
        <v>2046</v>
      </c>
      <c r="D827" s="52"/>
      <c r="E827" s="52" t="s">
        <v>2047</v>
      </c>
      <c r="F827" s="52" t="s">
        <v>88</v>
      </c>
      <c r="G827" s="53">
        <v>0</v>
      </c>
      <c r="H827" s="52" t="s">
        <v>62</v>
      </c>
      <c r="I827" s="53">
        <v>186990</v>
      </c>
      <c r="J827" s="53" t="s">
        <v>63</v>
      </c>
      <c r="K827" s="53" t="s">
        <v>64</v>
      </c>
      <c r="L827" s="53" t="s">
        <v>65</v>
      </c>
      <c r="M827" s="53" t="s">
        <v>66</v>
      </c>
      <c r="N827" s="52" t="str">
        <f ca="1">IF(INDIRECT("M827")="Clásica","14%",IF(INDIRECT("M827")="Premium","18%","-"))</f>
        <v>14%</v>
      </c>
      <c r="O827" s="53" t="s">
        <v>1455</v>
      </c>
    </row>
    <row r="828" spans="1:15" ht="49.95" customHeight="1">
      <c r="A828" s="52" t="s">
        <v>2048</v>
      </c>
      <c r="B828" s="52" t="s">
        <v>2049</v>
      </c>
      <c r="C828" s="52" t="s">
        <v>2050</v>
      </c>
      <c r="D828" s="52"/>
      <c r="E828" s="52" t="s">
        <v>2051</v>
      </c>
      <c r="F828" s="52" t="s">
        <v>2051</v>
      </c>
      <c r="G828" s="53">
        <v>0</v>
      </c>
      <c r="H828" s="52" t="s">
        <v>62</v>
      </c>
      <c r="I828" s="53">
        <v>59990</v>
      </c>
      <c r="J828" s="53" t="s">
        <v>63</v>
      </c>
      <c r="K828" s="53" t="s">
        <v>64</v>
      </c>
      <c r="L828" s="53" t="s">
        <v>65</v>
      </c>
      <c r="M828" s="53" t="s">
        <v>66</v>
      </c>
      <c r="N828" s="52" t="str">
        <f ca="1">IF(INDIRECT("M828")="Clásica","15%",IF(INDIRECT("M828")="Premium","19%","-"))</f>
        <v>15%</v>
      </c>
      <c r="O828" s="53" t="s">
        <v>1455</v>
      </c>
    </row>
    <row r="829" spans="1:15" ht="49.95" customHeight="1">
      <c r="A829" s="52" t="s">
        <v>2052</v>
      </c>
      <c r="B829" s="52" t="s">
        <v>2053</v>
      </c>
      <c r="C829" s="52" t="s">
        <v>2054</v>
      </c>
      <c r="D829" s="52"/>
      <c r="E829" s="52" t="s">
        <v>2055</v>
      </c>
      <c r="F829" s="52" t="s">
        <v>2055</v>
      </c>
      <c r="G829" s="53">
        <v>0</v>
      </c>
      <c r="H829" s="52" t="s">
        <v>62</v>
      </c>
      <c r="I829" s="53">
        <v>64990</v>
      </c>
      <c r="J829" s="53" t="s">
        <v>63</v>
      </c>
      <c r="K829" s="53" t="s">
        <v>64</v>
      </c>
      <c r="L829" s="53" t="s">
        <v>65</v>
      </c>
      <c r="M829" s="53" t="s">
        <v>66</v>
      </c>
      <c r="N829" s="52" t="str">
        <f ca="1">IF(INDIRECT("M829")="Clásica","14%",IF(INDIRECT("M829")="Premium","18%","-"))</f>
        <v>14%</v>
      </c>
      <c r="O829" s="53" t="s">
        <v>1455</v>
      </c>
    </row>
    <row r="830" spans="1:15" ht="49.95" customHeight="1">
      <c r="A830" s="52" t="s">
        <v>2056</v>
      </c>
      <c r="B830" s="52" t="s">
        <v>2057</v>
      </c>
      <c r="C830" s="52" t="s">
        <v>2058</v>
      </c>
      <c r="D830" s="52"/>
      <c r="E830" s="52" t="s">
        <v>2059</v>
      </c>
      <c r="F830" s="52" t="s">
        <v>2059</v>
      </c>
      <c r="G830" s="53">
        <v>0</v>
      </c>
      <c r="H830" s="52" t="s">
        <v>62</v>
      </c>
      <c r="I830" s="53">
        <v>109990</v>
      </c>
      <c r="J830" s="53" t="s">
        <v>63</v>
      </c>
      <c r="K830" s="53" t="s">
        <v>64</v>
      </c>
      <c r="L830" s="53" t="s">
        <v>65</v>
      </c>
      <c r="M830" s="53" t="s">
        <v>66</v>
      </c>
      <c r="N830" s="52" t="str">
        <f ca="1">IF(INDIRECT("M830")="Clásica","14%",IF(INDIRECT("M830")="Premium","18%","-"))</f>
        <v>14%</v>
      </c>
      <c r="O830" s="53" t="s">
        <v>1455</v>
      </c>
    </row>
    <row r="831" spans="1:15" ht="49.95" customHeight="1">
      <c r="A831" s="52" t="s">
        <v>2060</v>
      </c>
      <c r="B831" s="52" t="s">
        <v>2061</v>
      </c>
      <c r="C831" s="52" t="s">
        <v>2062</v>
      </c>
      <c r="D831" s="52"/>
      <c r="E831" s="52" t="s">
        <v>2063</v>
      </c>
      <c r="F831" s="52" t="s">
        <v>2063</v>
      </c>
      <c r="G831" s="53">
        <v>0</v>
      </c>
      <c r="H831" s="52" t="s">
        <v>62</v>
      </c>
      <c r="I831" s="53">
        <v>24990</v>
      </c>
      <c r="J831" s="53" t="s">
        <v>63</v>
      </c>
      <c r="K831" s="53" t="s">
        <v>64</v>
      </c>
      <c r="L831" s="53" t="s">
        <v>65</v>
      </c>
      <c r="M831" s="53" t="s">
        <v>66</v>
      </c>
      <c r="N831" s="52" t="str">
        <f ca="1">IF(INDIRECT("M831")="Clásica","15%",IF(INDIRECT("M831")="Premium","19%","-"))</f>
        <v>15%</v>
      </c>
      <c r="O831" s="53" t="s">
        <v>1455</v>
      </c>
    </row>
    <row r="832" spans="1:15" ht="49.95" customHeight="1">
      <c r="A832" s="52" t="s">
        <v>24</v>
      </c>
      <c r="B832" s="52" t="s">
        <v>2064</v>
      </c>
      <c r="C832" s="52"/>
      <c r="D832" s="52"/>
      <c r="E832" s="52" t="s">
        <v>2065</v>
      </c>
      <c r="F832" s="52" t="s">
        <v>62</v>
      </c>
      <c r="G832" s="52" t="s">
        <v>1473</v>
      </c>
      <c r="H832" s="52" t="s">
        <v>62</v>
      </c>
      <c r="I832" s="53">
        <v>149990</v>
      </c>
      <c r="J832" s="53" t="s">
        <v>63</v>
      </c>
      <c r="K832" s="53" t="s">
        <v>64</v>
      </c>
      <c r="L832" s="53" t="s">
        <v>65</v>
      </c>
      <c r="M832" s="53" t="s">
        <v>66</v>
      </c>
      <c r="N832" s="52" t="str">
        <f ca="1">IF(INDIRECT("M832")="Clásica","14%",IF(INDIRECT("M832")="Premium","18%","-"))</f>
        <v>14%</v>
      </c>
      <c r="O832" s="53" t="s">
        <v>1455</v>
      </c>
    </row>
    <row r="833" spans="1:15" ht="49.95" customHeight="1">
      <c r="A833" s="52" t="s">
        <v>24</v>
      </c>
      <c r="B833" s="52" t="s">
        <v>2064</v>
      </c>
      <c r="C833" s="52" t="s">
        <v>2066</v>
      </c>
      <c r="D833" s="52" t="s">
        <v>2066</v>
      </c>
      <c r="E833" s="54" t="str">
        <f>"     "&amp;E832</f>
        <v xml:space="preserve">     Maleta Top Case Aluminio Moto 45 L Negro/gris X-series.</v>
      </c>
      <c r="F833" s="52" t="s">
        <v>97</v>
      </c>
      <c r="G833" s="53">
        <v>0</v>
      </c>
      <c r="H833" s="52" t="s">
        <v>62</v>
      </c>
      <c r="I833" s="52">
        <f>I832</f>
        <v>149990</v>
      </c>
      <c r="J833" s="52" t="str">
        <f>J832&amp;"     "</f>
        <v xml:space="preserve">$     </v>
      </c>
      <c r="K833" s="52" t="str">
        <f>K832&amp;"     "</f>
        <v xml:space="preserve">Nuevo     </v>
      </c>
      <c r="L833" s="52" t="str">
        <f>L832&amp;"     "</f>
        <v xml:space="preserve">Mercado Envíos gratis     </v>
      </c>
      <c r="M833" s="52" t="str">
        <f>M832&amp;"     "</f>
        <v xml:space="preserve">Clásica     </v>
      </c>
      <c r="N833" s="52" t="str">
        <f ca="1">N832</f>
        <v>14%</v>
      </c>
      <c r="O833" s="52" t="str">
        <f>O832&amp;"     "</f>
        <v xml:space="preserve">Inactiva     </v>
      </c>
    </row>
    <row r="834" spans="1:15" ht="49.95" customHeight="1">
      <c r="A834" s="52" t="s">
        <v>24</v>
      </c>
      <c r="B834" s="52" t="s">
        <v>2064</v>
      </c>
      <c r="C834" s="52" t="s">
        <v>2067</v>
      </c>
      <c r="D834" s="52" t="s">
        <v>2067</v>
      </c>
      <c r="E834" s="54" t="str">
        <f>"     "&amp;E832</f>
        <v xml:space="preserve">     Maleta Top Case Aluminio Moto 45 L Negro/gris X-series.</v>
      </c>
      <c r="F834" s="52" t="s">
        <v>86</v>
      </c>
      <c r="G834" s="53">
        <v>0</v>
      </c>
      <c r="H834" s="52" t="s">
        <v>62</v>
      </c>
      <c r="I834" s="52">
        <f>I832</f>
        <v>149990</v>
      </c>
      <c r="J834" s="52" t="str">
        <f>J832&amp;"     "</f>
        <v xml:space="preserve">$     </v>
      </c>
      <c r="K834" s="52" t="str">
        <f>K832&amp;"     "</f>
        <v xml:space="preserve">Nuevo     </v>
      </c>
      <c r="L834" s="52" t="str">
        <f>L832&amp;"     "</f>
        <v xml:space="preserve">Mercado Envíos gratis     </v>
      </c>
      <c r="M834" s="52" t="str">
        <f>M832&amp;"     "</f>
        <v xml:space="preserve">Clásica     </v>
      </c>
      <c r="N834" s="52" t="str">
        <f ca="1">N832</f>
        <v>14%</v>
      </c>
      <c r="O834" s="52" t="str">
        <f>O832&amp;"     "</f>
        <v xml:space="preserve">Inactiva     </v>
      </c>
    </row>
    <row r="835" spans="1:15" ht="49.95" customHeight="1">
      <c r="A835" s="52" t="s">
        <v>24</v>
      </c>
      <c r="B835" s="52" t="s">
        <v>2068</v>
      </c>
      <c r="C835" s="52"/>
      <c r="D835" s="52"/>
      <c r="E835" s="52" t="s">
        <v>2069</v>
      </c>
      <c r="F835" s="52" t="s">
        <v>62</v>
      </c>
      <c r="G835" s="52" t="s">
        <v>1473</v>
      </c>
      <c r="H835" s="52" t="s">
        <v>62</v>
      </c>
      <c r="I835" s="53">
        <v>159990</v>
      </c>
      <c r="J835" s="53" t="s">
        <v>63</v>
      </c>
      <c r="K835" s="53" t="s">
        <v>64</v>
      </c>
      <c r="L835" s="53" t="s">
        <v>65</v>
      </c>
      <c r="M835" s="53" t="s">
        <v>66</v>
      </c>
      <c r="N835" s="52" t="str">
        <f ca="1">IF(INDIRECT("M835")="Clásica","14%",IF(INDIRECT("M835")="Premium","18%","-"))</f>
        <v>14%</v>
      </c>
      <c r="O835" s="53" t="s">
        <v>1455</v>
      </c>
    </row>
    <row r="836" spans="1:15" ht="49.95" customHeight="1">
      <c r="A836" s="52" t="s">
        <v>24</v>
      </c>
      <c r="B836" s="52" t="s">
        <v>2068</v>
      </c>
      <c r="C836" s="52" t="s">
        <v>2070</v>
      </c>
      <c r="D836" s="52" t="s">
        <v>2070</v>
      </c>
      <c r="E836" s="54" t="str">
        <f>"     "&amp;E835</f>
        <v xml:space="preserve">     Maleta Top Case Aluminio Moto 55 L Negro/gris X-series.</v>
      </c>
      <c r="F836" s="52" t="s">
        <v>86</v>
      </c>
      <c r="G836" s="53">
        <v>0</v>
      </c>
      <c r="H836" s="52" t="s">
        <v>62</v>
      </c>
      <c r="I836" s="52">
        <f>I835</f>
        <v>159990</v>
      </c>
      <c r="J836" s="52" t="str">
        <f>J835&amp;"     "</f>
        <v xml:space="preserve">$     </v>
      </c>
      <c r="K836" s="52" t="str">
        <f>K835&amp;"     "</f>
        <v xml:space="preserve">Nuevo     </v>
      </c>
      <c r="L836" s="52" t="str">
        <f>L835&amp;"     "</f>
        <v xml:space="preserve">Mercado Envíos gratis     </v>
      </c>
      <c r="M836" s="52" t="str">
        <f>M835&amp;"     "</f>
        <v xml:space="preserve">Clásica     </v>
      </c>
      <c r="N836" s="52" t="str">
        <f ca="1">N835</f>
        <v>14%</v>
      </c>
      <c r="O836" s="52" t="str">
        <f>O835&amp;"     "</f>
        <v xml:space="preserve">Inactiva     </v>
      </c>
    </row>
    <row r="837" spans="1:15" ht="49.95" customHeight="1">
      <c r="A837" s="52" t="s">
        <v>24</v>
      </c>
      <c r="B837" s="52" t="s">
        <v>2068</v>
      </c>
      <c r="C837" s="52" t="s">
        <v>2071</v>
      </c>
      <c r="D837" s="52" t="s">
        <v>2071</v>
      </c>
      <c r="E837" s="54" t="str">
        <f>"     "&amp;E835</f>
        <v xml:space="preserve">     Maleta Top Case Aluminio Moto 55 L Negro/gris X-series.</v>
      </c>
      <c r="F837" s="52" t="s">
        <v>97</v>
      </c>
      <c r="G837" s="53">
        <v>0</v>
      </c>
      <c r="H837" s="52" t="s">
        <v>62</v>
      </c>
      <c r="I837" s="52">
        <f>I835</f>
        <v>159990</v>
      </c>
      <c r="J837" s="52" t="str">
        <f>J835&amp;"     "</f>
        <v xml:space="preserve">$     </v>
      </c>
      <c r="K837" s="52" t="str">
        <f>K835&amp;"     "</f>
        <v xml:space="preserve">Nuevo     </v>
      </c>
      <c r="L837" s="52" t="str">
        <f>L835&amp;"     "</f>
        <v xml:space="preserve">Mercado Envíos gratis     </v>
      </c>
      <c r="M837" s="52" t="str">
        <f>M835&amp;"     "</f>
        <v xml:space="preserve">Clásica     </v>
      </c>
      <c r="N837" s="52" t="str">
        <f ca="1">N835</f>
        <v>14%</v>
      </c>
      <c r="O837" s="52" t="str">
        <f>O835&amp;"     "</f>
        <v xml:space="preserve">Inactiva     </v>
      </c>
    </row>
    <row r="838" spans="1:15" ht="49.95" customHeight="1">
      <c r="A838" s="52" t="s">
        <v>24</v>
      </c>
      <c r="B838" s="52" t="s">
        <v>2072</v>
      </c>
      <c r="C838" s="52"/>
      <c r="D838" s="52"/>
      <c r="E838" s="52" t="s">
        <v>2073</v>
      </c>
      <c r="F838" s="52" t="s">
        <v>62</v>
      </c>
      <c r="G838" s="52" t="s">
        <v>1473</v>
      </c>
      <c r="H838" s="52" t="s">
        <v>62</v>
      </c>
      <c r="I838" s="53">
        <v>24990</v>
      </c>
      <c r="J838" s="53" t="s">
        <v>63</v>
      </c>
      <c r="K838" s="53" t="s">
        <v>64</v>
      </c>
      <c r="L838" s="53" t="s">
        <v>65</v>
      </c>
      <c r="M838" s="53" t="s">
        <v>66</v>
      </c>
      <c r="N838" s="52" t="str">
        <f ca="1">IF(INDIRECT("M838")="Clásica","14%",IF(INDIRECT("M838")="Premium","18%","-"))</f>
        <v>14%</v>
      </c>
      <c r="O838" s="53" t="s">
        <v>1455</v>
      </c>
    </row>
    <row r="839" spans="1:15" ht="49.95" customHeight="1">
      <c r="A839" s="52" t="s">
        <v>24</v>
      </c>
      <c r="B839" s="52" t="s">
        <v>2072</v>
      </c>
      <c r="C839" s="52" t="s">
        <v>2074</v>
      </c>
      <c r="D839" s="52" t="s">
        <v>2074</v>
      </c>
      <c r="E839" s="54" t="str">
        <f>"     "&amp;E838</f>
        <v xml:space="preserve">     Colín Monoplaza Asiento Deportivo Kawazaki Ninja 300r</v>
      </c>
      <c r="F839" s="52" t="s">
        <v>445</v>
      </c>
      <c r="G839" s="53">
        <v>0</v>
      </c>
      <c r="H839" s="52" t="s">
        <v>62</v>
      </c>
      <c r="I839" s="52">
        <f>I838</f>
        <v>24990</v>
      </c>
      <c r="J839" s="52" t="str">
        <f>J838&amp;"     "</f>
        <v xml:space="preserve">$     </v>
      </c>
      <c r="K839" s="52" t="str">
        <f>K838&amp;"     "</f>
        <v xml:space="preserve">Nuevo     </v>
      </c>
      <c r="L839" s="52" t="str">
        <f>L838&amp;"     "</f>
        <v xml:space="preserve">Mercado Envíos gratis     </v>
      </c>
      <c r="M839" s="52" t="str">
        <f>M838&amp;"     "</f>
        <v xml:space="preserve">Clásica     </v>
      </c>
      <c r="N839" s="52" t="str">
        <f ca="1">N838</f>
        <v>14%</v>
      </c>
      <c r="O839" s="52" t="str">
        <f>O838&amp;"     "</f>
        <v xml:space="preserve">Inactiva     </v>
      </c>
    </row>
    <row r="840" spans="1:15" ht="49.95" customHeight="1">
      <c r="A840" s="52" t="s">
        <v>24</v>
      </c>
      <c r="B840" s="52" t="s">
        <v>2072</v>
      </c>
      <c r="C840" s="52" t="s">
        <v>2075</v>
      </c>
      <c r="D840" s="52" t="s">
        <v>2075</v>
      </c>
      <c r="E840" s="54" t="str">
        <f>"     "&amp;E838</f>
        <v xml:space="preserve">     Colín Monoplaza Asiento Deportivo Kawazaki Ninja 300r</v>
      </c>
      <c r="F840" s="52" t="s">
        <v>86</v>
      </c>
      <c r="G840" s="53">
        <v>0</v>
      </c>
      <c r="H840" s="52" t="s">
        <v>62</v>
      </c>
      <c r="I840" s="52">
        <f>I838</f>
        <v>24990</v>
      </c>
      <c r="J840" s="52" t="str">
        <f>J838&amp;"     "</f>
        <v xml:space="preserve">$     </v>
      </c>
      <c r="K840" s="52" t="str">
        <f>K838&amp;"     "</f>
        <v xml:space="preserve">Nuevo     </v>
      </c>
      <c r="L840" s="52" t="str">
        <f>L838&amp;"     "</f>
        <v xml:space="preserve">Mercado Envíos gratis     </v>
      </c>
      <c r="M840" s="52" t="str">
        <f>M838&amp;"     "</f>
        <v xml:space="preserve">Clásica     </v>
      </c>
      <c r="N840" s="52" t="str">
        <f ca="1">N838</f>
        <v>14%</v>
      </c>
      <c r="O840" s="52" t="str">
        <f>O838&amp;"     "</f>
        <v xml:space="preserve">Inactiva     </v>
      </c>
    </row>
    <row r="841" spans="1:15" ht="49.95" customHeight="1">
      <c r="A841" s="52" t="s">
        <v>2076</v>
      </c>
      <c r="B841" s="52" t="s">
        <v>2077</v>
      </c>
      <c r="C841" s="52" t="s">
        <v>2078</v>
      </c>
      <c r="D841" s="52"/>
      <c r="E841" s="52" t="s">
        <v>2079</v>
      </c>
      <c r="F841" s="52" t="s">
        <v>2079</v>
      </c>
      <c r="G841" s="53">
        <v>0</v>
      </c>
      <c r="H841" s="52" t="s">
        <v>62</v>
      </c>
      <c r="I841" s="53">
        <v>27990</v>
      </c>
      <c r="J841" s="53" t="s">
        <v>63</v>
      </c>
      <c r="K841" s="53" t="s">
        <v>64</v>
      </c>
      <c r="L841" s="53" t="s">
        <v>65</v>
      </c>
      <c r="M841" s="53" t="s">
        <v>66</v>
      </c>
      <c r="N841" s="52" t="str">
        <f ca="1">IF(INDIRECT("M841")="Clásica","14%",IF(INDIRECT("M841")="Premium","18%","-"))</f>
        <v>14%</v>
      </c>
      <c r="O841" s="53" t="s">
        <v>1455</v>
      </c>
    </row>
    <row r="842" spans="1:15" ht="49.95" customHeight="1">
      <c r="A842" s="52" t="s">
        <v>2080</v>
      </c>
      <c r="B842" s="52" t="s">
        <v>2081</v>
      </c>
      <c r="C842" s="52" t="s">
        <v>2082</v>
      </c>
      <c r="D842" s="52"/>
      <c r="E842" s="52" t="s">
        <v>2083</v>
      </c>
      <c r="F842" s="52" t="s">
        <v>2083</v>
      </c>
      <c r="G842" s="53">
        <v>0</v>
      </c>
      <c r="H842" s="52" t="s">
        <v>62</v>
      </c>
      <c r="I842" s="53">
        <v>89990</v>
      </c>
      <c r="J842" s="53" t="s">
        <v>63</v>
      </c>
      <c r="K842" s="53" t="s">
        <v>64</v>
      </c>
      <c r="L842" s="53" t="s">
        <v>65</v>
      </c>
      <c r="M842" s="53" t="s">
        <v>66</v>
      </c>
      <c r="N842" s="52" t="str">
        <f ca="1">IF(INDIRECT("M842")="Clásica","14%",IF(INDIRECT("M842")="Premium","18%","-"))</f>
        <v>14%</v>
      </c>
      <c r="O842" s="53" t="s">
        <v>1455</v>
      </c>
    </row>
    <row r="843" spans="1:15" ht="49.95" customHeight="1">
      <c r="A843" s="52" t="s">
        <v>2084</v>
      </c>
      <c r="B843" s="52" t="s">
        <v>2085</v>
      </c>
      <c r="C843" s="52" t="s">
        <v>2086</v>
      </c>
      <c r="D843" s="52"/>
      <c r="E843" s="52" t="s">
        <v>2087</v>
      </c>
      <c r="F843" s="52" t="s">
        <v>2087</v>
      </c>
      <c r="G843" s="53">
        <v>0</v>
      </c>
      <c r="H843" s="52" t="s">
        <v>62</v>
      </c>
      <c r="I843" s="53">
        <v>18990</v>
      </c>
      <c r="J843" s="53" t="s">
        <v>63</v>
      </c>
      <c r="K843" s="53" t="s">
        <v>64</v>
      </c>
      <c r="L843" s="53" t="s">
        <v>71</v>
      </c>
      <c r="M843" s="53" t="s">
        <v>66</v>
      </c>
      <c r="N843" s="52" t="str">
        <f ca="1">IF(INDIRECT("M843")="Clásica","14%",IF(INDIRECT("M843")="Premium","18%","-"))</f>
        <v>14%</v>
      </c>
      <c r="O843" s="53" t="s">
        <v>1455</v>
      </c>
    </row>
    <row r="844" spans="1:15" ht="49.95" customHeight="1">
      <c r="A844" s="52" t="s">
        <v>2088</v>
      </c>
      <c r="B844" s="52" t="s">
        <v>2089</v>
      </c>
      <c r="C844" s="52" t="s">
        <v>2090</v>
      </c>
      <c r="D844" s="52"/>
      <c r="E844" s="52" t="s">
        <v>2091</v>
      </c>
      <c r="F844" s="52" t="s">
        <v>2091</v>
      </c>
      <c r="G844" s="53">
        <v>0</v>
      </c>
      <c r="H844" s="52" t="s">
        <v>62</v>
      </c>
      <c r="I844" s="53">
        <v>49990</v>
      </c>
      <c r="J844" s="53" t="s">
        <v>63</v>
      </c>
      <c r="K844" s="53" t="s">
        <v>64</v>
      </c>
      <c r="L844" s="53" t="s">
        <v>65</v>
      </c>
      <c r="M844" s="53" t="s">
        <v>66</v>
      </c>
      <c r="N844" s="52" t="str">
        <f ca="1">IF(INDIRECT("M844")="Clásica","15%",IF(INDIRECT("M844")="Premium","19%","-"))</f>
        <v>15%</v>
      </c>
      <c r="O844" s="53" t="s">
        <v>1455</v>
      </c>
    </row>
    <row r="845" spans="1:15" ht="49.95" customHeight="1">
      <c r="A845" s="52" t="s">
        <v>2092</v>
      </c>
      <c r="B845" s="52" t="s">
        <v>2093</v>
      </c>
      <c r="C845" s="52" t="s">
        <v>2094</v>
      </c>
      <c r="D845" s="52"/>
      <c r="E845" s="52" t="s">
        <v>2095</v>
      </c>
      <c r="F845" s="52" t="s">
        <v>2095</v>
      </c>
      <c r="G845" s="53">
        <v>0</v>
      </c>
      <c r="H845" s="52" t="s">
        <v>62</v>
      </c>
      <c r="I845" s="53">
        <v>39990</v>
      </c>
      <c r="J845" s="53" t="s">
        <v>63</v>
      </c>
      <c r="K845" s="53" t="s">
        <v>64</v>
      </c>
      <c r="L845" s="53" t="s">
        <v>65</v>
      </c>
      <c r="M845" s="53" t="s">
        <v>66</v>
      </c>
      <c r="N845" s="52" t="str">
        <f ca="1">IF(INDIRECT("M845")="Clásica","15%",IF(INDIRECT("M845")="Premium","19%","-"))</f>
        <v>15%</v>
      </c>
      <c r="O845" s="53" t="s">
        <v>1455</v>
      </c>
    </row>
    <row r="846" spans="1:15" ht="49.95" customHeight="1">
      <c r="A846" s="52" t="s">
        <v>2096</v>
      </c>
      <c r="B846" s="52" t="s">
        <v>2097</v>
      </c>
      <c r="C846" s="52" t="s">
        <v>2098</v>
      </c>
      <c r="D846" s="52"/>
      <c r="E846" s="52" t="s">
        <v>2099</v>
      </c>
      <c r="F846" s="52" t="s">
        <v>62</v>
      </c>
      <c r="G846" s="53">
        <v>0</v>
      </c>
      <c r="H846" s="52" t="s">
        <v>62</v>
      </c>
      <c r="I846" s="53">
        <v>99990</v>
      </c>
      <c r="J846" s="53" t="s">
        <v>63</v>
      </c>
      <c r="K846" s="52" t="s">
        <v>64</v>
      </c>
      <c r="L846" s="53" t="s">
        <v>65</v>
      </c>
      <c r="M846" s="53" t="s">
        <v>66</v>
      </c>
      <c r="N846" s="52" t="str">
        <f ca="1">IF(INDIRECT("M846")="Clásica","14%",IF(INDIRECT("M846")="Premium","18%","-"))</f>
        <v>14%</v>
      </c>
      <c r="O846" s="53" t="s">
        <v>1455</v>
      </c>
    </row>
    <row r="847" spans="1:15" ht="49.95" customHeight="1">
      <c r="A847" s="52" t="s">
        <v>2100</v>
      </c>
      <c r="B847" s="52" t="s">
        <v>2101</v>
      </c>
      <c r="C847" s="52" t="s">
        <v>2102</v>
      </c>
      <c r="D847" s="52"/>
      <c r="E847" s="52" t="s">
        <v>2103</v>
      </c>
      <c r="F847" s="52" t="s">
        <v>86</v>
      </c>
      <c r="G847" s="53">
        <v>0</v>
      </c>
      <c r="H847" s="52" t="s">
        <v>62</v>
      </c>
      <c r="I847" s="53">
        <v>29990</v>
      </c>
      <c r="J847" s="53" t="s">
        <v>63</v>
      </c>
      <c r="K847" s="53" t="s">
        <v>64</v>
      </c>
      <c r="L847" s="53" t="s">
        <v>65</v>
      </c>
      <c r="M847" s="53" t="s">
        <v>66</v>
      </c>
      <c r="N847" s="52" t="str">
        <f ca="1">IF(INDIRECT("M847")="Clásica","14%",IF(INDIRECT("M847")="Premium","18%","-"))</f>
        <v>14%</v>
      </c>
      <c r="O847" s="53" t="s">
        <v>1455</v>
      </c>
    </row>
    <row r="848" spans="1:15" ht="49.95" customHeight="1">
      <c r="A848" s="52" t="s">
        <v>2104</v>
      </c>
      <c r="B848" s="52" t="s">
        <v>2105</v>
      </c>
      <c r="C848" s="52" t="s">
        <v>2106</v>
      </c>
      <c r="D848" s="52"/>
      <c r="E848" s="52" t="s">
        <v>2107</v>
      </c>
      <c r="F848" s="52" t="s">
        <v>2107</v>
      </c>
      <c r="G848" s="53">
        <v>0</v>
      </c>
      <c r="H848" s="52" t="s">
        <v>62</v>
      </c>
      <c r="I848" s="53">
        <v>219990</v>
      </c>
      <c r="J848" s="53" t="s">
        <v>63</v>
      </c>
      <c r="K848" s="53" t="s">
        <v>64</v>
      </c>
      <c r="L848" s="53" t="s">
        <v>65</v>
      </c>
      <c r="M848" s="53" t="s">
        <v>1240</v>
      </c>
      <c r="N848" s="52" t="str">
        <f ca="1">IF(INDIRECT("M848")="Clásica","14%",IF(INDIRECT("M848")="Premium","18%","-"))</f>
        <v>18%</v>
      </c>
      <c r="O848" s="53" t="s">
        <v>1455</v>
      </c>
    </row>
    <row r="849" spans="1:15" ht="49.95" customHeight="1">
      <c r="A849" s="52" t="s">
        <v>2108</v>
      </c>
      <c r="B849" s="52" t="s">
        <v>2109</v>
      </c>
      <c r="C849" s="52" t="s">
        <v>2110</v>
      </c>
      <c r="D849" s="52"/>
      <c r="E849" s="52" t="s">
        <v>2111</v>
      </c>
      <c r="F849" s="52" t="s">
        <v>100</v>
      </c>
      <c r="G849" s="53">
        <v>0</v>
      </c>
      <c r="H849" s="52" t="s">
        <v>62</v>
      </c>
      <c r="I849" s="53">
        <v>59990</v>
      </c>
      <c r="J849" s="53" t="s">
        <v>63</v>
      </c>
      <c r="K849" s="53" t="s">
        <v>64</v>
      </c>
      <c r="L849" s="53" t="s">
        <v>65</v>
      </c>
      <c r="M849" s="53" t="s">
        <v>1240</v>
      </c>
      <c r="N849" s="52" t="str">
        <f ca="1">IF(INDIRECT("M849")="Clásica","14%",IF(INDIRECT("M849")="Premium","18%","-"))</f>
        <v>18%</v>
      </c>
      <c r="O849" s="53" t="s">
        <v>1455</v>
      </c>
    </row>
    <row r="850" spans="1:15" ht="49.95" customHeight="1">
      <c r="A850" s="52" t="s">
        <v>2112</v>
      </c>
      <c r="B850" s="52" t="s">
        <v>2113</v>
      </c>
      <c r="C850" s="52" t="s">
        <v>2114</v>
      </c>
      <c r="D850" s="52"/>
      <c r="E850" s="52" t="s">
        <v>2115</v>
      </c>
      <c r="F850" s="52" t="s">
        <v>2115</v>
      </c>
      <c r="G850" s="53">
        <v>0</v>
      </c>
      <c r="H850" s="52" t="s">
        <v>62</v>
      </c>
      <c r="I850" s="53">
        <v>89990</v>
      </c>
      <c r="J850" s="53" t="s">
        <v>63</v>
      </c>
      <c r="K850" s="53" t="s">
        <v>64</v>
      </c>
      <c r="L850" s="53" t="s">
        <v>65</v>
      </c>
      <c r="M850" s="53" t="s">
        <v>1240</v>
      </c>
      <c r="N850" s="52" t="str">
        <f ca="1">IF(INDIRECT("M850")="Clásica","14%",IF(INDIRECT("M850")="Premium","18%","-"))</f>
        <v>18%</v>
      </c>
      <c r="O850" s="53" t="s">
        <v>1455</v>
      </c>
    </row>
    <row r="851" spans="1:15" ht="49.95" customHeight="1">
      <c r="A851" s="52" t="s">
        <v>2116</v>
      </c>
      <c r="B851" s="52" t="s">
        <v>2117</v>
      </c>
      <c r="C851" s="52" t="s">
        <v>2118</v>
      </c>
      <c r="D851" s="52"/>
      <c r="E851" s="52" t="s">
        <v>2119</v>
      </c>
      <c r="F851" s="52" t="s">
        <v>2119</v>
      </c>
      <c r="G851" s="53">
        <v>0</v>
      </c>
      <c r="H851" s="52" t="s">
        <v>62</v>
      </c>
      <c r="I851" s="53">
        <v>20990</v>
      </c>
      <c r="J851" s="53" t="s">
        <v>63</v>
      </c>
      <c r="K851" s="53" t="s">
        <v>64</v>
      </c>
      <c r="L851" s="53" t="s">
        <v>65</v>
      </c>
      <c r="M851" s="53" t="s">
        <v>1240</v>
      </c>
      <c r="N851" s="52" t="str">
        <f ca="1">IF(INDIRECT("M851")="Clásica","14%",IF(INDIRECT("M851")="Premium","18%","-"))</f>
        <v>18%</v>
      </c>
      <c r="O851" s="53" t="s">
        <v>1455</v>
      </c>
    </row>
    <row r="852" spans="1:15" ht="49.95" customHeight="1">
      <c r="A852" s="52" t="s">
        <v>2120</v>
      </c>
      <c r="B852" s="52" t="s">
        <v>2121</v>
      </c>
      <c r="C852" s="52" t="s">
        <v>2122</v>
      </c>
      <c r="D852" s="52"/>
      <c r="E852" s="52" t="s">
        <v>2123</v>
      </c>
      <c r="F852" s="52" t="s">
        <v>2123</v>
      </c>
      <c r="G852" s="53">
        <v>0</v>
      </c>
      <c r="H852" s="52" t="s">
        <v>62</v>
      </c>
      <c r="I852" s="52" t="s">
        <v>24</v>
      </c>
      <c r="J852" s="53" t="s">
        <v>63</v>
      </c>
      <c r="K852" s="53" t="s">
        <v>64</v>
      </c>
      <c r="L852" s="53" t="s">
        <v>65</v>
      </c>
      <c r="M852" s="53" t="s">
        <v>1240</v>
      </c>
      <c r="N852" s="52" t="str">
        <f ca="1">IF(INDIRECT("M852")="Clásica","15%",IF(INDIRECT("M852")="Premium","19%","-"))</f>
        <v>19%</v>
      </c>
      <c r="O852" s="53" t="s">
        <v>1455</v>
      </c>
    </row>
    <row r="853" spans="1:15" ht="49.95" customHeight="1">
      <c r="A853" s="52" t="s">
        <v>2124</v>
      </c>
      <c r="B853" s="52" t="s">
        <v>2125</v>
      </c>
      <c r="C853" s="52" t="s">
        <v>2126</v>
      </c>
      <c r="D853" s="52"/>
      <c r="E853" s="52" t="s">
        <v>2127</v>
      </c>
      <c r="F853" s="52" t="s">
        <v>86</v>
      </c>
      <c r="G853" s="53">
        <v>0</v>
      </c>
      <c r="H853" s="52" t="s">
        <v>62</v>
      </c>
      <c r="I853" s="53">
        <v>69990</v>
      </c>
      <c r="J853" s="53" t="s">
        <v>63</v>
      </c>
      <c r="K853" s="53" t="s">
        <v>64</v>
      </c>
      <c r="L853" s="53" t="s">
        <v>65</v>
      </c>
      <c r="M853" s="53" t="s">
        <v>1240</v>
      </c>
      <c r="N853" s="52" t="str">
        <f ca="1">IF(INDIRECT("M853")="Clásica","14%",IF(INDIRECT("M853")="Premium","18%","-"))</f>
        <v>18%</v>
      </c>
      <c r="O853" s="53" t="s">
        <v>1455</v>
      </c>
    </row>
    <row r="854" spans="1:15" ht="49.95" customHeight="1">
      <c r="A854" s="52" t="s">
        <v>2128</v>
      </c>
      <c r="B854" s="52" t="s">
        <v>2129</v>
      </c>
      <c r="C854" s="52" t="s">
        <v>2130</v>
      </c>
      <c r="D854" s="52"/>
      <c r="E854" s="52" t="s">
        <v>2131</v>
      </c>
      <c r="F854" s="52" t="s">
        <v>2131</v>
      </c>
      <c r="G854" s="53">
        <v>0</v>
      </c>
      <c r="H854" s="52" t="s">
        <v>62</v>
      </c>
      <c r="I854" s="53">
        <v>79990</v>
      </c>
      <c r="J854" s="53" t="s">
        <v>63</v>
      </c>
      <c r="K854" s="53" t="s">
        <v>64</v>
      </c>
      <c r="L854" s="53" t="s">
        <v>65</v>
      </c>
      <c r="M854" s="53" t="s">
        <v>66</v>
      </c>
      <c r="N854" s="52" t="str">
        <f ca="1">IF(INDIRECT("M854")="Clásica","14%",IF(INDIRECT("M854")="Premium","18%","-"))</f>
        <v>14%</v>
      </c>
      <c r="O854" s="53" t="s">
        <v>1455</v>
      </c>
    </row>
    <row r="855" spans="1:15" ht="49.95" customHeight="1">
      <c r="A855" s="52" t="s">
        <v>2132</v>
      </c>
      <c r="B855" s="52" t="s">
        <v>2133</v>
      </c>
      <c r="C855" s="52" t="s">
        <v>2134</v>
      </c>
      <c r="D855" s="52"/>
      <c r="E855" s="52" t="s">
        <v>2135</v>
      </c>
      <c r="F855" s="52" t="s">
        <v>2135</v>
      </c>
      <c r="G855" s="53">
        <v>0</v>
      </c>
      <c r="H855" s="52" t="s">
        <v>62</v>
      </c>
      <c r="I855" s="53">
        <v>49990</v>
      </c>
      <c r="J855" s="53" t="s">
        <v>63</v>
      </c>
      <c r="K855" s="53" t="s">
        <v>64</v>
      </c>
      <c r="L855" s="53" t="s">
        <v>65</v>
      </c>
      <c r="M855" s="53" t="s">
        <v>66</v>
      </c>
      <c r="N855" s="52" t="str">
        <f ca="1">IF(INDIRECT("M855")="Clásica","14%",IF(INDIRECT("M855")="Premium","18%","-"))</f>
        <v>14%</v>
      </c>
      <c r="O855" s="53" t="s">
        <v>1455</v>
      </c>
    </row>
    <row r="856" spans="1:15" ht="49.95" customHeight="1">
      <c r="A856" s="52" t="s">
        <v>2136</v>
      </c>
      <c r="B856" s="52" t="s">
        <v>2137</v>
      </c>
      <c r="C856" s="52" t="s">
        <v>2138</v>
      </c>
      <c r="D856" s="52"/>
      <c r="E856" s="52" t="s">
        <v>2139</v>
      </c>
      <c r="F856" s="52" t="s">
        <v>2139</v>
      </c>
      <c r="G856" s="53">
        <v>0</v>
      </c>
      <c r="H856" s="52" t="s">
        <v>62</v>
      </c>
      <c r="I856" s="53">
        <v>69990</v>
      </c>
      <c r="J856" s="53" t="s">
        <v>63</v>
      </c>
      <c r="K856" s="53" t="s">
        <v>64</v>
      </c>
      <c r="L856" s="53" t="s">
        <v>65</v>
      </c>
      <c r="M856" s="53" t="s">
        <v>66</v>
      </c>
      <c r="N856" s="52" t="str">
        <f ca="1">IF(INDIRECT("M856")="Clásica","14%",IF(INDIRECT("M856")="Premium","18%","-"))</f>
        <v>14%</v>
      </c>
      <c r="O856" s="53" t="s">
        <v>1455</v>
      </c>
    </row>
    <row r="857" spans="1:15" ht="49.95" customHeight="1">
      <c r="A857" s="52" t="s">
        <v>2140</v>
      </c>
      <c r="B857" s="52" t="s">
        <v>2141</v>
      </c>
      <c r="C857" s="52" t="s">
        <v>2142</v>
      </c>
      <c r="D857" s="52"/>
      <c r="E857" s="52" t="s">
        <v>2143</v>
      </c>
      <c r="F857" s="52" t="s">
        <v>2143</v>
      </c>
      <c r="G857" s="53">
        <v>0</v>
      </c>
      <c r="H857" s="52" t="s">
        <v>62</v>
      </c>
      <c r="I857" s="53">
        <v>39990</v>
      </c>
      <c r="J857" s="53" t="s">
        <v>63</v>
      </c>
      <c r="K857" s="53" t="s">
        <v>64</v>
      </c>
      <c r="L857" s="53" t="s">
        <v>65</v>
      </c>
      <c r="M857" s="53" t="s">
        <v>66</v>
      </c>
      <c r="N857" s="52" t="str">
        <f ca="1">IF(INDIRECT("M857")="Clásica","14%",IF(INDIRECT("M857")="Premium","18%","-"))</f>
        <v>14%</v>
      </c>
      <c r="O857" s="53" t="s">
        <v>1455</v>
      </c>
    </row>
    <row r="858" spans="1:15" ht="49.95" customHeight="1">
      <c r="A858" s="52" t="s">
        <v>2144</v>
      </c>
      <c r="B858" s="52" t="s">
        <v>2145</v>
      </c>
      <c r="C858" s="52" t="s">
        <v>2146</v>
      </c>
      <c r="D858" s="52"/>
      <c r="E858" s="52" t="s">
        <v>2147</v>
      </c>
      <c r="F858" s="52" t="s">
        <v>2148</v>
      </c>
      <c r="G858" s="53">
        <v>0</v>
      </c>
      <c r="H858" s="52" t="s">
        <v>62</v>
      </c>
      <c r="I858" s="53">
        <v>84990</v>
      </c>
      <c r="J858" s="53" t="s">
        <v>63</v>
      </c>
      <c r="K858" s="53" t="s">
        <v>64</v>
      </c>
      <c r="L858" s="53" t="s">
        <v>65</v>
      </c>
      <c r="M858" s="53" t="s">
        <v>66</v>
      </c>
      <c r="N858" s="52" t="str">
        <f ca="1">IF(INDIRECT("M858")="Clásica","15%",IF(INDIRECT("M858")="Premium","19%","-"))</f>
        <v>15%</v>
      </c>
      <c r="O858" s="53" t="s">
        <v>1455</v>
      </c>
    </row>
    <row r="859" spans="1:15" ht="49.95" customHeight="1">
      <c r="A859" s="52" t="s">
        <v>2149</v>
      </c>
      <c r="B859" s="52" t="s">
        <v>2150</v>
      </c>
      <c r="C859" s="52" t="s">
        <v>2151</v>
      </c>
      <c r="D859" s="52"/>
      <c r="E859" s="52" t="s">
        <v>2152</v>
      </c>
      <c r="F859" s="52" t="s">
        <v>2152</v>
      </c>
      <c r="G859" s="53">
        <v>0</v>
      </c>
      <c r="H859" s="52" t="s">
        <v>62</v>
      </c>
      <c r="I859" s="53">
        <v>34990</v>
      </c>
      <c r="J859" s="53" t="s">
        <v>63</v>
      </c>
      <c r="K859" s="53" t="s">
        <v>64</v>
      </c>
      <c r="L859" s="53" t="s">
        <v>65</v>
      </c>
      <c r="M859" s="53" t="s">
        <v>66</v>
      </c>
      <c r="N859" s="52" t="str">
        <f ca="1">IF(INDIRECT("M859")="Clásica","15%",IF(INDIRECT("M859")="Premium","19%","-"))</f>
        <v>15%</v>
      </c>
      <c r="O859" s="53" t="s">
        <v>1455</v>
      </c>
    </row>
    <row r="860" spans="1:15" ht="49.95" customHeight="1">
      <c r="A860" s="52" t="s">
        <v>2153</v>
      </c>
      <c r="B860" s="52" t="s">
        <v>2154</v>
      </c>
      <c r="C860" s="52" t="s">
        <v>2155</v>
      </c>
      <c r="D860" s="52"/>
      <c r="E860" s="52" t="s">
        <v>2156</v>
      </c>
      <c r="F860" s="52" t="s">
        <v>82</v>
      </c>
      <c r="G860" s="53">
        <v>0</v>
      </c>
      <c r="H860" s="52" t="s">
        <v>62</v>
      </c>
      <c r="I860" s="53">
        <v>34990</v>
      </c>
      <c r="J860" s="53" t="s">
        <v>63</v>
      </c>
      <c r="K860" s="53" t="s">
        <v>64</v>
      </c>
      <c r="L860" s="53" t="s">
        <v>65</v>
      </c>
      <c r="M860" s="53" t="s">
        <v>66</v>
      </c>
      <c r="N860" s="52" t="str">
        <f ca="1">IF(INDIRECT("M860")="Clásica","14%",IF(INDIRECT("M860")="Premium","18%","-"))</f>
        <v>14%</v>
      </c>
      <c r="O860" s="53" t="s">
        <v>1455</v>
      </c>
    </row>
    <row r="861" spans="1:15" ht="49.95" customHeight="1">
      <c r="A861" s="52" t="s">
        <v>2157</v>
      </c>
      <c r="B861" s="52" t="s">
        <v>2158</v>
      </c>
      <c r="C861" s="52" t="s">
        <v>2159</v>
      </c>
      <c r="D861" s="52"/>
      <c r="E861" s="52" t="s">
        <v>2160</v>
      </c>
      <c r="F861" s="52" t="s">
        <v>2161</v>
      </c>
      <c r="G861" s="53">
        <v>0</v>
      </c>
      <c r="H861" s="52" t="s">
        <v>62</v>
      </c>
      <c r="I861" s="53">
        <v>49990</v>
      </c>
      <c r="J861" s="53" t="s">
        <v>63</v>
      </c>
      <c r="K861" s="53" t="s">
        <v>64</v>
      </c>
      <c r="L861" s="53" t="s">
        <v>65</v>
      </c>
      <c r="M861" s="53" t="s">
        <v>66</v>
      </c>
      <c r="N861" s="52" t="str">
        <f ca="1">IF(INDIRECT("M861")="Clásica","15%",IF(INDIRECT("M861")="Premium","19%","-"))</f>
        <v>15%</v>
      </c>
      <c r="O861" s="53" t="s">
        <v>1455</v>
      </c>
    </row>
    <row r="862" spans="1:15" ht="49.95" customHeight="1">
      <c r="A862" s="52" t="s">
        <v>2162</v>
      </c>
      <c r="B862" s="52" t="s">
        <v>2163</v>
      </c>
      <c r="C862" s="52" t="s">
        <v>2164</v>
      </c>
      <c r="D862" s="52"/>
      <c r="E862" s="52" t="s">
        <v>2165</v>
      </c>
      <c r="F862" s="52" t="s">
        <v>86</v>
      </c>
      <c r="G862" s="53">
        <v>0</v>
      </c>
      <c r="H862" s="52" t="s">
        <v>62</v>
      </c>
      <c r="I862" s="53">
        <v>149990</v>
      </c>
      <c r="J862" s="53" t="s">
        <v>63</v>
      </c>
      <c r="K862" s="53" t="s">
        <v>64</v>
      </c>
      <c r="L862" s="53" t="s">
        <v>65</v>
      </c>
      <c r="M862" s="53" t="s">
        <v>66</v>
      </c>
      <c r="N862" s="52" t="str">
        <f ca="1">IF(INDIRECT("M862")="Clásica","14%",IF(INDIRECT("M862")="Premium","18%","-"))</f>
        <v>14%</v>
      </c>
      <c r="O862" s="53" t="s">
        <v>1455</v>
      </c>
    </row>
    <row r="863" spans="1:15" ht="49.95" customHeight="1">
      <c r="A863" s="52" t="s">
        <v>2166</v>
      </c>
      <c r="B863" s="52" t="s">
        <v>2167</v>
      </c>
      <c r="C863" s="52" t="s">
        <v>2168</v>
      </c>
      <c r="D863" s="52"/>
      <c r="E863" s="52" t="s">
        <v>2169</v>
      </c>
      <c r="F863" s="52" t="s">
        <v>1616</v>
      </c>
      <c r="G863" s="53">
        <v>0</v>
      </c>
      <c r="H863" s="52" t="s">
        <v>62</v>
      </c>
      <c r="I863" s="53">
        <v>24990</v>
      </c>
      <c r="J863" s="53" t="s">
        <v>63</v>
      </c>
      <c r="K863" s="53" t="s">
        <v>64</v>
      </c>
      <c r="L863" s="53" t="s">
        <v>65</v>
      </c>
      <c r="M863" s="53" t="s">
        <v>66</v>
      </c>
      <c r="N863" s="52" t="str">
        <f ca="1">IF(INDIRECT("M863")="Clásica","14%",IF(INDIRECT("M863")="Premium","18%","-"))</f>
        <v>14%</v>
      </c>
      <c r="O863" s="53" t="s">
        <v>1455</v>
      </c>
    </row>
    <row r="864" spans="1:15" ht="49.95" customHeight="1">
      <c r="A864" s="52" t="s">
        <v>2170</v>
      </c>
      <c r="B864" s="52" t="s">
        <v>2171</v>
      </c>
      <c r="C864" s="52" t="s">
        <v>2172</v>
      </c>
      <c r="D864" s="52"/>
      <c r="E864" s="52" t="s">
        <v>2173</v>
      </c>
      <c r="F864" s="52" t="s">
        <v>2173</v>
      </c>
      <c r="G864" s="53">
        <v>0</v>
      </c>
      <c r="H864" s="52" t="s">
        <v>62</v>
      </c>
      <c r="I864" s="53">
        <v>69990</v>
      </c>
      <c r="J864" s="53" t="s">
        <v>63</v>
      </c>
      <c r="K864" s="53" t="s">
        <v>64</v>
      </c>
      <c r="L864" s="53" t="s">
        <v>65</v>
      </c>
      <c r="M864" s="53" t="s">
        <v>66</v>
      </c>
      <c r="N864" s="52" t="str">
        <f ca="1">IF(INDIRECT("M864")="Clásica","15%",IF(INDIRECT("M864")="Premium","19%","-"))</f>
        <v>15%</v>
      </c>
      <c r="O864" s="53" t="s">
        <v>1455</v>
      </c>
    </row>
    <row r="865" spans="1:15" ht="49.95" customHeight="1">
      <c r="A865" s="52" t="s">
        <v>2174</v>
      </c>
      <c r="B865" s="52" t="s">
        <v>2175</v>
      </c>
      <c r="C865" s="52" t="s">
        <v>2176</v>
      </c>
      <c r="D865" s="52"/>
      <c r="E865" s="52" t="s">
        <v>2177</v>
      </c>
      <c r="F865" s="52" t="s">
        <v>2177</v>
      </c>
      <c r="G865" s="53">
        <v>0</v>
      </c>
      <c r="H865" s="52" t="s">
        <v>62</v>
      </c>
      <c r="I865" s="53">
        <v>16990</v>
      </c>
      <c r="J865" s="53" t="s">
        <v>63</v>
      </c>
      <c r="K865" s="53" t="s">
        <v>64</v>
      </c>
      <c r="L865" s="53" t="s">
        <v>71</v>
      </c>
      <c r="M865" s="53" t="s">
        <v>66</v>
      </c>
      <c r="N865" s="52" t="str">
        <f ca="1">IF(INDIRECT("M865")="Clásica","14%",IF(INDIRECT("M865")="Premium","18%","-"))</f>
        <v>14%</v>
      </c>
      <c r="O865" s="53" t="s">
        <v>1455</v>
      </c>
    </row>
    <row r="866" spans="1:15" ht="49.95" customHeight="1">
      <c r="A866" s="52" t="s">
        <v>2178</v>
      </c>
      <c r="B866" s="52" t="s">
        <v>2179</v>
      </c>
      <c r="C866" s="52" t="s">
        <v>2180</v>
      </c>
      <c r="D866" s="52"/>
      <c r="E866" s="52" t="s">
        <v>2181</v>
      </c>
      <c r="F866" s="52" t="s">
        <v>2181</v>
      </c>
      <c r="G866" s="53">
        <v>0</v>
      </c>
      <c r="H866" s="52" t="s">
        <v>62</v>
      </c>
      <c r="I866" s="53">
        <v>39990</v>
      </c>
      <c r="J866" s="53" t="s">
        <v>63</v>
      </c>
      <c r="K866" s="53" t="s">
        <v>64</v>
      </c>
      <c r="L866" s="53" t="s">
        <v>65</v>
      </c>
      <c r="M866" s="53" t="s">
        <v>66</v>
      </c>
      <c r="N866" s="52" t="str">
        <f ca="1">IF(INDIRECT("M866")="Clásica","15%",IF(INDIRECT("M866")="Premium","19%","-"))</f>
        <v>15%</v>
      </c>
      <c r="O866" s="53" t="s">
        <v>1455</v>
      </c>
    </row>
    <row r="867" spans="1:15" ht="49.95" customHeight="1">
      <c r="A867" s="52" t="s">
        <v>2182</v>
      </c>
      <c r="B867" s="52" t="s">
        <v>2183</v>
      </c>
      <c r="C867" s="52" t="s">
        <v>2184</v>
      </c>
      <c r="D867" s="52"/>
      <c r="E867" s="52" t="s">
        <v>2185</v>
      </c>
      <c r="F867" s="52" t="s">
        <v>86</v>
      </c>
      <c r="G867" s="53">
        <v>0</v>
      </c>
      <c r="H867" s="52" t="s">
        <v>62</v>
      </c>
      <c r="I867" s="53">
        <v>89990</v>
      </c>
      <c r="J867" s="53" t="s">
        <v>63</v>
      </c>
      <c r="K867" s="53" t="s">
        <v>64</v>
      </c>
      <c r="L867" s="53" t="s">
        <v>65</v>
      </c>
      <c r="M867" s="53" t="s">
        <v>66</v>
      </c>
      <c r="N867" s="52" t="str">
        <f ca="1">IF(INDIRECT("M867")="Clásica","14%",IF(INDIRECT("M867")="Premium","18%","-"))</f>
        <v>14%</v>
      </c>
      <c r="O867" s="53" t="s">
        <v>1455</v>
      </c>
    </row>
    <row r="868" spans="1:15" ht="49.95" customHeight="1">
      <c r="A868" s="52" t="s">
        <v>2186</v>
      </c>
      <c r="B868" s="52" t="s">
        <v>2187</v>
      </c>
      <c r="C868" s="52" t="s">
        <v>2188</v>
      </c>
      <c r="D868" s="52"/>
      <c r="E868" s="52" t="s">
        <v>2189</v>
      </c>
      <c r="F868" s="52" t="s">
        <v>2189</v>
      </c>
      <c r="G868" s="53">
        <v>0</v>
      </c>
      <c r="H868" s="52" t="s">
        <v>62</v>
      </c>
      <c r="I868" s="53">
        <v>19890</v>
      </c>
      <c r="J868" s="53" t="s">
        <v>63</v>
      </c>
      <c r="K868" s="53" t="s">
        <v>64</v>
      </c>
      <c r="L868" s="53" t="s">
        <v>71</v>
      </c>
      <c r="M868" s="53" t="s">
        <v>66</v>
      </c>
      <c r="N868" s="52" t="str">
        <f ca="1">IF(INDIRECT("M868")="Clásica","15%",IF(INDIRECT("M868")="Premium","19%","-"))</f>
        <v>15%</v>
      </c>
      <c r="O868" s="53" t="s">
        <v>1455</v>
      </c>
    </row>
    <row r="869" spans="1:15" ht="49.95" customHeight="1">
      <c r="A869" s="52" t="s">
        <v>2190</v>
      </c>
      <c r="B869" s="52" t="s">
        <v>2191</v>
      </c>
      <c r="C869" s="52" t="s">
        <v>2192</v>
      </c>
      <c r="D869" s="52"/>
      <c r="E869" s="52" t="s">
        <v>2193</v>
      </c>
      <c r="F869" s="52" t="s">
        <v>62</v>
      </c>
      <c r="G869" s="53">
        <v>0</v>
      </c>
      <c r="H869" s="52" t="s">
        <v>62</v>
      </c>
      <c r="I869" s="52" t="s">
        <v>24</v>
      </c>
      <c r="J869" s="53" t="s">
        <v>63</v>
      </c>
      <c r="K869" s="52" t="s">
        <v>64</v>
      </c>
      <c r="L869" s="53" t="s">
        <v>65</v>
      </c>
      <c r="M869" s="53" t="s">
        <v>66</v>
      </c>
      <c r="N869" s="52" t="str">
        <f ca="1">IF(INDIRECT("M869")="Clásica","13%",IF(INDIRECT("M869")="Premium","17%","-"))</f>
        <v>13%</v>
      </c>
      <c r="O869" s="53" t="s">
        <v>1455</v>
      </c>
    </row>
    <row r="870" spans="1:15" ht="49.95" customHeight="1">
      <c r="A870" s="52" t="s">
        <v>2194</v>
      </c>
      <c r="B870" s="52" t="s">
        <v>2195</v>
      </c>
      <c r="C870" s="52" t="s">
        <v>2196</v>
      </c>
      <c r="D870" s="52"/>
      <c r="E870" s="52" t="s">
        <v>2197</v>
      </c>
      <c r="F870" s="52" t="s">
        <v>86</v>
      </c>
      <c r="G870" s="53">
        <v>0</v>
      </c>
      <c r="H870" s="52" t="s">
        <v>62</v>
      </c>
      <c r="I870" s="53">
        <v>119990</v>
      </c>
      <c r="J870" s="53" t="s">
        <v>63</v>
      </c>
      <c r="K870" s="53" t="s">
        <v>64</v>
      </c>
      <c r="L870" s="53" t="s">
        <v>65</v>
      </c>
      <c r="M870" s="53" t="s">
        <v>66</v>
      </c>
      <c r="N870" s="52" t="str">
        <f ca="1">IF(INDIRECT("M870")="Clásica","14%",IF(INDIRECT("M870")="Premium","18%","-"))</f>
        <v>14%</v>
      </c>
      <c r="O870" s="53" t="s">
        <v>1455</v>
      </c>
    </row>
    <row r="871" spans="1:15" ht="49.95" customHeight="1">
      <c r="A871" s="52" t="s">
        <v>2198</v>
      </c>
      <c r="B871" s="52" t="s">
        <v>2199</v>
      </c>
      <c r="C871" s="52" t="s">
        <v>2200</v>
      </c>
      <c r="D871" s="52"/>
      <c r="E871" s="52" t="s">
        <v>2201</v>
      </c>
      <c r="F871" s="52" t="s">
        <v>2201</v>
      </c>
      <c r="G871" s="53">
        <v>0</v>
      </c>
      <c r="H871" s="52" t="s">
        <v>62</v>
      </c>
      <c r="I871" s="53">
        <v>24450</v>
      </c>
      <c r="J871" s="53" t="s">
        <v>63</v>
      </c>
      <c r="K871" s="53" t="s">
        <v>64</v>
      </c>
      <c r="L871" s="53" t="s">
        <v>65</v>
      </c>
      <c r="M871" s="53" t="s">
        <v>66</v>
      </c>
      <c r="N871" s="52" t="str">
        <f ca="1">IF(INDIRECT("M871")="Clásica","14%",IF(INDIRECT("M871")="Premium","18%","-"))</f>
        <v>14%</v>
      </c>
      <c r="O871" s="53" t="s">
        <v>1455</v>
      </c>
    </row>
    <row r="872" spans="1:15" ht="49.95" customHeight="1">
      <c r="A872" s="52" t="s">
        <v>2202</v>
      </c>
      <c r="B872" s="52" t="s">
        <v>2203</v>
      </c>
      <c r="C872" s="52" t="s">
        <v>2204</v>
      </c>
      <c r="D872" s="52"/>
      <c r="E872" s="52" t="s">
        <v>2205</v>
      </c>
      <c r="F872" s="52" t="s">
        <v>2205</v>
      </c>
      <c r="G872" s="53">
        <v>0</v>
      </c>
      <c r="H872" s="52" t="s">
        <v>62</v>
      </c>
      <c r="I872" s="53">
        <v>32990</v>
      </c>
      <c r="J872" s="53" t="s">
        <v>63</v>
      </c>
      <c r="K872" s="53" t="s">
        <v>64</v>
      </c>
      <c r="L872" s="53" t="s">
        <v>65</v>
      </c>
      <c r="M872" s="53" t="s">
        <v>66</v>
      </c>
      <c r="N872" s="52" t="str">
        <f ca="1">IF(INDIRECT("M872")="Clásica","15%",IF(INDIRECT("M872")="Premium","19%","-"))</f>
        <v>15%</v>
      </c>
      <c r="O872" s="53" t="s">
        <v>1455</v>
      </c>
    </row>
    <row r="873" spans="1:15" ht="49.95" customHeight="1">
      <c r="A873" s="52" t="s">
        <v>2206</v>
      </c>
      <c r="B873" s="52" t="s">
        <v>2207</v>
      </c>
      <c r="C873" s="52" t="s">
        <v>2208</v>
      </c>
      <c r="D873" s="52"/>
      <c r="E873" s="52" t="s">
        <v>2209</v>
      </c>
      <c r="F873" s="52" t="s">
        <v>2209</v>
      </c>
      <c r="G873" s="53">
        <v>0</v>
      </c>
      <c r="H873" s="52" t="s">
        <v>62</v>
      </c>
      <c r="I873" s="53">
        <v>59990</v>
      </c>
      <c r="J873" s="53" t="s">
        <v>63</v>
      </c>
      <c r="K873" s="53" t="s">
        <v>64</v>
      </c>
      <c r="L873" s="53" t="s">
        <v>65</v>
      </c>
      <c r="M873" s="53" t="s">
        <v>66</v>
      </c>
      <c r="N873" s="52" t="str">
        <f ca="1">IF(INDIRECT("M873")="Clásica","15%",IF(INDIRECT("M873")="Premium","19%","-"))</f>
        <v>15%</v>
      </c>
      <c r="O873" s="53" t="s">
        <v>1455</v>
      </c>
    </row>
    <row r="874" spans="1:15" ht="49.95" customHeight="1">
      <c r="A874" s="52" t="s">
        <v>2210</v>
      </c>
      <c r="B874" s="52" t="s">
        <v>2211</v>
      </c>
      <c r="C874" s="52" t="s">
        <v>2212</v>
      </c>
      <c r="D874" s="52"/>
      <c r="E874" s="52" t="s">
        <v>2213</v>
      </c>
      <c r="F874" s="52" t="s">
        <v>2213</v>
      </c>
      <c r="G874" s="53">
        <v>0</v>
      </c>
      <c r="H874" s="52" t="s">
        <v>62</v>
      </c>
      <c r="I874" s="53">
        <v>59990</v>
      </c>
      <c r="J874" s="53" t="s">
        <v>63</v>
      </c>
      <c r="K874" s="53" t="s">
        <v>64</v>
      </c>
      <c r="L874" s="53" t="s">
        <v>65</v>
      </c>
      <c r="M874" s="53" t="s">
        <v>66</v>
      </c>
      <c r="N874" s="52" t="str">
        <f ca="1">IF(INDIRECT("M874")="Clásica","14%",IF(INDIRECT("M874")="Premium","18%","-"))</f>
        <v>14%</v>
      </c>
      <c r="O874" s="53" t="s">
        <v>1455</v>
      </c>
    </row>
    <row r="875" spans="1:15" ht="49.95" customHeight="1">
      <c r="A875" s="52" t="s">
        <v>2214</v>
      </c>
      <c r="B875" s="52" t="s">
        <v>2215</v>
      </c>
      <c r="C875" s="52" t="s">
        <v>2216</v>
      </c>
      <c r="D875" s="52"/>
      <c r="E875" s="52" t="s">
        <v>2217</v>
      </c>
      <c r="F875" s="52" t="s">
        <v>2217</v>
      </c>
      <c r="G875" s="53">
        <v>0</v>
      </c>
      <c r="H875" s="52" t="s">
        <v>62</v>
      </c>
      <c r="I875" s="53">
        <v>69990</v>
      </c>
      <c r="J875" s="53" t="s">
        <v>63</v>
      </c>
      <c r="K875" s="53" t="s">
        <v>64</v>
      </c>
      <c r="L875" s="53" t="s">
        <v>65</v>
      </c>
      <c r="M875" s="53" t="s">
        <v>66</v>
      </c>
      <c r="N875" s="52" t="str">
        <f ca="1">IF(INDIRECT("M875")="Clásica","14%",IF(INDIRECT("M875")="Premium","18%","-"))</f>
        <v>14%</v>
      </c>
      <c r="O875" s="53" t="s">
        <v>1455</v>
      </c>
    </row>
    <row r="876" spans="1:15" ht="49.95" customHeight="1">
      <c r="A876" s="52" t="s">
        <v>2218</v>
      </c>
      <c r="B876" s="52" t="s">
        <v>2219</v>
      </c>
      <c r="C876" s="52" t="s">
        <v>2220</v>
      </c>
      <c r="D876" s="52"/>
      <c r="E876" s="52" t="s">
        <v>2221</v>
      </c>
      <c r="F876" s="52" t="s">
        <v>86</v>
      </c>
      <c r="G876" s="53">
        <v>0</v>
      </c>
      <c r="H876" s="52" t="s">
        <v>62</v>
      </c>
      <c r="I876" s="53">
        <v>79990</v>
      </c>
      <c r="J876" s="53" t="s">
        <v>63</v>
      </c>
      <c r="K876" s="53" t="s">
        <v>64</v>
      </c>
      <c r="L876" s="53" t="s">
        <v>65</v>
      </c>
      <c r="M876" s="53" t="s">
        <v>66</v>
      </c>
      <c r="N876" s="52" t="str">
        <f ca="1">IF(INDIRECT("M876")="Clásica","14%",IF(INDIRECT("M876")="Premium","18%","-"))</f>
        <v>14%</v>
      </c>
      <c r="O876" s="53" t="s">
        <v>1455</v>
      </c>
    </row>
    <row r="877" spans="1:15" ht="49.95" customHeight="1">
      <c r="A877" s="52" t="s">
        <v>2222</v>
      </c>
      <c r="B877" s="52" t="s">
        <v>2223</v>
      </c>
      <c r="C877" s="52" t="s">
        <v>2224</v>
      </c>
      <c r="D877" s="52"/>
      <c r="E877" s="52" t="s">
        <v>2225</v>
      </c>
      <c r="F877" s="52" t="s">
        <v>1867</v>
      </c>
      <c r="G877" s="53">
        <v>0</v>
      </c>
      <c r="H877" s="52" t="s">
        <v>62</v>
      </c>
      <c r="I877" s="53">
        <v>24990</v>
      </c>
      <c r="J877" s="53" t="s">
        <v>63</v>
      </c>
      <c r="K877" s="53" t="s">
        <v>64</v>
      </c>
      <c r="L877" s="53" t="s">
        <v>65</v>
      </c>
      <c r="M877" s="53" t="s">
        <v>66</v>
      </c>
      <c r="N877" s="52" t="str">
        <f ca="1">IF(INDIRECT("M877")="Clásica","14%",IF(INDIRECT("M877")="Premium","18%","-"))</f>
        <v>14%</v>
      </c>
      <c r="O877" s="53" t="s">
        <v>1455</v>
      </c>
    </row>
    <row r="878" spans="1:15" ht="49.95" customHeight="1">
      <c r="A878" s="52" t="s">
        <v>2226</v>
      </c>
      <c r="B878" s="52" t="s">
        <v>2227</v>
      </c>
      <c r="C878" s="52" t="s">
        <v>2228</v>
      </c>
      <c r="D878" s="52"/>
      <c r="E878" s="52" t="s">
        <v>2229</v>
      </c>
      <c r="F878" s="52" t="s">
        <v>2161</v>
      </c>
      <c r="G878" s="53">
        <v>0</v>
      </c>
      <c r="H878" s="52" t="s">
        <v>62</v>
      </c>
      <c r="I878" s="53">
        <v>104990</v>
      </c>
      <c r="J878" s="53" t="s">
        <v>63</v>
      </c>
      <c r="K878" s="53" t="s">
        <v>64</v>
      </c>
      <c r="L878" s="53" t="s">
        <v>65</v>
      </c>
      <c r="M878" s="53" t="s">
        <v>66</v>
      </c>
      <c r="N878" s="52" t="str">
        <f ca="1">IF(INDIRECT("M878")="Clásica","15%",IF(INDIRECT("M878")="Premium","19%","-"))</f>
        <v>15%</v>
      </c>
      <c r="O878" s="53" t="s">
        <v>1455</v>
      </c>
    </row>
    <row r="879" spans="1:15" ht="49.95" customHeight="1">
      <c r="A879" s="52" t="s">
        <v>24</v>
      </c>
      <c r="B879" s="52" t="s">
        <v>2230</v>
      </c>
      <c r="C879" s="52"/>
      <c r="D879" s="52"/>
      <c r="E879" s="52" t="s">
        <v>2231</v>
      </c>
      <c r="F879" s="52" t="s">
        <v>62</v>
      </c>
      <c r="G879" s="52" t="s">
        <v>1473</v>
      </c>
      <c r="H879" s="52" t="s">
        <v>62</v>
      </c>
      <c r="I879" s="53">
        <v>289990</v>
      </c>
      <c r="J879" s="53" t="s">
        <v>63</v>
      </c>
      <c r="K879" s="53" t="s">
        <v>64</v>
      </c>
      <c r="L879" s="53" t="s">
        <v>65</v>
      </c>
      <c r="M879" s="53" t="s">
        <v>66</v>
      </c>
      <c r="N879" s="52" t="str">
        <f ca="1">IF(INDIRECT("M879")="Clásica","14%",IF(INDIRECT("M879")="Premium","18%","-"))</f>
        <v>14%</v>
      </c>
      <c r="O879" s="53" t="s">
        <v>1455</v>
      </c>
    </row>
    <row r="880" spans="1:15" ht="49.95" customHeight="1">
      <c r="A880" s="52" t="s">
        <v>24</v>
      </c>
      <c r="B880" s="52" t="s">
        <v>2230</v>
      </c>
      <c r="C880" s="52" t="s">
        <v>2232</v>
      </c>
      <c r="D880" s="52" t="s">
        <v>2232</v>
      </c>
      <c r="E880" s="54" t="str">
        <f>"     "&amp;E879</f>
        <v xml:space="preserve">     Maletas Laterales 35 L Aluminio Moto Negro/gris Sin Anclaje</v>
      </c>
      <c r="F880" s="52" t="s">
        <v>86</v>
      </c>
      <c r="G880" s="53">
        <v>0</v>
      </c>
      <c r="H880" s="52" t="s">
        <v>62</v>
      </c>
      <c r="I880" s="52">
        <f>I879</f>
        <v>289990</v>
      </c>
      <c r="J880" s="52" t="str">
        <f>J879&amp;"     "</f>
        <v xml:space="preserve">$     </v>
      </c>
      <c r="K880" s="52" t="str">
        <f>K879&amp;"     "</f>
        <v xml:space="preserve">Nuevo     </v>
      </c>
      <c r="L880" s="52" t="str">
        <f>L879&amp;"     "</f>
        <v xml:space="preserve">Mercado Envíos gratis     </v>
      </c>
      <c r="M880" s="52" t="str">
        <f>M879&amp;"     "</f>
        <v xml:space="preserve">Clásica     </v>
      </c>
      <c r="N880" s="52" t="str">
        <f ca="1">N879</f>
        <v>14%</v>
      </c>
      <c r="O880" s="52" t="str">
        <f>O879&amp;"     "</f>
        <v xml:space="preserve">Inactiva     </v>
      </c>
    </row>
    <row r="881" spans="1:15" ht="49.95" customHeight="1">
      <c r="A881" s="52" t="s">
        <v>24</v>
      </c>
      <c r="B881" s="52" t="s">
        <v>2230</v>
      </c>
      <c r="C881" s="52" t="s">
        <v>2233</v>
      </c>
      <c r="D881" s="52" t="s">
        <v>2233</v>
      </c>
      <c r="E881" s="54" t="str">
        <f>"     "&amp;E879</f>
        <v xml:space="preserve">     Maletas Laterales 35 L Aluminio Moto Negro/gris Sin Anclaje</v>
      </c>
      <c r="F881" s="52" t="s">
        <v>97</v>
      </c>
      <c r="G881" s="53">
        <v>0</v>
      </c>
      <c r="H881" s="52" t="s">
        <v>62</v>
      </c>
      <c r="I881" s="52">
        <f>I879</f>
        <v>289990</v>
      </c>
      <c r="J881" s="52" t="str">
        <f>J879&amp;"     "</f>
        <v xml:space="preserve">$     </v>
      </c>
      <c r="K881" s="52" t="str">
        <f>K879&amp;"     "</f>
        <v xml:space="preserve">Nuevo     </v>
      </c>
      <c r="L881" s="52" t="str">
        <f>L879&amp;"     "</f>
        <v xml:space="preserve">Mercado Envíos gratis     </v>
      </c>
      <c r="M881" s="52" t="str">
        <f>M879&amp;"     "</f>
        <v xml:space="preserve">Clásica     </v>
      </c>
      <c r="N881" s="52" t="str">
        <f ca="1">N879</f>
        <v>14%</v>
      </c>
      <c r="O881" s="52" t="str">
        <f>O879&amp;"     "</f>
        <v xml:space="preserve">Inactiva     </v>
      </c>
    </row>
    <row r="882" spans="1:15" ht="49.95" customHeight="1">
      <c r="A882" s="52" t="s">
        <v>2234</v>
      </c>
      <c r="B882" s="52" t="s">
        <v>2235</v>
      </c>
      <c r="C882" s="52" t="s">
        <v>2236</v>
      </c>
      <c r="D882" s="52"/>
      <c r="E882" s="52" t="s">
        <v>2237</v>
      </c>
      <c r="F882" s="52" t="s">
        <v>2237</v>
      </c>
      <c r="G882" s="53">
        <v>0</v>
      </c>
      <c r="H882" s="52" t="s">
        <v>62</v>
      </c>
      <c r="I882" s="53">
        <v>14990</v>
      </c>
      <c r="J882" s="53" t="s">
        <v>63</v>
      </c>
      <c r="K882" s="53" t="s">
        <v>64</v>
      </c>
      <c r="L882" s="53" t="s">
        <v>71</v>
      </c>
      <c r="M882" s="53" t="s">
        <v>66</v>
      </c>
      <c r="N882" s="52" t="str">
        <f ca="1">IF(INDIRECT("M882")="Clásica","14%",IF(INDIRECT("M882")="Premium","18%","-"))</f>
        <v>14%</v>
      </c>
      <c r="O882" s="53" t="s">
        <v>1455</v>
      </c>
    </row>
    <row r="883" spans="1:15" ht="49.95" customHeight="1">
      <c r="A883" s="52" t="s">
        <v>2238</v>
      </c>
      <c r="B883" s="52" t="s">
        <v>2239</v>
      </c>
      <c r="C883" s="52" t="s">
        <v>2240</v>
      </c>
      <c r="D883" s="52"/>
      <c r="E883" s="52" t="s">
        <v>2241</v>
      </c>
      <c r="F883" s="52" t="s">
        <v>2241</v>
      </c>
      <c r="G883" s="53">
        <v>0</v>
      </c>
      <c r="H883" s="52" t="s">
        <v>62</v>
      </c>
      <c r="I883" s="53">
        <v>49990</v>
      </c>
      <c r="J883" s="53" t="s">
        <v>63</v>
      </c>
      <c r="K883" s="53" t="s">
        <v>64</v>
      </c>
      <c r="L883" s="53" t="s">
        <v>65</v>
      </c>
      <c r="M883" s="53" t="s">
        <v>66</v>
      </c>
      <c r="N883" s="52" t="str">
        <f ca="1">IF(INDIRECT("M883")="Clásica","15%",IF(INDIRECT("M883")="Premium","19%","-"))</f>
        <v>15%</v>
      </c>
      <c r="O883" s="53" t="s">
        <v>1455</v>
      </c>
    </row>
    <row r="884" spans="1:15" ht="49.95" customHeight="1">
      <c r="A884" s="52" t="s">
        <v>2242</v>
      </c>
      <c r="B884" s="52" t="s">
        <v>2243</v>
      </c>
      <c r="C884" s="52" t="s">
        <v>2244</v>
      </c>
      <c r="D884" s="52"/>
      <c r="E884" s="52" t="s">
        <v>2245</v>
      </c>
      <c r="F884" s="52" t="s">
        <v>2245</v>
      </c>
      <c r="G884" s="53">
        <v>0</v>
      </c>
      <c r="H884" s="52" t="s">
        <v>62</v>
      </c>
      <c r="I884" s="53">
        <v>14990</v>
      </c>
      <c r="J884" s="53" t="s">
        <v>63</v>
      </c>
      <c r="K884" s="53" t="s">
        <v>64</v>
      </c>
      <c r="L884" s="53" t="s">
        <v>71</v>
      </c>
      <c r="M884" s="53" t="s">
        <v>66</v>
      </c>
      <c r="N884" s="52" t="str">
        <f ca="1">IF(INDIRECT("M884")="Clásica","14%",IF(INDIRECT("M884")="Premium","18%","-"))</f>
        <v>14%</v>
      </c>
      <c r="O884" s="53" t="s">
        <v>1455</v>
      </c>
    </row>
    <row r="885" spans="1:15" ht="49.95" customHeight="1">
      <c r="A885" s="52" t="s">
        <v>2246</v>
      </c>
      <c r="B885" s="52" t="s">
        <v>2247</v>
      </c>
      <c r="C885" s="52" t="s">
        <v>2248</v>
      </c>
      <c r="D885" s="52"/>
      <c r="E885" s="52" t="s">
        <v>2249</v>
      </c>
      <c r="F885" s="52" t="s">
        <v>2249</v>
      </c>
      <c r="G885" s="53">
        <v>0</v>
      </c>
      <c r="H885" s="52" t="s">
        <v>62</v>
      </c>
      <c r="I885" s="53">
        <v>39990</v>
      </c>
      <c r="J885" s="53" t="s">
        <v>63</v>
      </c>
      <c r="K885" s="53" t="s">
        <v>64</v>
      </c>
      <c r="L885" s="53" t="s">
        <v>65</v>
      </c>
      <c r="M885" s="53" t="s">
        <v>66</v>
      </c>
      <c r="N885" s="52" t="str">
        <f ca="1">IF(INDIRECT("M885")="Clásica","14%",IF(INDIRECT("M885")="Premium","18%","-"))</f>
        <v>14%</v>
      </c>
      <c r="O885" s="53" t="s">
        <v>1455</v>
      </c>
    </row>
    <row r="886" spans="1:15" ht="49.95" customHeight="1">
      <c r="A886" s="52" t="s">
        <v>2250</v>
      </c>
      <c r="B886" s="52" t="s">
        <v>2251</v>
      </c>
      <c r="C886" s="52" t="s">
        <v>2252</v>
      </c>
      <c r="D886" s="52"/>
      <c r="E886" s="52" t="s">
        <v>2253</v>
      </c>
      <c r="F886" s="52" t="s">
        <v>2253</v>
      </c>
      <c r="G886" s="53">
        <v>0</v>
      </c>
      <c r="H886" s="52" t="s">
        <v>62</v>
      </c>
      <c r="I886" s="53">
        <v>34990</v>
      </c>
      <c r="J886" s="53" t="s">
        <v>63</v>
      </c>
      <c r="K886" s="53" t="s">
        <v>64</v>
      </c>
      <c r="L886" s="53" t="s">
        <v>65</v>
      </c>
      <c r="M886" s="53" t="s">
        <v>66</v>
      </c>
      <c r="N886" s="52" t="str">
        <f ca="1">IF(INDIRECT("M886")="Clásica","14%",IF(INDIRECT("M886")="Premium","18%","-"))</f>
        <v>14%</v>
      </c>
      <c r="O886" s="53" t="s">
        <v>1455</v>
      </c>
    </row>
    <row r="887" spans="1:15" ht="49.95" customHeight="1">
      <c r="A887" s="52" t="s">
        <v>2254</v>
      </c>
      <c r="B887" s="52" t="s">
        <v>2255</v>
      </c>
      <c r="C887" s="52" t="s">
        <v>2256</v>
      </c>
      <c r="D887" s="52"/>
      <c r="E887" s="52" t="s">
        <v>2257</v>
      </c>
      <c r="F887" s="52" t="s">
        <v>2257</v>
      </c>
      <c r="G887" s="53">
        <v>0</v>
      </c>
      <c r="H887" s="52" t="s">
        <v>62</v>
      </c>
      <c r="I887" s="53">
        <v>34990</v>
      </c>
      <c r="J887" s="53" t="s">
        <v>63</v>
      </c>
      <c r="K887" s="53" t="s">
        <v>64</v>
      </c>
      <c r="L887" s="53" t="s">
        <v>65</v>
      </c>
      <c r="M887" s="53" t="s">
        <v>66</v>
      </c>
      <c r="N887" s="52" t="str">
        <f ca="1">IF(INDIRECT("M887")="Clásica","14%",IF(INDIRECT("M887")="Premium","18%","-"))</f>
        <v>14%</v>
      </c>
      <c r="O887" s="53" t="s">
        <v>1455</v>
      </c>
    </row>
    <row r="888" spans="1:15" ht="49.95" customHeight="1">
      <c r="A888" s="52" t="s">
        <v>2250</v>
      </c>
      <c r="B888" s="52" t="s">
        <v>2258</v>
      </c>
      <c r="C888" s="52" t="s">
        <v>2252</v>
      </c>
      <c r="D888" s="52"/>
      <c r="E888" s="52" t="s">
        <v>2253</v>
      </c>
      <c r="F888" s="52" t="s">
        <v>2253</v>
      </c>
      <c r="G888" s="53">
        <v>0</v>
      </c>
      <c r="H888" s="52" t="s">
        <v>62</v>
      </c>
      <c r="I888" s="53">
        <v>44990</v>
      </c>
      <c r="J888" s="53" t="s">
        <v>63</v>
      </c>
      <c r="K888" s="53" t="s">
        <v>64</v>
      </c>
      <c r="L888" s="53" t="s">
        <v>65</v>
      </c>
      <c r="M888" s="53" t="s">
        <v>66</v>
      </c>
      <c r="N888" s="52" t="str">
        <f ca="1">IF(INDIRECT("M888")="Clásica","14%",IF(INDIRECT("M888")="Premium","18%","-"))</f>
        <v>14%</v>
      </c>
      <c r="O888" s="53" t="s">
        <v>1455</v>
      </c>
    </row>
    <row r="889" spans="1:15" ht="49.95" customHeight="1">
      <c r="A889" s="52" t="s">
        <v>2259</v>
      </c>
      <c r="B889" s="52" t="s">
        <v>2260</v>
      </c>
      <c r="C889" s="52" t="s">
        <v>2261</v>
      </c>
      <c r="D889" s="52"/>
      <c r="E889" s="52" t="s">
        <v>2262</v>
      </c>
      <c r="F889" s="52" t="s">
        <v>2262</v>
      </c>
      <c r="G889" s="53">
        <v>0</v>
      </c>
      <c r="H889" s="52" t="s">
        <v>62</v>
      </c>
      <c r="I889" s="53">
        <v>34990</v>
      </c>
      <c r="J889" s="53" t="s">
        <v>63</v>
      </c>
      <c r="K889" s="53" t="s">
        <v>64</v>
      </c>
      <c r="L889" s="53" t="s">
        <v>65</v>
      </c>
      <c r="M889" s="53" t="s">
        <v>66</v>
      </c>
      <c r="N889" s="52" t="str">
        <f ca="1">IF(INDIRECT("M889")="Clásica","14%",IF(INDIRECT("M889")="Premium","18%","-"))</f>
        <v>14%</v>
      </c>
      <c r="O889" s="53" t="s">
        <v>1455</v>
      </c>
    </row>
    <row r="890" spans="1:15" ht="49.95" customHeight="1">
      <c r="A890" s="52" t="s">
        <v>2263</v>
      </c>
      <c r="B890" s="52" t="s">
        <v>2264</v>
      </c>
      <c r="C890" s="52" t="s">
        <v>2265</v>
      </c>
      <c r="D890" s="52"/>
      <c r="E890" s="52" t="s">
        <v>2266</v>
      </c>
      <c r="F890" s="52" t="s">
        <v>2266</v>
      </c>
      <c r="G890" s="53">
        <v>0</v>
      </c>
      <c r="H890" s="52" t="s">
        <v>62</v>
      </c>
      <c r="I890" s="53">
        <v>24990</v>
      </c>
      <c r="J890" s="53" t="s">
        <v>63</v>
      </c>
      <c r="K890" s="53" t="s">
        <v>64</v>
      </c>
      <c r="L890" s="53" t="s">
        <v>65</v>
      </c>
      <c r="M890" s="53" t="s">
        <v>66</v>
      </c>
      <c r="N890" s="52" t="str">
        <f ca="1">IF(INDIRECT("M890")="Clásica","14%",IF(INDIRECT("M890")="Premium","18%","-"))</f>
        <v>14%</v>
      </c>
      <c r="O890" s="53" t="s">
        <v>1455</v>
      </c>
    </row>
    <row r="891" spans="1:15" ht="49.95" customHeight="1">
      <c r="A891" s="52" t="s">
        <v>2267</v>
      </c>
      <c r="B891" s="52" t="s">
        <v>2268</v>
      </c>
      <c r="C891" s="52" t="s">
        <v>2269</v>
      </c>
      <c r="D891" s="52"/>
      <c r="E891" s="52" t="s">
        <v>2270</v>
      </c>
      <c r="F891" s="52" t="s">
        <v>2270</v>
      </c>
      <c r="G891" s="53">
        <v>0</v>
      </c>
      <c r="H891" s="52" t="s">
        <v>62</v>
      </c>
      <c r="I891" s="53">
        <v>29990</v>
      </c>
      <c r="J891" s="53" t="s">
        <v>63</v>
      </c>
      <c r="K891" s="53" t="s">
        <v>64</v>
      </c>
      <c r="L891" s="53" t="s">
        <v>65</v>
      </c>
      <c r="M891" s="53" t="s">
        <v>66</v>
      </c>
      <c r="N891" s="52" t="str">
        <f ca="1">IF(INDIRECT("M891")="Clásica","14%",IF(INDIRECT("M891")="Premium","18%","-"))</f>
        <v>14%</v>
      </c>
      <c r="O891" s="53" t="s">
        <v>1455</v>
      </c>
    </row>
    <row r="892" spans="1:15" ht="49.95" customHeight="1">
      <c r="A892" s="52" t="s">
        <v>2271</v>
      </c>
      <c r="B892" s="52" t="s">
        <v>2272</v>
      </c>
      <c r="C892" s="52" t="s">
        <v>2273</v>
      </c>
      <c r="D892" s="52"/>
      <c r="E892" s="52" t="s">
        <v>2274</v>
      </c>
      <c r="F892" s="52" t="s">
        <v>2274</v>
      </c>
      <c r="G892" s="53">
        <v>0</v>
      </c>
      <c r="H892" s="52" t="s">
        <v>62</v>
      </c>
      <c r="I892" s="53">
        <v>189990</v>
      </c>
      <c r="J892" s="53" t="s">
        <v>63</v>
      </c>
      <c r="K892" s="53" t="s">
        <v>64</v>
      </c>
      <c r="L892" s="53" t="s">
        <v>65</v>
      </c>
      <c r="M892" s="53" t="s">
        <v>66</v>
      </c>
      <c r="N892" s="52" t="str">
        <f ca="1">IF(INDIRECT("M892")="Clásica","15%",IF(INDIRECT("M892")="Premium","19%","-"))</f>
        <v>15%</v>
      </c>
      <c r="O892" s="53" t="s">
        <v>1455</v>
      </c>
    </row>
    <row r="893" spans="1:15" ht="49.95" customHeight="1">
      <c r="A893" s="52" t="s">
        <v>2275</v>
      </c>
      <c r="B893" s="52" t="s">
        <v>2276</v>
      </c>
      <c r="C893" s="52" t="s">
        <v>2277</v>
      </c>
      <c r="D893" s="52"/>
      <c r="E893" s="52" t="s">
        <v>2278</v>
      </c>
      <c r="F893" s="52" t="s">
        <v>2278</v>
      </c>
      <c r="G893" s="53">
        <v>0</v>
      </c>
      <c r="H893" s="52" t="s">
        <v>62</v>
      </c>
      <c r="I893" s="53">
        <v>169990</v>
      </c>
      <c r="J893" s="53" t="s">
        <v>63</v>
      </c>
      <c r="K893" s="53" t="s">
        <v>64</v>
      </c>
      <c r="L893" s="53" t="s">
        <v>65</v>
      </c>
      <c r="M893" s="53" t="s">
        <v>66</v>
      </c>
      <c r="N893" s="52" t="str">
        <f ca="1">IF(INDIRECT("M893")="Clásica","15%",IF(INDIRECT("M893")="Premium","19%","-"))</f>
        <v>15%</v>
      </c>
      <c r="O893" s="53" t="s">
        <v>1455</v>
      </c>
    </row>
    <row r="894" spans="1:15" ht="49.95" customHeight="1">
      <c r="A894" s="52" t="s">
        <v>24</v>
      </c>
      <c r="B894" s="52" t="s">
        <v>2279</v>
      </c>
      <c r="C894" s="52"/>
      <c r="D894" s="52"/>
      <c r="E894" s="52" t="s">
        <v>2280</v>
      </c>
      <c r="F894" s="52" t="s">
        <v>62</v>
      </c>
      <c r="G894" s="52" t="s">
        <v>1473</v>
      </c>
      <c r="H894" s="52" t="s">
        <v>62</v>
      </c>
      <c r="I894" s="53">
        <v>79990</v>
      </c>
      <c r="J894" s="53" t="s">
        <v>63</v>
      </c>
      <c r="K894" s="53" t="s">
        <v>64</v>
      </c>
      <c r="L894" s="53" t="s">
        <v>65</v>
      </c>
      <c r="M894" s="53" t="s">
        <v>66</v>
      </c>
      <c r="N894" s="52" t="str">
        <f ca="1">IF(INDIRECT("M894")="Clásica","14%",IF(INDIRECT("M894")="Premium","18%","-"))</f>
        <v>14%</v>
      </c>
      <c r="O894" s="53" t="s">
        <v>1455</v>
      </c>
    </row>
    <row r="895" spans="1:15" ht="49.95" customHeight="1">
      <c r="A895" s="52" t="s">
        <v>24</v>
      </c>
      <c r="B895" s="52" t="s">
        <v>2279</v>
      </c>
      <c r="C895" s="52" t="s">
        <v>2281</v>
      </c>
      <c r="D895" s="52" t="s">
        <v>2281</v>
      </c>
      <c r="E895" s="54" t="str">
        <f>"     "&amp;E894</f>
        <v xml:space="preserve">     Sliders Protector Topes Caída Simples Yamaha R3a R3 D. 2019</v>
      </c>
      <c r="F895" s="52" t="s">
        <v>84</v>
      </c>
      <c r="G895" s="53">
        <v>0</v>
      </c>
      <c r="H895" s="52" t="s">
        <v>62</v>
      </c>
      <c r="I895" s="52">
        <f>I894</f>
        <v>79990</v>
      </c>
      <c r="J895" s="52" t="str">
        <f>J894&amp;"     "</f>
        <v xml:space="preserve">$     </v>
      </c>
      <c r="K895" s="52" t="str">
        <f>K894&amp;"     "</f>
        <v xml:space="preserve">Nuevo     </v>
      </c>
      <c r="L895" s="52" t="str">
        <f>L894&amp;"     "</f>
        <v xml:space="preserve">Mercado Envíos gratis     </v>
      </c>
      <c r="M895" s="52" t="str">
        <f>M894&amp;"     "</f>
        <v xml:space="preserve">Clásica     </v>
      </c>
      <c r="N895" s="52" t="str">
        <f ca="1">N894</f>
        <v>14%</v>
      </c>
      <c r="O895" s="52" t="str">
        <f>O894&amp;"     "</f>
        <v xml:space="preserve">Inactiva     </v>
      </c>
    </row>
    <row r="896" spans="1:15" ht="49.95" customHeight="1">
      <c r="A896" s="52" t="s">
        <v>24</v>
      </c>
      <c r="B896" s="52" t="s">
        <v>2279</v>
      </c>
      <c r="C896" s="52" t="s">
        <v>2282</v>
      </c>
      <c r="D896" s="52" t="s">
        <v>2282</v>
      </c>
      <c r="E896" s="54" t="str">
        <f>"     "&amp;E894</f>
        <v xml:space="preserve">     Sliders Protector Topes Caída Simples Yamaha R3a R3 D. 2019</v>
      </c>
      <c r="F896" s="52" t="s">
        <v>86</v>
      </c>
      <c r="G896" s="53">
        <v>0</v>
      </c>
      <c r="H896" s="52" t="s">
        <v>62</v>
      </c>
      <c r="I896" s="52">
        <f>I894</f>
        <v>79990</v>
      </c>
      <c r="J896" s="52" t="str">
        <f>J894&amp;"     "</f>
        <v xml:space="preserve">$     </v>
      </c>
      <c r="K896" s="52" t="str">
        <f>K894&amp;"     "</f>
        <v xml:space="preserve">Nuevo     </v>
      </c>
      <c r="L896" s="52" t="str">
        <f>L894&amp;"     "</f>
        <v xml:space="preserve">Mercado Envíos gratis     </v>
      </c>
      <c r="M896" s="52" t="str">
        <f>M894&amp;"     "</f>
        <v xml:space="preserve">Clásica     </v>
      </c>
      <c r="N896" s="52" t="str">
        <f ca="1">N894</f>
        <v>14%</v>
      </c>
      <c r="O896" s="52" t="str">
        <f>O894&amp;"     "</f>
        <v xml:space="preserve">Inactiva     </v>
      </c>
    </row>
    <row r="897" spans="1:15" ht="49.95" customHeight="1">
      <c r="A897" s="52" t="s">
        <v>2283</v>
      </c>
      <c r="B897" s="52" t="s">
        <v>2284</v>
      </c>
      <c r="C897" s="52" t="s">
        <v>2285</v>
      </c>
      <c r="D897" s="52"/>
      <c r="E897" s="52" t="s">
        <v>2286</v>
      </c>
      <c r="F897" s="52" t="s">
        <v>86</v>
      </c>
      <c r="G897" s="53">
        <v>0</v>
      </c>
      <c r="H897" s="52" t="s">
        <v>62</v>
      </c>
      <c r="I897" s="53">
        <v>69990</v>
      </c>
      <c r="J897" s="53" t="s">
        <v>63</v>
      </c>
      <c r="K897" s="53" t="s">
        <v>64</v>
      </c>
      <c r="L897" s="53" t="s">
        <v>65</v>
      </c>
      <c r="M897" s="53" t="s">
        <v>66</v>
      </c>
      <c r="N897" s="52" t="str">
        <f ca="1">IF(INDIRECT("M897")="Clásica","14%",IF(INDIRECT("M897")="Premium","18%","-"))</f>
        <v>14%</v>
      </c>
      <c r="O897" s="53" t="s">
        <v>1455</v>
      </c>
    </row>
    <row r="898" spans="1:15" ht="49.95" customHeight="1">
      <c r="A898" s="52" t="s">
        <v>2287</v>
      </c>
      <c r="B898" s="52" t="s">
        <v>2288</v>
      </c>
      <c r="C898" s="52" t="s">
        <v>2289</v>
      </c>
      <c r="D898" s="52"/>
      <c r="E898" s="52" t="s">
        <v>285</v>
      </c>
      <c r="F898" s="52" t="s">
        <v>285</v>
      </c>
      <c r="G898" s="53">
        <v>0</v>
      </c>
      <c r="H898" s="52" t="s">
        <v>62</v>
      </c>
      <c r="I898" s="53">
        <v>29990</v>
      </c>
      <c r="J898" s="53" t="s">
        <v>63</v>
      </c>
      <c r="K898" s="53" t="s">
        <v>64</v>
      </c>
      <c r="L898" s="53" t="s">
        <v>65</v>
      </c>
      <c r="M898" s="53" t="s">
        <v>66</v>
      </c>
      <c r="N898" s="52" t="str">
        <f ca="1">IF(INDIRECT("M898")="Clásica","14%",IF(INDIRECT("M898")="Premium","18%","-"))</f>
        <v>14%</v>
      </c>
      <c r="O898" s="53" t="s">
        <v>1455</v>
      </c>
    </row>
    <row r="899" spans="1:15" ht="49.95" customHeight="1">
      <c r="A899" s="52" t="s">
        <v>2290</v>
      </c>
      <c r="B899" s="52" t="s">
        <v>2291</v>
      </c>
      <c r="C899" s="52" t="s">
        <v>2292</v>
      </c>
      <c r="D899" s="52"/>
      <c r="E899" s="52" t="s">
        <v>2293</v>
      </c>
      <c r="F899" s="52" t="s">
        <v>2293</v>
      </c>
      <c r="G899" s="53">
        <v>0</v>
      </c>
      <c r="H899" s="52" t="s">
        <v>62</v>
      </c>
      <c r="I899" s="53">
        <v>64990</v>
      </c>
      <c r="J899" s="53" t="s">
        <v>63</v>
      </c>
      <c r="K899" s="53" t="s">
        <v>64</v>
      </c>
      <c r="L899" s="53" t="s">
        <v>65</v>
      </c>
      <c r="M899" s="53" t="s">
        <v>66</v>
      </c>
      <c r="N899" s="52" t="str">
        <f ca="1">IF(INDIRECT("M899")="Clásica","14%",IF(INDIRECT("M899")="Premium","18%","-"))</f>
        <v>14%</v>
      </c>
      <c r="O899" s="53" t="s">
        <v>1455</v>
      </c>
    </row>
    <row r="900" spans="1:15" ht="49.95" customHeight="1">
      <c r="A900" s="52" t="s">
        <v>2294</v>
      </c>
      <c r="B900" s="52" t="s">
        <v>2295</v>
      </c>
      <c r="C900" s="52" t="s">
        <v>2296</v>
      </c>
      <c r="D900" s="52"/>
      <c r="E900" s="52" t="s">
        <v>2297</v>
      </c>
      <c r="F900" s="52" t="s">
        <v>2297</v>
      </c>
      <c r="G900" s="53">
        <v>0</v>
      </c>
      <c r="H900" s="52" t="s">
        <v>62</v>
      </c>
      <c r="I900" s="53">
        <v>25990</v>
      </c>
      <c r="J900" s="53" t="s">
        <v>63</v>
      </c>
      <c r="K900" s="53" t="s">
        <v>64</v>
      </c>
      <c r="L900" s="53" t="s">
        <v>65</v>
      </c>
      <c r="M900" s="53" t="s">
        <v>66</v>
      </c>
      <c r="N900" s="52" t="str">
        <f ca="1">IF(INDIRECT("M900")="Clásica","14%",IF(INDIRECT("M900")="Premium","18%","-"))</f>
        <v>14%</v>
      </c>
      <c r="O900" s="53" t="s">
        <v>1455</v>
      </c>
    </row>
    <row r="901" spans="1:15" ht="49.95" customHeight="1">
      <c r="A901" s="52" t="s">
        <v>2298</v>
      </c>
      <c r="B901" s="52" t="s">
        <v>2299</v>
      </c>
      <c r="C901" s="52" t="s">
        <v>2300</v>
      </c>
      <c r="D901" s="52"/>
      <c r="E901" s="52" t="s">
        <v>2301</v>
      </c>
      <c r="F901" s="52" t="s">
        <v>86</v>
      </c>
      <c r="G901" s="53">
        <v>0</v>
      </c>
      <c r="H901" s="52" t="s">
        <v>62</v>
      </c>
      <c r="I901" s="53">
        <v>15990</v>
      </c>
      <c r="J901" s="53" t="s">
        <v>63</v>
      </c>
      <c r="K901" s="53" t="s">
        <v>64</v>
      </c>
      <c r="L901" s="53" t="s">
        <v>71</v>
      </c>
      <c r="M901" s="53" t="s">
        <v>66</v>
      </c>
      <c r="N901" s="52" t="str">
        <f ca="1">IF(INDIRECT("M901")="Clásica","14%",IF(INDIRECT("M901")="Premium","18%","-"))</f>
        <v>14%</v>
      </c>
      <c r="O901" s="53" t="s">
        <v>1455</v>
      </c>
    </row>
    <row r="902" spans="1:15" ht="49.95" customHeight="1">
      <c r="A902" s="52" t="s">
        <v>2302</v>
      </c>
      <c r="B902" s="52" t="s">
        <v>2303</v>
      </c>
      <c r="C902" s="52" t="s">
        <v>2304</v>
      </c>
      <c r="D902" s="52"/>
      <c r="E902" s="52" t="s">
        <v>2305</v>
      </c>
      <c r="F902" s="52" t="s">
        <v>2305</v>
      </c>
      <c r="G902" s="53">
        <v>0</v>
      </c>
      <c r="H902" s="52" t="s">
        <v>62</v>
      </c>
      <c r="I902" s="53">
        <v>100990</v>
      </c>
      <c r="J902" s="53" t="s">
        <v>63</v>
      </c>
      <c r="K902" s="53" t="s">
        <v>64</v>
      </c>
      <c r="L902" s="53" t="s">
        <v>65</v>
      </c>
      <c r="M902" s="53" t="s">
        <v>66</v>
      </c>
      <c r="N902" s="52" t="str">
        <f ca="1">IF(INDIRECT("M902")="Clásica","14%",IF(INDIRECT("M902")="Premium","18%","-"))</f>
        <v>14%</v>
      </c>
      <c r="O902" s="53" t="s">
        <v>1455</v>
      </c>
    </row>
    <row r="903" spans="1:15" ht="49.95" customHeight="1">
      <c r="A903" s="52" t="s">
        <v>2306</v>
      </c>
      <c r="B903" s="52" t="s">
        <v>2307</v>
      </c>
      <c r="C903" s="52" t="s">
        <v>2308</v>
      </c>
      <c r="D903" s="52"/>
      <c r="E903" s="52" t="s">
        <v>2309</v>
      </c>
      <c r="F903" s="52" t="s">
        <v>2309</v>
      </c>
      <c r="G903" s="53">
        <v>0</v>
      </c>
      <c r="H903" s="52" t="s">
        <v>62</v>
      </c>
      <c r="I903" s="53">
        <v>69990</v>
      </c>
      <c r="J903" s="53" t="s">
        <v>63</v>
      </c>
      <c r="K903" s="53" t="s">
        <v>64</v>
      </c>
      <c r="L903" s="53" t="s">
        <v>65</v>
      </c>
      <c r="M903" s="53" t="s">
        <v>1240</v>
      </c>
      <c r="N903" s="52" t="str">
        <f ca="1">IF(INDIRECT("M903")="Clásica","14%",IF(INDIRECT("M903")="Premium","18%","-"))</f>
        <v>18%</v>
      </c>
      <c r="O903" s="53" t="s">
        <v>1455</v>
      </c>
    </row>
    <row r="904" spans="1:15" ht="49.95" customHeight="1">
      <c r="A904" s="52" t="s">
        <v>2310</v>
      </c>
      <c r="B904" s="52" t="s">
        <v>2311</v>
      </c>
      <c r="C904" s="52" t="s">
        <v>2312</v>
      </c>
      <c r="D904" s="52"/>
      <c r="E904" s="52" t="s">
        <v>2313</v>
      </c>
      <c r="F904" s="52" t="s">
        <v>2313</v>
      </c>
      <c r="G904" s="53">
        <v>0</v>
      </c>
      <c r="H904" s="52" t="s">
        <v>62</v>
      </c>
      <c r="I904" s="53">
        <v>39990</v>
      </c>
      <c r="J904" s="53" t="s">
        <v>63</v>
      </c>
      <c r="K904" s="53" t="s">
        <v>64</v>
      </c>
      <c r="L904" s="53" t="s">
        <v>65</v>
      </c>
      <c r="M904" s="53" t="s">
        <v>66</v>
      </c>
      <c r="N904" s="52" t="str">
        <f ca="1">IF(INDIRECT("M904")="Clásica","15%",IF(INDIRECT("M904")="Premium","19%","-"))</f>
        <v>15%</v>
      </c>
      <c r="O904" s="53" t="s">
        <v>1455</v>
      </c>
    </row>
    <row r="905" spans="1:15" ht="49.95" customHeight="1">
      <c r="A905" s="52" t="s">
        <v>2314</v>
      </c>
      <c r="B905" s="52" t="s">
        <v>2315</v>
      </c>
      <c r="C905" s="52" t="s">
        <v>2316</v>
      </c>
      <c r="D905" s="52"/>
      <c r="E905" s="55" t="s">
        <v>2317</v>
      </c>
      <c r="F905" s="52" t="s">
        <v>2317</v>
      </c>
      <c r="G905" s="53">
        <v>0</v>
      </c>
      <c r="H905" s="52" t="s">
        <v>62</v>
      </c>
      <c r="I905" s="53">
        <v>18990</v>
      </c>
      <c r="J905" s="53" t="s">
        <v>63</v>
      </c>
      <c r="K905" s="53" t="s">
        <v>64</v>
      </c>
      <c r="L905" s="53" t="s">
        <v>71</v>
      </c>
      <c r="M905" s="53" t="s">
        <v>66</v>
      </c>
      <c r="N905" s="52" t="str">
        <f ca="1">IF(INDIRECT("M905")="Clásica","14%",IF(INDIRECT("M905")="Premium","18%","-"))</f>
        <v>14%</v>
      </c>
      <c r="O905" s="53" t="s">
        <v>1455</v>
      </c>
    </row>
    <row r="906" spans="1:15" ht="49.95" customHeight="1">
      <c r="A906" s="52" t="s">
        <v>2318</v>
      </c>
      <c r="B906" s="52" t="s">
        <v>2319</v>
      </c>
      <c r="C906" s="52" t="s">
        <v>2320</v>
      </c>
      <c r="D906" s="52"/>
      <c r="E906" s="55" t="s">
        <v>2321</v>
      </c>
      <c r="F906" s="52" t="s">
        <v>2321</v>
      </c>
      <c r="G906" s="53">
        <v>0</v>
      </c>
      <c r="H906" s="52" t="s">
        <v>62</v>
      </c>
      <c r="I906" s="53">
        <v>34990</v>
      </c>
      <c r="J906" s="53" t="s">
        <v>63</v>
      </c>
      <c r="K906" s="53" t="s">
        <v>64</v>
      </c>
      <c r="L906" s="53" t="s">
        <v>65</v>
      </c>
      <c r="M906" s="53" t="s">
        <v>66</v>
      </c>
      <c r="N906" s="52" t="str">
        <f ca="1">IF(INDIRECT("M906")="Clásica","14%",IF(INDIRECT("M906")="Premium","18%","-"))</f>
        <v>14%</v>
      </c>
      <c r="O906" s="53" t="s">
        <v>1455</v>
      </c>
    </row>
    <row r="907" spans="1:15" ht="49.95" customHeight="1">
      <c r="A907" s="52" t="s">
        <v>2322</v>
      </c>
      <c r="B907" s="52" t="s">
        <v>2323</v>
      </c>
      <c r="C907" s="52" t="s">
        <v>2324</v>
      </c>
      <c r="D907" s="52"/>
      <c r="E907" s="55" t="s">
        <v>2325</v>
      </c>
      <c r="F907" s="52" t="s">
        <v>2325</v>
      </c>
      <c r="G907" s="53">
        <v>0</v>
      </c>
      <c r="H907" s="52" t="s">
        <v>62</v>
      </c>
      <c r="I907" s="53">
        <v>29990</v>
      </c>
      <c r="J907" s="53" t="s">
        <v>63</v>
      </c>
      <c r="K907" s="53" t="s">
        <v>64</v>
      </c>
      <c r="L907" s="53" t="s">
        <v>65</v>
      </c>
      <c r="M907" s="53" t="s">
        <v>66</v>
      </c>
      <c r="N907" s="52" t="str">
        <f ca="1">IF(INDIRECT("M907")="Clásica","14%",IF(INDIRECT("M907")="Premium","18%","-"))</f>
        <v>14%</v>
      </c>
      <c r="O907" s="53" t="s">
        <v>1455</v>
      </c>
    </row>
    <row r="908" spans="1:15" ht="49.95" customHeight="1">
      <c r="A908" s="52" t="s">
        <v>2326</v>
      </c>
      <c r="B908" s="52" t="s">
        <v>2327</v>
      </c>
      <c r="C908" s="52" t="s">
        <v>2328</v>
      </c>
      <c r="D908" s="52"/>
      <c r="E908" s="55" t="s">
        <v>2329</v>
      </c>
      <c r="F908" s="52" t="s">
        <v>2329</v>
      </c>
      <c r="G908" s="53">
        <v>0</v>
      </c>
      <c r="H908" s="52" t="s">
        <v>62</v>
      </c>
      <c r="I908" s="53">
        <v>96990</v>
      </c>
      <c r="J908" s="53" t="s">
        <v>63</v>
      </c>
      <c r="K908" s="53" t="s">
        <v>64</v>
      </c>
      <c r="L908" s="53" t="s">
        <v>65</v>
      </c>
      <c r="M908" s="53" t="s">
        <v>66</v>
      </c>
      <c r="N908" s="52" t="str">
        <f ca="1">IF(INDIRECT("M908")="Clásica","14%",IF(INDIRECT("M908")="Premium","18%","-"))</f>
        <v>14%</v>
      </c>
      <c r="O908" s="53" t="s">
        <v>1455</v>
      </c>
    </row>
    <row r="909" spans="1:15" ht="49.95" customHeight="1">
      <c r="A909" s="52" t="s">
        <v>2330</v>
      </c>
      <c r="B909" s="52" t="s">
        <v>2331</v>
      </c>
      <c r="C909" s="52" t="s">
        <v>2332</v>
      </c>
      <c r="D909" s="52"/>
      <c r="E909" s="55" t="s">
        <v>2333</v>
      </c>
      <c r="F909" s="52" t="s">
        <v>86</v>
      </c>
      <c r="G909" s="53">
        <v>0</v>
      </c>
      <c r="H909" s="52" t="s">
        <v>62</v>
      </c>
      <c r="I909" s="53">
        <v>149990</v>
      </c>
      <c r="J909" s="53" t="s">
        <v>63</v>
      </c>
      <c r="K909" s="53" t="s">
        <v>64</v>
      </c>
      <c r="L909" s="53" t="s">
        <v>65</v>
      </c>
      <c r="M909" s="53" t="s">
        <v>66</v>
      </c>
      <c r="N909" s="52" t="str">
        <f ca="1">IF(INDIRECT("M909")="Clásica","14%",IF(INDIRECT("M909")="Premium","18%","-"))</f>
        <v>14%</v>
      </c>
      <c r="O909" s="53" t="s">
        <v>1455</v>
      </c>
    </row>
    <row r="910" spans="1:15" ht="49.95" customHeight="1">
      <c r="A910" s="52" t="s">
        <v>2334</v>
      </c>
      <c r="B910" s="52" t="s">
        <v>2335</v>
      </c>
      <c r="C910" s="52" t="s">
        <v>2336</v>
      </c>
      <c r="D910" s="52"/>
      <c r="E910" s="55" t="s">
        <v>2337</v>
      </c>
      <c r="F910" s="52" t="s">
        <v>2337</v>
      </c>
      <c r="G910" s="53">
        <v>0</v>
      </c>
      <c r="H910" s="52" t="s">
        <v>62</v>
      </c>
      <c r="I910" s="53">
        <v>9990</v>
      </c>
      <c r="J910" s="53" t="s">
        <v>63</v>
      </c>
      <c r="K910" s="53" t="s">
        <v>64</v>
      </c>
      <c r="L910" s="53" t="s">
        <v>71</v>
      </c>
      <c r="M910" s="53" t="s">
        <v>66</v>
      </c>
      <c r="N910" s="52" t="str">
        <f ca="1">IF(INDIRECT("M910")="Clásica","14%",IF(INDIRECT("M910")="Premium","18%","-"))</f>
        <v>14%</v>
      </c>
      <c r="O910" s="53" t="s">
        <v>1455</v>
      </c>
    </row>
    <row r="911" spans="1:15" ht="49.95" customHeight="1">
      <c r="A911" s="52" t="s">
        <v>2338</v>
      </c>
      <c r="B911" s="52" t="s">
        <v>2339</v>
      </c>
      <c r="C911" s="52" t="s">
        <v>2340</v>
      </c>
      <c r="D911" s="52"/>
      <c r="E911" s="55" t="s">
        <v>2341</v>
      </c>
      <c r="F911" s="52" t="s">
        <v>2341</v>
      </c>
      <c r="G911" s="53">
        <v>0</v>
      </c>
      <c r="H911" s="52" t="s">
        <v>62</v>
      </c>
      <c r="I911" s="53">
        <v>139990</v>
      </c>
      <c r="J911" s="53" t="s">
        <v>63</v>
      </c>
      <c r="K911" s="53" t="s">
        <v>64</v>
      </c>
      <c r="L911" s="53" t="s">
        <v>65</v>
      </c>
      <c r="M911" s="53" t="s">
        <v>66</v>
      </c>
      <c r="N911" s="52" t="str">
        <f ca="1">IF(INDIRECT("M911")="Clásica","15%",IF(INDIRECT("M911")="Premium","19%","-"))</f>
        <v>15%</v>
      </c>
      <c r="O911" s="53" t="s">
        <v>1455</v>
      </c>
    </row>
    <row r="912" spans="1:15" ht="49.95" customHeight="1">
      <c r="A912" s="52" t="s">
        <v>2342</v>
      </c>
      <c r="B912" s="52" t="s">
        <v>2343</v>
      </c>
      <c r="C912" s="52" t="s">
        <v>2344</v>
      </c>
      <c r="D912" s="52"/>
      <c r="E912" s="55" t="s">
        <v>2345</v>
      </c>
      <c r="F912" s="52" t="s">
        <v>2345</v>
      </c>
      <c r="G912" s="53">
        <v>0</v>
      </c>
      <c r="H912" s="52" t="s">
        <v>62</v>
      </c>
      <c r="I912" s="53">
        <v>24990</v>
      </c>
      <c r="J912" s="53" t="s">
        <v>63</v>
      </c>
      <c r="K912" s="53" t="s">
        <v>64</v>
      </c>
      <c r="L912" s="53" t="s">
        <v>65</v>
      </c>
      <c r="M912" s="53" t="s">
        <v>66</v>
      </c>
      <c r="N912" s="52" t="str">
        <f ca="1">IF(INDIRECT("M912")="Clásica","14%",IF(INDIRECT("M912")="Premium","18%","-"))</f>
        <v>14%</v>
      </c>
      <c r="O912" s="53" t="s">
        <v>1455</v>
      </c>
    </row>
    <row r="913" spans="1:15" ht="49.95" customHeight="1">
      <c r="A913" s="52" t="s">
        <v>2346</v>
      </c>
      <c r="B913" s="52" t="s">
        <v>2347</v>
      </c>
      <c r="C913" s="52" t="s">
        <v>2348</v>
      </c>
      <c r="D913" s="52"/>
      <c r="E913" s="55" t="s">
        <v>2349</v>
      </c>
      <c r="F913" s="52" t="s">
        <v>2349</v>
      </c>
      <c r="G913" s="53">
        <v>0</v>
      </c>
      <c r="H913" s="52" t="s">
        <v>62</v>
      </c>
      <c r="I913" s="53">
        <v>29990</v>
      </c>
      <c r="J913" s="53" t="s">
        <v>63</v>
      </c>
      <c r="K913" s="53" t="s">
        <v>64</v>
      </c>
      <c r="L913" s="53" t="s">
        <v>65</v>
      </c>
      <c r="M913" s="53" t="s">
        <v>66</v>
      </c>
      <c r="N913" s="52" t="str">
        <f ca="1">IF(INDIRECT("M913")="Clásica","14%",IF(INDIRECT("M913")="Premium","18%","-"))</f>
        <v>14%</v>
      </c>
      <c r="O913" s="53" t="s">
        <v>1455</v>
      </c>
    </row>
    <row r="914" spans="1:15" ht="49.95" customHeight="1">
      <c r="A914" s="52" t="s">
        <v>2350</v>
      </c>
      <c r="B914" s="52" t="s">
        <v>2351</v>
      </c>
      <c r="C914" s="52" t="s">
        <v>2352</v>
      </c>
      <c r="D914" s="52"/>
      <c r="E914" s="55" t="s">
        <v>2353</v>
      </c>
      <c r="F914" s="52" t="s">
        <v>2353</v>
      </c>
      <c r="G914" s="53">
        <v>0</v>
      </c>
      <c r="H914" s="52" t="s">
        <v>62</v>
      </c>
      <c r="I914" s="53">
        <v>29990</v>
      </c>
      <c r="J914" s="53" t="s">
        <v>63</v>
      </c>
      <c r="K914" s="53" t="s">
        <v>64</v>
      </c>
      <c r="L914" s="53" t="s">
        <v>65</v>
      </c>
      <c r="M914" s="53" t="s">
        <v>66</v>
      </c>
      <c r="N914" s="52" t="str">
        <f ca="1">IF(INDIRECT("M914")="Clásica","15%",IF(INDIRECT("M914")="Premium","19%","-"))</f>
        <v>15%</v>
      </c>
      <c r="O914" s="53" t="s">
        <v>1455</v>
      </c>
    </row>
    <row r="915" spans="1:15" ht="49.95" customHeight="1">
      <c r="A915" s="52" t="s">
        <v>2190</v>
      </c>
      <c r="B915" s="52" t="s">
        <v>2354</v>
      </c>
      <c r="C915" s="52" t="s">
        <v>2192</v>
      </c>
      <c r="D915" s="52"/>
      <c r="E915" s="55" t="s">
        <v>2355</v>
      </c>
      <c r="F915" s="52" t="s">
        <v>2355</v>
      </c>
      <c r="G915" s="53">
        <v>0</v>
      </c>
      <c r="H915" s="52" t="s">
        <v>62</v>
      </c>
      <c r="I915" s="53">
        <v>122990</v>
      </c>
      <c r="J915" s="53" t="s">
        <v>63</v>
      </c>
      <c r="K915" s="53" t="s">
        <v>64</v>
      </c>
      <c r="L915" s="53" t="s">
        <v>65</v>
      </c>
      <c r="M915" s="53" t="s">
        <v>66</v>
      </c>
      <c r="N915" s="52" t="str">
        <f ca="1">IF(INDIRECT("M915")="Clásica","13%",IF(INDIRECT("M915")="Premium","17%","-"))</f>
        <v>13%</v>
      </c>
      <c r="O915" s="53" t="s">
        <v>1455</v>
      </c>
    </row>
    <row r="916" spans="1:15" ht="49.95" customHeight="1">
      <c r="A916" s="52" t="s">
        <v>2356</v>
      </c>
      <c r="B916" s="52" t="s">
        <v>2357</v>
      </c>
      <c r="C916" s="52" t="s">
        <v>2358</v>
      </c>
      <c r="D916" s="52"/>
      <c r="E916" s="55" t="s">
        <v>2359</v>
      </c>
      <c r="F916" s="52" t="s">
        <v>2359</v>
      </c>
      <c r="G916" s="53">
        <v>0</v>
      </c>
      <c r="H916" s="52" t="s">
        <v>62</v>
      </c>
      <c r="I916" s="53">
        <v>8800</v>
      </c>
      <c r="J916" s="53" t="s">
        <v>63</v>
      </c>
      <c r="K916" s="53" t="s">
        <v>64</v>
      </c>
      <c r="L916" s="53" t="s">
        <v>71</v>
      </c>
      <c r="M916" s="53" t="s">
        <v>66</v>
      </c>
      <c r="N916" s="52" t="str">
        <f ca="1">IF(INDIRECT("M916")="Clásica","15%",IF(INDIRECT("M916")="Premium","19%","-"))</f>
        <v>15%</v>
      </c>
      <c r="O916" s="53" t="s">
        <v>1455</v>
      </c>
    </row>
    <row r="917" spans="1:15" ht="49.95" customHeight="1">
      <c r="A917" s="52" t="s">
        <v>2360</v>
      </c>
      <c r="B917" s="52" t="s">
        <v>2361</v>
      </c>
      <c r="C917" s="52" t="s">
        <v>2362</v>
      </c>
      <c r="D917" s="52"/>
      <c r="E917" s="55" t="s">
        <v>2363</v>
      </c>
      <c r="F917" s="52" t="s">
        <v>2363</v>
      </c>
      <c r="G917" s="53">
        <v>0</v>
      </c>
      <c r="H917" s="52" t="s">
        <v>62</v>
      </c>
      <c r="I917" s="53">
        <v>38100</v>
      </c>
      <c r="J917" s="53" t="s">
        <v>63</v>
      </c>
      <c r="K917" s="53" t="s">
        <v>64</v>
      </c>
      <c r="L917" s="53" t="s">
        <v>65</v>
      </c>
      <c r="M917" s="53" t="s">
        <v>66</v>
      </c>
      <c r="N917" s="52" t="str">
        <f ca="1">IF(INDIRECT("M917")="Clásica","15%",IF(INDIRECT("M917")="Premium","19%","-"))</f>
        <v>15%</v>
      </c>
      <c r="O917" s="53" t="s">
        <v>1455</v>
      </c>
    </row>
    <row r="918" spans="1:15" ht="49.95" customHeight="1">
      <c r="A918" s="52" t="s">
        <v>2364</v>
      </c>
      <c r="B918" s="52" t="s">
        <v>2365</v>
      </c>
      <c r="C918" s="52" t="s">
        <v>2366</v>
      </c>
      <c r="D918" s="52"/>
      <c r="E918" s="55" t="s">
        <v>2367</v>
      </c>
      <c r="F918" s="52" t="s">
        <v>2367</v>
      </c>
      <c r="G918" s="53">
        <v>0</v>
      </c>
      <c r="H918" s="52" t="s">
        <v>62</v>
      </c>
      <c r="I918" s="53">
        <v>6100</v>
      </c>
      <c r="J918" s="53" t="s">
        <v>63</v>
      </c>
      <c r="K918" s="53" t="s">
        <v>64</v>
      </c>
      <c r="L918" s="53" t="s">
        <v>71</v>
      </c>
      <c r="M918" s="53" t="s">
        <v>66</v>
      </c>
      <c r="N918" s="52" t="str">
        <f ca="1">IF(INDIRECT("M918")="Clásica","15%",IF(INDIRECT("M918")="Premium","19%","-"))</f>
        <v>15%</v>
      </c>
      <c r="O918" s="53" t="s">
        <v>1455</v>
      </c>
    </row>
    <row r="919" spans="1:15" ht="49.95" customHeight="1">
      <c r="A919" s="52" t="s">
        <v>2368</v>
      </c>
      <c r="B919" s="52" t="s">
        <v>2369</v>
      </c>
      <c r="C919" s="52" t="s">
        <v>2370</v>
      </c>
      <c r="D919" s="52"/>
      <c r="E919" s="55" t="s">
        <v>2371</v>
      </c>
      <c r="F919" s="52" t="s">
        <v>2371</v>
      </c>
      <c r="G919" s="53">
        <v>0</v>
      </c>
      <c r="H919" s="52" t="s">
        <v>62</v>
      </c>
      <c r="I919" s="53">
        <v>109100</v>
      </c>
      <c r="J919" s="53" t="s">
        <v>63</v>
      </c>
      <c r="K919" s="53" t="s">
        <v>64</v>
      </c>
      <c r="L919" s="53" t="s">
        <v>65</v>
      </c>
      <c r="M919" s="53" t="s">
        <v>66</v>
      </c>
      <c r="N919" s="52" t="str">
        <f ca="1">IF(INDIRECT("M919")="Clásica","15%",IF(INDIRECT("M919")="Premium","19%","-"))</f>
        <v>15%</v>
      </c>
      <c r="O919" s="53" t="s">
        <v>1455</v>
      </c>
    </row>
    <row r="920" spans="1:15" ht="49.95" customHeight="1">
      <c r="A920" s="52" t="s">
        <v>2372</v>
      </c>
      <c r="B920" s="52" t="s">
        <v>2373</v>
      </c>
      <c r="C920" s="52" t="s">
        <v>2374</v>
      </c>
      <c r="D920" s="52"/>
      <c r="E920" s="55" t="s">
        <v>2375</v>
      </c>
      <c r="F920" s="52" t="s">
        <v>2375</v>
      </c>
      <c r="G920" s="53">
        <v>0</v>
      </c>
      <c r="H920" s="52" t="s">
        <v>62</v>
      </c>
      <c r="I920" s="53">
        <v>8800</v>
      </c>
      <c r="J920" s="53" t="s">
        <v>63</v>
      </c>
      <c r="K920" s="53" t="s">
        <v>64</v>
      </c>
      <c r="L920" s="53" t="s">
        <v>71</v>
      </c>
      <c r="M920" s="53" t="s">
        <v>66</v>
      </c>
      <c r="N920" s="52" t="str">
        <f ca="1">IF(INDIRECT("M920")="Clásica","15%",IF(INDIRECT("M920")="Premium","19%","-"))</f>
        <v>15%</v>
      </c>
      <c r="O920" s="53" t="s">
        <v>1455</v>
      </c>
    </row>
    <row r="921" spans="1:15" ht="49.95" customHeight="1">
      <c r="A921" s="52" t="s">
        <v>2376</v>
      </c>
      <c r="B921" s="52" t="s">
        <v>2377</v>
      </c>
      <c r="C921" s="52" t="s">
        <v>2378</v>
      </c>
      <c r="D921" s="52"/>
      <c r="E921" s="55" t="s">
        <v>2379</v>
      </c>
      <c r="F921" s="52" t="s">
        <v>2379</v>
      </c>
      <c r="G921" s="53">
        <v>0</v>
      </c>
      <c r="H921" s="52" t="s">
        <v>62</v>
      </c>
      <c r="I921" s="53">
        <v>10800</v>
      </c>
      <c r="J921" s="53" t="s">
        <v>63</v>
      </c>
      <c r="K921" s="53" t="s">
        <v>64</v>
      </c>
      <c r="L921" s="53" t="s">
        <v>71</v>
      </c>
      <c r="M921" s="53" t="s">
        <v>66</v>
      </c>
      <c r="N921" s="52" t="str">
        <f ca="1">IF(INDIRECT("M921")="Clásica","15%",IF(INDIRECT("M921")="Premium","19%","-"))</f>
        <v>15%</v>
      </c>
      <c r="O921" s="53" t="s">
        <v>1455</v>
      </c>
    </row>
    <row r="922" spans="1:15" ht="49.95" customHeight="1">
      <c r="A922" s="52" t="s">
        <v>2380</v>
      </c>
      <c r="B922" s="52" t="s">
        <v>2381</v>
      </c>
      <c r="C922" s="52" t="s">
        <v>2382</v>
      </c>
      <c r="D922" s="52"/>
      <c r="E922" s="55" t="s">
        <v>2383</v>
      </c>
      <c r="F922" s="52" t="s">
        <v>2383</v>
      </c>
      <c r="G922" s="53">
        <v>0</v>
      </c>
      <c r="H922" s="52" t="s">
        <v>62</v>
      </c>
      <c r="I922" s="53">
        <v>10200</v>
      </c>
      <c r="J922" s="53" t="s">
        <v>63</v>
      </c>
      <c r="K922" s="53" t="s">
        <v>64</v>
      </c>
      <c r="L922" s="53" t="s">
        <v>71</v>
      </c>
      <c r="M922" s="53" t="s">
        <v>66</v>
      </c>
      <c r="N922" s="52" t="str">
        <f ca="1">IF(INDIRECT("M922")="Clásica","15%",IF(INDIRECT("M922")="Premium","19%","-"))</f>
        <v>15%</v>
      </c>
      <c r="O922" s="53" t="s">
        <v>1455</v>
      </c>
    </row>
    <row r="923" spans="1:15" ht="49.95" customHeight="1">
      <c r="A923" s="52" t="s">
        <v>2384</v>
      </c>
      <c r="B923" s="52" t="s">
        <v>2385</v>
      </c>
      <c r="C923" s="52" t="s">
        <v>2386</v>
      </c>
      <c r="D923" s="52"/>
      <c r="E923" s="55" t="s">
        <v>2387</v>
      </c>
      <c r="F923" s="52" t="s">
        <v>2387</v>
      </c>
      <c r="G923" s="53">
        <v>0</v>
      </c>
      <c r="H923" s="52" t="s">
        <v>62</v>
      </c>
      <c r="I923" s="53">
        <v>156300</v>
      </c>
      <c r="J923" s="53" t="s">
        <v>63</v>
      </c>
      <c r="K923" s="53" t="s">
        <v>64</v>
      </c>
      <c r="L923" s="53" t="s">
        <v>65</v>
      </c>
      <c r="M923" s="53" t="s">
        <v>66</v>
      </c>
      <c r="N923" s="52" t="str">
        <f ca="1">IF(INDIRECT("M923")="Clásica","14%",IF(INDIRECT("M923")="Premium","18%","-"))</f>
        <v>14%</v>
      </c>
      <c r="O923" s="53" t="s">
        <v>1455</v>
      </c>
    </row>
    <row r="924" spans="1:15" ht="49.95" customHeight="1">
      <c r="A924" s="52" t="s">
        <v>2388</v>
      </c>
      <c r="B924" s="52" t="s">
        <v>2389</v>
      </c>
      <c r="C924" s="52" t="s">
        <v>2390</v>
      </c>
      <c r="D924" s="52"/>
      <c r="E924" s="55" t="s">
        <v>2391</v>
      </c>
      <c r="F924" s="52" t="s">
        <v>2391</v>
      </c>
      <c r="G924" s="53">
        <v>0</v>
      </c>
      <c r="H924" s="52" t="s">
        <v>62</v>
      </c>
      <c r="I924" s="53">
        <v>42700</v>
      </c>
      <c r="J924" s="53" t="s">
        <v>63</v>
      </c>
      <c r="K924" s="53" t="s">
        <v>64</v>
      </c>
      <c r="L924" s="53" t="s">
        <v>65</v>
      </c>
      <c r="M924" s="53" t="s">
        <v>66</v>
      </c>
      <c r="N924" s="52" t="str">
        <f ca="1">IF(INDIRECT("M924")="Clásica","15%",IF(INDIRECT("M924")="Premium","19%","-"))</f>
        <v>15%</v>
      </c>
      <c r="O924" s="53" t="s">
        <v>1455</v>
      </c>
    </row>
    <row r="925" spans="1:15" ht="49.95" customHeight="1">
      <c r="A925" s="52" t="s">
        <v>2392</v>
      </c>
      <c r="B925" s="52" t="s">
        <v>2393</v>
      </c>
      <c r="C925" s="52" t="s">
        <v>2394</v>
      </c>
      <c r="D925" s="52"/>
      <c r="E925" s="55" t="s">
        <v>2395</v>
      </c>
      <c r="F925" s="52" t="s">
        <v>2395</v>
      </c>
      <c r="G925" s="53">
        <v>0</v>
      </c>
      <c r="H925" s="52" t="s">
        <v>62</v>
      </c>
      <c r="I925" s="53">
        <v>78200</v>
      </c>
      <c r="J925" s="53" t="s">
        <v>63</v>
      </c>
      <c r="K925" s="53" t="s">
        <v>64</v>
      </c>
      <c r="L925" s="53" t="s">
        <v>65</v>
      </c>
      <c r="M925" s="53" t="s">
        <v>66</v>
      </c>
      <c r="N925" s="52" t="str">
        <f ca="1">IF(INDIRECT("M925")="Clásica","14%",IF(INDIRECT("M925")="Premium","18%","-"))</f>
        <v>14%</v>
      </c>
      <c r="O925" s="53" t="s">
        <v>1455</v>
      </c>
    </row>
    <row r="926" spans="1:15" ht="49.95" customHeight="1">
      <c r="A926" s="52" t="s">
        <v>2396</v>
      </c>
      <c r="B926" s="52" t="s">
        <v>2397</v>
      </c>
      <c r="C926" s="52" t="s">
        <v>2398</v>
      </c>
      <c r="D926" s="52"/>
      <c r="E926" s="55" t="s">
        <v>2399</v>
      </c>
      <c r="F926" s="52" t="s">
        <v>2399</v>
      </c>
      <c r="G926" s="53">
        <v>0</v>
      </c>
      <c r="H926" s="52" t="s">
        <v>62</v>
      </c>
      <c r="I926" s="53">
        <v>171100</v>
      </c>
      <c r="J926" s="53" t="s">
        <v>63</v>
      </c>
      <c r="K926" s="53" t="s">
        <v>64</v>
      </c>
      <c r="L926" s="53" t="s">
        <v>65</v>
      </c>
      <c r="M926" s="53" t="s">
        <v>66</v>
      </c>
      <c r="N926" s="52" t="str">
        <f ca="1">IF(INDIRECT("M926")="Clásica","14%",IF(INDIRECT("M926")="Premium","18%","-"))</f>
        <v>14%</v>
      </c>
      <c r="O926" s="53" t="s">
        <v>1455</v>
      </c>
    </row>
    <row r="927" spans="1:15" ht="49.95" customHeight="1">
      <c r="A927" s="52" t="s">
        <v>2400</v>
      </c>
      <c r="B927" s="52" t="s">
        <v>2401</v>
      </c>
      <c r="C927" s="52" t="s">
        <v>2402</v>
      </c>
      <c r="D927" s="52"/>
      <c r="E927" s="55" t="s">
        <v>2403</v>
      </c>
      <c r="F927" s="52" t="s">
        <v>936</v>
      </c>
      <c r="G927" s="53">
        <v>0</v>
      </c>
      <c r="H927" s="52" t="s">
        <v>62</v>
      </c>
      <c r="I927" s="53">
        <v>62700</v>
      </c>
      <c r="J927" s="53" t="s">
        <v>63</v>
      </c>
      <c r="K927" s="53" t="s">
        <v>64</v>
      </c>
      <c r="L927" s="53" t="s">
        <v>65</v>
      </c>
      <c r="M927" s="53" t="s">
        <v>66</v>
      </c>
      <c r="N927" s="52" t="str">
        <f ca="1">IF(INDIRECT("M927")="Clásica","15%",IF(INDIRECT("M927")="Premium","19%","-"))</f>
        <v>15%</v>
      </c>
      <c r="O927" s="53" t="s">
        <v>1455</v>
      </c>
    </row>
    <row r="928" spans="1:15" ht="49.95" customHeight="1">
      <c r="A928" s="52" t="s">
        <v>2404</v>
      </c>
      <c r="B928" s="52" t="s">
        <v>2405</v>
      </c>
      <c r="C928" s="52" t="s">
        <v>2406</v>
      </c>
      <c r="D928" s="52"/>
      <c r="E928" s="55" t="s">
        <v>2407</v>
      </c>
      <c r="F928" s="52" t="s">
        <v>2407</v>
      </c>
      <c r="G928" s="53">
        <v>0</v>
      </c>
      <c r="H928" s="52" t="s">
        <v>62</v>
      </c>
      <c r="I928" s="53">
        <v>3500</v>
      </c>
      <c r="J928" s="53" t="s">
        <v>63</v>
      </c>
      <c r="K928" s="53" t="s">
        <v>64</v>
      </c>
      <c r="L928" s="53" t="s">
        <v>71</v>
      </c>
      <c r="M928" s="53" t="s">
        <v>66</v>
      </c>
      <c r="N928" s="52" t="str">
        <f ca="1">IF(INDIRECT("M928")="Clásica","14%",IF(INDIRECT("M928")="Premium","18%","-"))</f>
        <v>14%</v>
      </c>
      <c r="O928" s="53" t="s">
        <v>1455</v>
      </c>
    </row>
    <row r="929" spans="1:15" ht="49.95" customHeight="1">
      <c r="A929" s="52" t="s">
        <v>2408</v>
      </c>
      <c r="B929" s="52" t="s">
        <v>2409</v>
      </c>
      <c r="C929" s="52" t="s">
        <v>2410</v>
      </c>
      <c r="D929" s="52"/>
      <c r="E929" s="55" t="s">
        <v>2411</v>
      </c>
      <c r="F929" s="52" t="s">
        <v>936</v>
      </c>
      <c r="G929" s="53">
        <v>0</v>
      </c>
      <c r="H929" s="52" t="s">
        <v>62</v>
      </c>
      <c r="I929" s="53">
        <v>31800</v>
      </c>
      <c r="J929" s="53" t="s">
        <v>63</v>
      </c>
      <c r="K929" s="53" t="s">
        <v>64</v>
      </c>
      <c r="L929" s="53" t="s">
        <v>65</v>
      </c>
      <c r="M929" s="53" t="s">
        <v>66</v>
      </c>
      <c r="N929" s="52" t="str">
        <f ca="1">IF(INDIRECT("M929")="Clásica","14%",IF(INDIRECT("M929")="Premium","18%","-"))</f>
        <v>14%</v>
      </c>
      <c r="O929" s="53" t="s">
        <v>1455</v>
      </c>
    </row>
    <row r="930" spans="1:15" ht="49.95" customHeight="1">
      <c r="A930" s="52" t="s">
        <v>2412</v>
      </c>
      <c r="B930" s="52" t="s">
        <v>2413</v>
      </c>
      <c r="C930" s="52" t="s">
        <v>2414</v>
      </c>
      <c r="D930" s="52"/>
      <c r="E930" s="55" t="s">
        <v>2415</v>
      </c>
      <c r="F930" s="52" t="s">
        <v>2415</v>
      </c>
      <c r="G930" s="53">
        <v>0</v>
      </c>
      <c r="H930" s="52" t="s">
        <v>62</v>
      </c>
      <c r="I930" s="53">
        <v>26396</v>
      </c>
      <c r="J930" s="53" t="s">
        <v>63</v>
      </c>
      <c r="K930" s="53" t="s">
        <v>64</v>
      </c>
      <c r="L930" s="53" t="s">
        <v>65</v>
      </c>
      <c r="M930" s="53" t="s">
        <v>66</v>
      </c>
      <c r="N930" s="52" t="str">
        <f ca="1">IF(INDIRECT("M930")="Clásica","15%",IF(INDIRECT("M930")="Premium","19%","-"))</f>
        <v>15%</v>
      </c>
      <c r="O930" s="53" t="s">
        <v>1455</v>
      </c>
    </row>
    <row r="931" spans="1:15" ht="49.95" customHeight="1">
      <c r="A931" s="52" t="s">
        <v>2416</v>
      </c>
      <c r="B931" s="52" t="s">
        <v>2417</v>
      </c>
      <c r="C931" s="52" t="s">
        <v>2418</v>
      </c>
      <c r="D931" s="52"/>
      <c r="E931" s="55" t="s">
        <v>2419</v>
      </c>
      <c r="F931" s="52" t="s">
        <v>2419</v>
      </c>
      <c r="G931" s="53">
        <v>0</v>
      </c>
      <c r="H931" s="52" t="s">
        <v>62</v>
      </c>
      <c r="I931" s="53">
        <v>11290</v>
      </c>
      <c r="J931" s="53" t="s">
        <v>63</v>
      </c>
      <c r="K931" s="53" t="s">
        <v>64</v>
      </c>
      <c r="L931" s="53" t="s">
        <v>71</v>
      </c>
      <c r="M931" s="53" t="s">
        <v>66</v>
      </c>
      <c r="N931" s="52" t="str">
        <f ca="1">IF(INDIRECT("M931")="Clásica","15%",IF(INDIRECT("M931")="Premium","19%","-"))</f>
        <v>15%</v>
      </c>
      <c r="O931" s="53" t="s">
        <v>1455</v>
      </c>
    </row>
    <row r="932" spans="1:15" ht="49.95" customHeight="1">
      <c r="A932" s="52" t="s">
        <v>2420</v>
      </c>
      <c r="B932" s="52" t="s">
        <v>2421</v>
      </c>
      <c r="C932" s="52" t="s">
        <v>2422</v>
      </c>
      <c r="D932" s="52"/>
      <c r="E932" s="55" t="s">
        <v>2423</v>
      </c>
      <c r="F932" s="52" t="s">
        <v>2423</v>
      </c>
      <c r="G932" s="53">
        <v>0</v>
      </c>
      <c r="H932" s="52" t="s">
        <v>62</v>
      </c>
      <c r="I932" s="53">
        <v>28990</v>
      </c>
      <c r="J932" s="53" t="s">
        <v>63</v>
      </c>
      <c r="K932" s="53" t="s">
        <v>64</v>
      </c>
      <c r="L932" s="53" t="s">
        <v>65</v>
      </c>
      <c r="M932" s="53" t="s">
        <v>66</v>
      </c>
      <c r="N932" s="52" t="str">
        <f ca="1">IF(INDIRECT("M932")="Clásica","15%",IF(INDIRECT("M932")="Premium","19%","-"))</f>
        <v>15%</v>
      </c>
      <c r="O932" s="53" t="s">
        <v>1455</v>
      </c>
    </row>
    <row r="933" spans="1:15" ht="49.95" customHeight="1">
      <c r="A933" s="52" t="s">
        <v>2424</v>
      </c>
      <c r="B933" s="52" t="s">
        <v>2425</v>
      </c>
      <c r="C933" s="52" t="s">
        <v>2426</v>
      </c>
      <c r="D933" s="52"/>
      <c r="E933" s="55" t="s">
        <v>2427</v>
      </c>
      <c r="F933" s="52" t="s">
        <v>2427</v>
      </c>
      <c r="G933" s="53">
        <v>0</v>
      </c>
      <c r="H933" s="52" t="s">
        <v>62</v>
      </c>
      <c r="I933" s="52" t="s">
        <v>24</v>
      </c>
      <c r="J933" s="53" t="s">
        <v>63</v>
      </c>
      <c r="K933" s="53" t="s">
        <v>64</v>
      </c>
      <c r="L933" s="53" t="s">
        <v>65</v>
      </c>
      <c r="M933" s="53" t="s">
        <v>66</v>
      </c>
      <c r="N933" s="52" t="str">
        <f ca="1">IF(INDIRECT("M933")="Clásica","15%",IF(INDIRECT("M933")="Premium","19%","-"))</f>
        <v>15%</v>
      </c>
      <c r="O933" s="53" t="s">
        <v>1455</v>
      </c>
    </row>
    <row r="934" spans="1:15" ht="49.95" customHeight="1">
      <c r="A934" s="52" t="s">
        <v>2428</v>
      </c>
      <c r="B934" s="52" t="s">
        <v>2429</v>
      </c>
      <c r="C934" s="52" t="s">
        <v>2430</v>
      </c>
      <c r="D934" s="52"/>
      <c r="E934" s="55" t="s">
        <v>2431</v>
      </c>
      <c r="F934" s="52" t="s">
        <v>90</v>
      </c>
      <c r="G934" s="53">
        <v>0</v>
      </c>
      <c r="H934" s="52" t="s">
        <v>62</v>
      </c>
      <c r="I934" s="53">
        <v>39990</v>
      </c>
      <c r="J934" s="53" t="s">
        <v>63</v>
      </c>
      <c r="K934" s="53" t="s">
        <v>64</v>
      </c>
      <c r="L934" s="53" t="s">
        <v>65</v>
      </c>
      <c r="M934" s="53" t="s">
        <v>66</v>
      </c>
      <c r="N934" s="52" t="str">
        <f ca="1">IF(INDIRECT("M934")="Clásica","14%",IF(INDIRECT("M934")="Premium","18%","-"))</f>
        <v>14%</v>
      </c>
      <c r="O934" s="53" t="s">
        <v>1455</v>
      </c>
    </row>
    <row r="935" spans="1:15" ht="49.95" customHeight="1">
      <c r="A935" s="52" t="s">
        <v>2432</v>
      </c>
      <c r="B935" s="52" t="s">
        <v>2433</v>
      </c>
      <c r="C935" s="52" t="s">
        <v>2434</v>
      </c>
      <c r="D935" s="52"/>
      <c r="E935" s="55" t="s">
        <v>2435</v>
      </c>
      <c r="F935" s="52" t="s">
        <v>2435</v>
      </c>
      <c r="G935" s="53">
        <v>0</v>
      </c>
      <c r="H935" s="52" t="s">
        <v>62</v>
      </c>
      <c r="I935" s="53">
        <v>54990</v>
      </c>
      <c r="J935" s="53" t="s">
        <v>63</v>
      </c>
      <c r="K935" s="53" t="s">
        <v>64</v>
      </c>
      <c r="L935" s="53" t="s">
        <v>65</v>
      </c>
      <c r="M935" s="53" t="s">
        <v>66</v>
      </c>
      <c r="N935" s="52" t="str">
        <f ca="1">IF(INDIRECT("M935")="Clásica","15%",IF(INDIRECT("M935")="Premium","19%","-"))</f>
        <v>15%</v>
      </c>
      <c r="O935" s="53" t="s">
        <v>1455</v>
      </c>
    </row>
    <row r="936" spans="1:15" ht="49.95" customHeight="1">
      <c r="A936" s="52" t="s">
        <v>2436</v>
      </c>
      <c r="B936" s="52" t="s">
        <v>2437</v>
      </c>
      <c r="C936" s="52" t="s">
        <v>2438</v>
      </c>
      <c r="D936" s="52"/>
      <c r="E936" s="55" t="s">
        <v>2439</v>
      </c>
      <c r="F936" s="52" t="s">
        <v>2439</v>
      </c>
      <c r="G936" s="53">
        <v>0</v>
      </c>
      <c r="H936" s="52" t="s">
        <v>62</v>
      </c>
      <c r="I936" s="53">
        <v>49990</v>
      </c>
      <c r="J936" s="53" t="s">
        <v>63</v>
      </c>
      <c r="K936" s="53" t="s">
        <v>64</v>
      </c>
      <c r="L936" s="53" t="s">
        <v>65</v>
      </c>
      <c r="M936" s="53" t="s">
        <v>66</v>
      </c>
      <c r="N936" s="52" t="str">
        <f ca="1">IF(INDIRECT("M936")="Clásica","14%",IF(INDIRECT("M936")="Premium","18%","-"))</f>
        <v>14%</v>
      </c>
      <c r="O936" s="53" t="s">
        <v>1455</v>
      </c>
    </row>
    <row r="937" spans="1:15" ht="49.95" customHeight="1">
      <c r="A937" s="52" t="s">
        <v>2440</v>
      </c>
      <c r="B937" s="52" t="s">
        <v>2441</v>
      </c>
      <c r="C937" s="52" t="s">
        <v>2442</v>
      </c>
      <c r="D937" s="52"/>
      <c r="E937" s="55" t="s">
        <v>2443</v>
      </c>
      <c r="F937" s="52" t="s">
        <v>2443</v>
      </c>
      <c r="G937" s="53">
        <v>0</v>
      </c>
      <c r="H937" s="52" t="s">
        <v>62</v>
      </c>
      <c r="I937" s="53">
        <v>18990</v>
      </c>
      <c r="J937" s="53" t="s">
        <v>63</v>
      </c>
      <c r="K937" s="53" t="s">
        <v>64</v>
      </c>
      <c r="L937" s="53" t="s">
        <v>71</v>
      </c>
      <c r="M937" s="53" t="s">
        <v>66</v>
      </c>
      <c r="N937" s="52" t="str">
        <f ca="1">IF(INDIRECT("M937")="Clásica","14%",IF(INDIRECT("M937")="Premium","18%","-"))</f>
        <v>14%</v>
      </c>
      <c r="O937" s="53" t="s">
        <v>1455</v>
      </c>
    </row>
    <row r="938" spans="1:15" ht="49.95" customHeight="1">
      <c r="A938" s="52" t="s">
        <v>2444</v>
      </c>
      <c r="B938" s="52" t="s">
        <v>2445</v>
      </c>
      <c r="C938" s="52" t="s">
        <v>2446</v>
      </c>
      <c r="D938" s="52"/>
      <c r="E938" s="55" t="s">
        <v>2447</v>
      </c>
      <c r="F938" s="52" t="s">
        <v>2447</v>
      </c>
      <c r="G938" s="53">
        <v>0</v>
      </c>
      <c r="H938" s="52" t="s">
        <v>62</v>
      </c>
      <c r="I938" s="53">
        <v>129990</v>
      </c>
      <c r="J938" s="53" t="s">
        <v>63</v>
      </c>
      <c r="K938" s="53" t="s">
        <v>64</v>
      </c>
      <c r="L938" s="53" t="s">
        <v>65</v>
      </c>
      <c r="M938" s="53" t="s">
        <v>66</v>
      </c>
      <c r="N938" s="52" t="str">
        <f ca="1">IF(INDIRECT("M938")="Clásica","14%",IF(INDIRECT("M938")="Premium","18%","-"))</f>
        <v>14%</v>
      </c>
      <c r="O938" s="53" t="s">
        <v>1455</v>
      </c>
    </row>
    <row r="939" spans="1:15" ht="49.95" customHeight="1">
      <c r="A939" s="52" t="s">
        <v>2448</v>
      </c>
      <c r="B939" s="52" t="s">
        <v>2449</v>
      </c>
      <c r="C939" s="52" t="s">
        <v>2450</v>
      </c>
      <c r="D939" s="52"/>
      <c r="E939" s="55" t="s">
        <v>2451</v>
      </c>
      <c r="F939" s="52" t="s">
        <v>2451</v>
      </c>
      <c r="G939" s="53">
        <v>0</v>
      </c>
      <c r="H939" s="52" t="s">
        <v>62</v>
      </c>
      <c r="I939" s="53">
        <v>24990</v>
      </c>
      <c r="J939" s="53" t="s">
        <v>63</v>
      </c>
      <c r="K939" s="53" t="s">
        <v>64</v>
      </c>
      <c r="L939" s="53" t="s">
        <v>65</v>
      </c>
      <c r="M939" s="53" t="s">
        <v>66</v>
      </c>
      <c r="N939" s="52" t="str">
        <f ca="1">IF(INDIRECT("M939")="Clásica","14%",IF(INDIRECT("M939")="Premium","18%","-"))</f>
        <v>14%</v>
      </c>
      <c r="O939" s="53" t="s">
        <v>1455</v>
      </c>
    </row>
    <row r="940" spans="1:15" ht="49.95" customHeight="1">
      <c r="A940" s="52" t="s">
        <v>2452</v>
      </c>
      <c r="B940" s="52" t="s">
        <v>2453</v>
      </c>
      <c r="C940" s="52" t="s">
        <v>2454</v>
      </c>
      <c r="D940" s="52"/>
      <c r="E940" s="55" t="s">
        <v>2455</v>
      </c>
      <c r="F940" s="52" t="s">
        <v>2455</v>
      </c>
      <c r="G940" s="53">
        <v>0</v>
      </c>
      <c r="H940" s="52" t="s">
        <v>62</v>
      </c>
      <c r="I940" s="53">
        <v>37990</v>
      </c>
      <c r="J940" s="53" t="s">
        <v>63</v>
      </c>
      <c r="K940" s="53" t="s">
        <v>64</v>
      </c>
      <c r="L940" s="53" t="s">
        <v>65</v>
      </c>
      <c r="M940" s="53" t="s">
        <v>66</v>
      </c>
      <c r="N940" s="52" t="str">
        <f ca="1">IF(INDIRECT("M940")="Clásica","14%",IF(INDIRECT("M940")="Premium","18%","-"))</f>
        <v>14%</v>
      </c>
      <c r="O940" s="53" t="s">
        <v>1455</v>
      </c>
    </row>
    <row r="941" spans="1:15" ht="49.95" customHeight="1">
      <c r="A941" s="52" t="s">
        <v>2456</v>
      </c>
      <c r="B941" s="52" t="s">
        <v>2457</v>
      </c>
      <c r="C941" s="52" t="s">
        <v>2458</v>
      </c>
      <c r="D941" s="52"/>
      <c r="E941" s="55" t="s">
        <v>2459</v>
      </c>
      <c r="F941" s="52" t="s">
        <v>86</v>
      </c>
      <c r="G941" s="53">
        <v>0</v>
      </c>
      <c r="H941" s="52" t="s">
        <v>62</v>
      </c>
      <c r="I941" s="53">
        <v>129990</v>
      </c>
      <c r="J941" s="53" t="s">
        <v>63</v>
      </c>
      <c r="K941" s="53" t="s">
        <v>64</v>
      </c>
      <c r="L941" s="53" t="s">
        <v>65</v>
      </c>
      <c r="M941" s="53" t="s">
        <v>66</v>
      </c>
      <c r="N941" s="52" t="str">
        <f ca="1">IF(INDIRECT("M941")="Clásica","14%",IF(INDIRECT("M941")="Premium","18%","-"))</f>
        <v>14%</v>
      </c>
      <c r="O941" s="53" t="s">
        <v>1455</v>
      </c>
    </row>
    <row r="942" spans="1:15" ht="49.95" customHeight="1">
      <c r="A942" s="52" t="s">
        <v>2460</v>
      </c>
      <c r="B942" s="52" t="s">
        <v>2461</v>
      </c>
      <c r="C942" s="52" t="s">
        <v>2462</v>
      </c>
      <c r="D942" s="52"/>
      <c r="E942" s="55" t="s">
        <v>2463</v>
      </c>
      <c r="F942" s="52" t="s">
        <v>2463</v>
      </c>
      <c r="G942" s="53">
        <v>0</v>
      </c>
      <c r="H942" s="52" t="s">
        <v>62</v>
      </c>
      <c r="I942" s="53">
        <v>24990</v>
      </c>
      <c r="J942" s="53" t="s">
        <v>63</v>
      </c>
      <c r="K942" s="53" t="s">
        <v>64</v>
      </c>
      <c r="L942" s="53" t="s">
        <v>65</v>
      </c>
      <c r="M942" s="53" t="s">
        <v>66</v>
      </c>
      <c r="N942" s="52" t="str">
        <f ca="1">IF(INDIRECT("M942")="Clásica","14%",IF(INDIRECT("M942")="Premium","18%","-"))</f>
        <v>14%</v>
      </c>
      <c r="O942" s="53" t="s">
        <v>1455</v>
      </c>
    </row>
    <row r="943" spans="1:15" ht="49.95" customHeight="1">
      <c r="A943" s="52" t="s">
        <v>2464</v>
      </c>
      <c r="B943" s="52" t="s">
        <v>2465</v>
      </c>
      <c r="C943" s="52" t="s">
        <v>2466</v>
      </c>
      <c r="D943" s="52"/>
      <c r="E943" s="55" t="s">
        <v>2467</v>
      </c>
      <c r="F943" s="52" t="s">
        <v>2467</v>
      </c>
      <c r="G943" s="53">
        <v>0</v>
      </c>
      <c r="H943" s="52" t="s">
        <v>62</v>
      </c>
      <c r="I943" s="53">
        <v>149990</v>
      </c>
      <c r="J943" s="53" t="s">
        <v>63</v>
      </c>
      <c r="K943" s="53" t="s">
        <v>64</v>
      </c>
      <c r="L943" s="53" t="s">
        <v>65</v>
      </c>
      <c r="M943" s="53" t="s">
        <v>66</v>
      </c>
      <c r="N943" s="52" t="str">
        <f ca="1">IF(INDIRECT("M943")="Clásica","15%",IF(INDIRECT("M943")="Premium","19%","-"))</f>
        <v>15%</v>
      </c>
      <c r="O943" s="53" t="s">
        <v>1455</v>
      </c>
    </row>
    <row r="944" spans="1:15" ht="49.95" customHeight="1">
      <c r="A944" s="52" t="s">
        <v>2096</v>
      </c>
      <c r="B944" s="52" t="s">
        <v>2468</v>
      </c>
      <c r="C944" s="52" t="s">
        <v>2098</v>
      </c>
      <c r="D944" s="52"/>
      <c r="E944" s="55" t="s">
        <v>2469</v>
      </c>
      <c r="F944" s="52" t="s">
        <v>2469</v>
      </c>
      <c r="G944" s="53">
        <v>0</v>
      </c>
      <c r="H944" s="52" t="s">
        <v>62</v>
      </c>
      <c r="I944" s="53">
        <v>99990</v>
      </c>
      <c r="J944" s="53" t="s">
        <v>63</v>
      </c>
      <c r="K944" s="53" t="s">
        <v>64</v>
      </c>
      <c r="L944" s="53" t="s">
        <v>65</v>
      </c>
      <c r="M944" s="53" t="s">
        <v>66</v>
      </c>
      <c r="N944" s="52" t="str">
        <f ca="1">IF(INDIRECT("M944")="Clásica","14%",IF(INDIRECT("M944")="Premium","18%","-"))</f>
        <v>14%</v>
      </c>
      <c r="O944" s="53" t="s">
        <v>1455</v>
      </c>
    </row>
    <row r="945" spans="1:15" ht="49.95" customHeight="1">
      <c r="A945" s="52" t="s">
        <v>2470</v>
      </c>
      <c r="B945" s="52" t="s">
        <v>2471</v>
      </c>
      <c r="C945" s="52" t="s">
        <v>2472</v>
      </c>
      <c r="D945" s="52"/>
      <c r="E945" s="55" t="s">
        <v>2473</v>
      </c>
      <c r="F945" s="52" t="s">
        <v>2473</v>
      </c>
      <c r="G945" s="53">
        <v>0</v>
      </c>
      <c r="H945" s="52" t="s">
        <v>62</v>
      </c>
      <c r="I945" s="53">
        <v>19890</v>
      </c>
      <c r="J945" s="53" t="s">
        <v>63</v>
      </c>
      <c r="K945" s="53" t="s">
        <v>64</v>
      </c>
      <c r="L945" s="53" t="s">
        <v>71</v>
      </c>
      <c r="M945" s="53" t="s">
        <v>66</v>
      </c>
      <c r="N945" s="52" t="str">
        <f ca="1">IF(INDIRECT("M945")="Clásica","15%",IF(INDIRECT("M945")="Premium","19%","-"))</f>
        <v>15%</v>
      </c>
      <c r="O945" s="53" t="s">
        <v>1455</v>
      </c>
    </row>
    <row r="946" spans="1:15" ht="49.95" customHeight="1">
      <c r="A946" s="52" t="s">
        <v>2474</v>
      </c>
      <c r="B946" s="52" t="s">
        <v>2475</v>
      </c>
      <c r="C946" s="52" t="s">
        <v>2476</v>
      </c>
      <c r="D946" s="52"/>
      <c r="E946" s="52" t="s">
        <v>2477</v>
      </c>
      <c r="F946" s="52" t="s">
        <v>62</v>
      </c>
      <c r="G946" s="53">
        <v>0</v>
      </c>
      <c r="H946" s="52" t="s">
        <v>62</v>
      </c>
      <c r="I946" s="53">
        <v>11400</v>
      </c>
      <c r="J946" s="53" t="s">
        <v>63</v>
      </c>
      <c r="K946" s="52" t="s">
        <v>64</v>
      </c>
      <c r="L946" s="53" t="s">
        <v>71</v>
      </c>
      <c r="M946" s="53" t="s">
        <v>66</v>
      </c>
      <c r="N946" s="52" t="str">
        <f ca="1">IF(INDIRECT("M946")="Clásica","15%",IF(INDIRECT("M946")="Premium","19%","-"))</f>
        <v>15%</v>
      </c>
      <c r="O946" s="53" t="s">
        <v>1455</v>
      </c>
    </row>
    <row r="947" spans="1:15" ht="49.95" customHeight="1">
      <c r="A947" s="52" t="s">
        <v>2478</v>
      </c>
      <c r="B947" s="52" t="s">
        <v>2479</v>
      </c>
      <c r="C947" s="52" t="s">
        <v>2480</v>
      </c>
      <c r="D947" s="52"/>
      <c r="E947" s="55" t="s">
        <v>2481</v>
      </c>
      <c r="F947" s="52" t="s">
        <v>2481</v>
      </c>
      <c r="G947" s="53">
        <v>0</v>
      </c>
      <c r="H947" s="52" t="s">
        <v>62</v>
      </c>
      <c r="I947" s="53">
        <v>18900</v>
      </c>
      <c r="J947" s="53" t="s">
        <v>63</v>
      </c>
      <c r="K947" s="53" t="s">
        <v>64</v>
      </c>
      <c r="L947" s="53" t="s">
        <v>71</v>
      </c>
      <c r="M947" s="53" t="s">
        <v>66</v>
      </c>
      <c r="N947" s="52" t="str">
        <f ca="1">IF(INDIRECT("M947")="Clásica","15%",IF(INDIRECT("M947")="Premium","19%","-"))</f>
        <v>15%</v>
      </c>
      <c r="O947" s="53" t="s">
        <v>1455</v>
      </c>
    </row>
    <row r="948" spans="1:15" ht="49.95" customHeight="1">
      <c r="A948" s="52" t="s">
        <v>2482</v>
      </c>
      <c r="B948" s="52" t="s">
        <v>2483</v>
      </c>
      <c r="C948" s="52" t="s">
        <v>2484</v>
      </c>
      <c r="D948" s="52"/>
      <c r="E948" s="55" t="s">
        <v>2485</v>
      </c>
      <c r="F948" s="52" t="s">
        <v>86</v>
      </c>
      <c r="G948" s="53">
        <v>0</v>
      </c>
      <c r="H948" s="52" t="s">
        <v>62</v>
      </c>
      <c r="I948" s="53">
        <v>28990</v>
      </c>
      <c r="J948" s="53" t="s">
        <v>63</v>
      </c>
      <c r="K948" s="53" t="s">
        <v>64</v>
      </c>
      <c r="L948" s="53" t="s">
        <v>65</v>
      </c>
      <c r="M948" s="53" t="s">
        <v>66</v>
      </c>
      <c r="N948" s="52" t="str">
        <f ca="1">IF(INDIRECT("M948")="Clásica","14%",IF(INDIRECT("M948")="Premium","18%","-"))</f>
        <v>14%</v>
      </c>
      <c r="O948" s="53" t="s">
        <v>1455</v>
      </c>
    </row>
    <row r="949" spans="1:15" ht="49.95" customHeight="1">
      <c r="A949" s="52" t="s">
        <v>2486</v>
      </c>
      <c r="B949" s="52" t="s">
        <v>2487</v>
      </c>
      <c r="C949" s="52" t="s">
        <v>2488</v>
      </c>
      <c r="D949" s="52"/>
      <c r="E949" s="55" t="s">
        <v>2489</v>
      </c>
      <c r="F949" s="52" t="s">
        <v>2489</v>
      </c>
      <c r="G949" s="53">
        <v>0</v>
      </c>
      <c r="H949" s="52" t="s">
        <v>62</v>
      </c>
      <c r="I949" s="53">
        <v>47200</v>
      </c>
      <c r="J949" s="53" t="s">
        <v>63</v>
      </c>
      <c r="K949" s="53" t="s">
        <v>64</v>
      </c>
      <c r="L949" s="53" t="s">
        <v>65</v>
      </c>
      <c r="M949" s="53" t="s">
        <v>66</v>
      </c>
      <c r="N949" s="52" t="str">
        <f ca="1">IF(INDIRECT("M949")="Clásica","15%",IF(INDIRECT("M949")="Premium","19%","-"))</f>
        <v>15%</v>
      </c>
      <c r="O949" s="53" t="s">
        <v>1455</v>
      </c>
    </row>
    <row r="950" spans="1:15" ht="49.95" customHeight="1">
      <c r="A950" s="52" t="s">
        <v>2490</v>
      </c>
      <c r="B950" s="52" t="s">
        <v>2491</v>
      </c>
      <c r="C950" s="52" t="s">
        <v>2492</v>
      </c>
      <c r="D950" s="52"/>
      <c r="E950" s="55" t="s">
        <v>2493</v>
      </c>
      <c r="F950" s="52" t="s">
        <v>97</v>
      </c>
      <c r="G950" s="53">
        <v>0</v>
      </c>
      <c r="H950" s="52" t="s">
        <v>62</v>
      </c>
      <c r="I950" s="53">
        <v>50200</v>
      </c>
      <c r="J950" s="53" t="s">
        <v>63</v>
      </c>
      <c r="K950" s="53" t="s">
        <v>64</v>
      </c>
      <c r="L950" s="53" t="s">
        <v>65</v>
      </c>
      <c r="M950" s="53" t="s">
        <v>66</v>
      </c>
      <c r="N950" s="52" t="str">
        <f ca="1">IF(INDIRECT("M950")="Clásica","14%",IF(INDIRECT("M950")="Premium","18%","-"))</f>
        <v>14%</v>
      </c>
      <c r="O950" s="53" t="s">
        <v>1455</v>
      </c>
    </row>
    <row r="951" spans="1:15" ht="49.95" customHeight="1">
      <c r="A951" s="52" t="s">
        <v>2494</v>
      </c>
      <c r="B951" s="52" t="s">
        <v>2495</v>
      </c>
      <c r="C951" s="52" t="s">
        <v>2496</v>
      </c>
      <c r="D951" s="52"/>
      <c r="E951" s="55" t="s">
        <v>2497</v>
      </c>
      <c r="F951" s="52" t="s">
        <v>97</v>
      </c>
      <c r="G951" s="53">
        <v>0</v>
      </c>
      <c r="H951" s="52" t="s">
        <v>62</v>
      </c>
      <c r="I951" s="53">
        <v>58300</v>
      </c>
      <c r="J951" s="53" t="s">
        <v>63</v>
      </c>
      <c r="K951" s="53" t="s">
        <v>64</v>
      </c>
      <c r="L951" s="53" t="s">
        <v>65</v>
      </c>
      <c r="M951" s="53" t="s">
        <v>66</v>
      </c>
      <c r="N951" s="52" t="str">
        <f ca="1">IF(INDIRECT("M951")="Clásica","14%",IF(INDIRECT("M951")="Premium","18%","-"))</f>
        <v>14%</v>
      </c>
      <c r="O951" s="53" t="s">
        <v>1455</v>
      </c>
    </row>
    <row r="952" spans="1:15" ht="49.95" customHeight="1">
      <c r="A952" s="52" t="s">
        <v>2498</v>
      </c>
      <c r="B952" s="52" t="s">
        <v>2499</v>
      </c>
      <c r="C952" s="52" t="s">
        <v>2500</v>
      </c>
      <c r="D952" s="52"/>
      <c r="E952" s="55" t="s">
        <v>2501</v>
      </c>
      <c r="F952" s="52" t="s">
        <v>97</v>
      </c>
      <c r="G952" s="53">
        <v>0</v>
      </c>
      <c r="H952" s="52" t="s">
        <v>62</v>
      </c>
      <c r="I952" s="53">
        <v>12990</v>
      </c>
      <c r="J952" s="53" t="s">
        <v>63</v>
      </c>
      <c r="K952" s="53" t="s">
        <v>64</v>
      </c>
      <c r="L952" s="53" t="s">
        <v>71</v>
      </c>
      <c r="M952" s="53" t="s">
        <v>66</v>
      </c>
      <c r="N952" s="52" t="str">
        <f ca="1">IF(INDIRECT("M952")="Clásica","14%",IF(INDIRECT("M952")="Premium","18%","-"))</f>
        <v>14%</v>
      </c>
      <c r="O952" s="53" t="s">
        <v>1455</v>
      </c>
    </row>
    <row r="953" spans="1:15" ht="49.95" customHeight="1">
      <c r="A953" s="52" t="s">
        <v>2502</v>
      </c>
      <c r="B953" s="52" t="s">
        <v>2503</v>
      </c>
      <c r="C953" s="52" t="s">
        <v>2504</v>
      </c>
      <c r="D953" s="52"/>
      <c r="E953" s="55" t="s">
        <v>2505</v>
      </c>
      <c r="F953" s="52" t="s">
        <v>2505</v>
      </c>
      <c r="G953" s="53">
        <v>0</v>
      </c>
      <c r="H953" s="52" t="s">
        <v>62</v>
      </c>
      <c r="I953" s="53">
        <v>35900</v>
      </c>
      <c r="J953" s="53" t="s">
        <v>63</v>
      </c>
      <c r="K953" s="53" t="s">
        <v>64</v>
      </c>
      <c r="L953" s="53" t="s">
        <v>65</v>
      </c>
      <c r="M953" s="53" t="s">
        <v>66</v>
      </c>
      <c r="N953" s="52" t="str">
        <f ca="1">IF(INDIRECT("M953")="Clásica","15%",IF(INDIRECT("M953")="Premium","19%","-"))</f>
        <v>15%</v>
      </c>
      <c r="O953" s="53" t="s">
        <v>1455</v>
      </c>
    </row>
    <row r="954" spans="1:15" ht="49.95" customHeight="1">
      <c r="A954" s="52" t="s">
        <v>2506</v>
      </c>
      <c r="B954" s="52" t="s">
        <v>2507</v>
      </c>
      <c r="C954" s="52" t="s">
        <v>2508</v>
      </c>
      <c r="D954" s="52"/>
      <c r="E954" s="55" t="s">
        <v>2509</v>
      </c>
      <c r="F954" s="52" t="s">
        <v>2509</v>
      </c>
      <c r="G954" s="53">
        <v>0</v>
      </c>
      <c r="H954" s="52" t="s">
        <v>62</v>
      </c>
      <c r="I954" s="53">
        <v>41400</v>
      </c>
      <c r="J954" s="53" t="s">
        <v>63</v>
      </c>
      <c r="K954" s="53" t="s">
        <v>64</v>
      </c>
      <c r="L954" s="53" t="s">
        <v>65</v>
      </c>
      <c r="M954" s="53" t="s">
        <v>66</v>
      </c>
      <c r="N954" s="52" t="str">
        <f ca="1">IF(INDIRECT("M954")="Clásica","15%",IF(INDIRECT("M954")="Premium","19%","-"))</f>
        <v>15%</v>
      </c>
      <c r="O954" s="53" t="s">
        <v>1455</v>
      </c>
    </row>
    <row r="955" spans="1:15" ht="49.95" customHeight="1">
      <c r="A955" s="52" t="s">
        <v>2510</v>
      </c>
      <c r="B955" s="52" t="s">
        <v>2511</v>
      </c>
      <c r="C955" s="52" t="s">
        <v>2512</v>
      </c>
      <c r="D955" s="52"/>
      <c r="E955" s="55" t="s">
        <v>2513</v>
      </c>
      <c r="F955" s="52" t="s">
        <v>2513</v>
      </c>
      <c r="G955" s="53">
        <v>0</v>
      </c>
      <c r="H955" s="52" t="s">
        <v>62</v>
      </c>
      <c r="I955" s="53">
        <v>38800</v>
      </c>
      <c r="J955" s="53" t="s">
        <v>63</v>
      </c>
      <c r="K955" s="53" t="s">
        <v>64</v>
      </c>
      <c r="L955" s="53" t="s">
        <v>65</v>
      </c>
      <c r="M955" s="53" t="s">
        <v>66</v>
      </c>
      <c r="N955" s="52" t="str">
        <f ca="1">IF(INDIRECT("M955")="Clásica","15%",IF(INDIRECT("M955")="Premium","19%","-"))</f>
        <v>15%</v>
      </c>
      <c r="O955" s="53" t="s">
        <v>1455</v>
      </c>
    </row>
    <row r="956" spans="1:15" ht="49.95" customHeight="1">
      <c r="A956" s="52" t="s">
        <v>2514</v>
      </c>
      <c r="B956" s="52" t="s">
        <v>2515</v>
      </c>
      <c r="C956" s="52" t="s">
        <v>2516</v>
      </c>
      <c r="D956" s="52"/>
      <c r="E956" s="55" t="s">
        <v>2517</v>
      </c>
      <c r="F956" s="52" t="s">
        <v>2517</v>
      </c>
      <c r="G956" s="53">
        <v>0</v>
      </c>
      <c r="H956" s="52" t="s">
        <v>62</v>
      </c>
      <c r="I956" s="53">
        <v>323400</v>
      </c>
      <c r="J956" s="53" t="s">
        <v>63</v>
      </c>
      <c r="K956" s="53" t="s">
        <v>64</v>
      </c>
      <c r="L956" s="53" t="s">
        <v>65</v>
      </c>
      <c r="M956" s="53" t="s">
        <v>66</v>
      </c>
      <c r="N956" s="52" t="str">
        <f ca="1">IF(INDIRECT("M956")="Clásica","14%",IF(INDIRECT("M956")="Premium","18%","-"))</f>
        <v>14%</v>
      </c>
      <c r="O956" s="53" t="s">
        <v>1455</v>
      </c>
    </row>
    <row r="957" spans="1:15" ht="49.95" customHeight="1">
      <c r="A957" s="52" t="s">
        <v>2518</v>
      </c>
      <c r="B957" s="52" t="s">
        <v>2519</v>
      </c>
      <c r="C957" s="52" t="s">
        <v>2520</v>
      </c>
      <c r="D957" s="52"/>
      <c r="E957" s="55" t="s">
        <v>2521</v>
      </c>
      <c r="F957" s="52" t="s">
        <v>2161</v>
      </c>
      <c r="G957" s="53">
        <v>0</v>
      </c>
      <c r="H957" s="52" t="s">
        <v>62</v>
      </c>
      <c r="I957" s="53">
        <v>29100</v>
      </c>
      <c r="J957" s="53" t="s">
        <v>63</v>
      </c>
      <c r="K957" s="53" t="s">
        <v>64</v>
      </c>
      <c r="L957" s="53" t="s">
        <v>65</v>
      </c>
      <c r="M957" s="53" t="s">
        <v>66</v>
      </c>
      <c r="N957" s="52" t="str">
        <f ca="1">IF(INDIRECT("M957")="Clásica","15%",IF(INDIRECT("M957")="Premium","19%","-"))</f>
        <v>15%</v>
      </c>
      <c r="O957" s="53" t="s">
        <v>1455</v>
      </c>
    </row>
    <row r="958" spans="1:15" ht="49.95" customHeight="1">
      <c r="A958" s="52" t="s">
        <v>2522</v>
      </c>
      <c r="B958" s="52" t="s">
        <v>2523</v>
      </c>
      <c r="C958" s="52" t="s">
        <v>2524</v>
      </c>
      <c r="D958" s="52"/>
      <c r="E958" s="55" t="s">
        <v>2525</v>
      </c>
      <c r="F958" s="52" t="s">
        <v>86</v>
      </c>
      <c r="G958" s="53">
        <v>0</v>
      </c>
      <c r="H958" s="52" t="s">
        <v>62</v>
      </c>
      <c r="I958" s="53">
        <v>4800</v>
      </c>
      <c r="J958" s="53" t="s">
        <v>63</v>
      </c>
      <c r="K958" s="53" t="s">
        <v>64</v>
      </c>
      <c r="L958" s="53" t="s">
        <v>71</v>
      </c>
      <c r="M958" s="53" t="s">
        <v>66</v>
      </c>
      <c r="N958" s="52" t="str">
        <f ca="1">IF(INDIRECT("M958")="Clásica","14%",IF(INDIRECT("M958")="Premium","18%","-"))</f>
        <v>14%</v>
      </c>
      <c r="O958" s="53" t="s">
        <v>1455</v>
      </c>
    </row>
    <row r="959" spans="1:15" ht="49.95" customHeight="1">
      <c r="A959" s="52" t="s">
        <v>2526</v>
      </c>
      <c r="B959" s="52" t="s">
        <v>2527</v>
      </c>
      <c r="C959" s="52" t="s">
        <v>2528</v>
      </c>
      <c r="D959" s="52"/>
      <c r="E959" s="55" t="s">
        <v>2529</v>
      </c>
      <c r="F959" s="52" t="s">
        <v>2529</v>
      </c>
      <c r="G959" s="53">
        <v>0</v>
      </c>
      <c r="H959" s="52" t="s">
        <v>62</v>
      </c>
      <c r="I959" s="53">
        <v>39100</v>
      </c>
      <c r="J959" s="53" t="s">
        <v>63</v>
      </c>
      <c r="K959" s="53" t="s">
        <v>64</v>
      </c>
      <c r="L959" s="53" t="s">
        <v>65</v>
      </c>
      <c r="M959" s="53" t="s">
        <v>66</v>
      </c>
      <c r="N959" s="52" t="str">
        <f ca="1">IF(INDIRECT("M959")="Clásica","15%",IF(INDIRECT("M959")="Premium","19%","-"))</f>
        <v>15%</v>
      </c>
      <c r="O959" s="53" t="s">
        <v>1455</v>
      </c>
    </row>
    <row r="960" spans="1:15" ht="49.95" customHeight="1">
      <c r="A960" s="52" t="s">
        <v>2530</v>
      </c>
      <c r="B960" s="52" t="s">
        <v>2531</v>
      </c>
      <c r="C960" s="52" t="s">
        <v>2532</v>
      </c>
      <c r="D960" s="52"/>
      <c r="E960" s="55" t="s">
        <v>2533</v>
      </c>
      <c r="F960" s="52" t="s">
        <v>936</v>
      </c>
      <c r="G960" s="53">
        <v>0</v>
      </c>
      <c r="H960" s="52" t="s">
        <v>62</v>
      </c>
      <c r="I960" s="53">
        <v>124100</v>
      </c>
      <c r="J960" s="53" t="s">
        <v>63</v>
      </c>
      <c r="K960" s="53" t="s">
        <v>64</v>
      </c>
      <c r="L960" s="53" t="s">
        <v>65</v>
      </c>
      <c r="M960" s="53" t="s">
        <v>66</v>
      </c>
      <c r="N960" s="52" t="str">
        <f ca="1">IF(INDIRECT("M960")="Clásica","15%",IF(INDIRECT("M960")="Premium","19%","-"))</f>
        <v>15%</v>
      </c>
      <c r="O960" s="53" t="s">
        <v>1455</v>
      </c>
    </row>
    <row r="961" spans="1:15" ht="49.95" customHeight="1">
      <c r="A961" s="52" t="s">
        <v>2534</v>
      </c>
      <c r="B961" s="52" t="s">
        <v>2535</v>
      </c>
      <c r="C961" s="52" t="s">
        <v>2536</v>
      </c>
      <c r="D961" s="52"/>
      <c r="E961" s="55" t="s">
        <v>2537</v>
      </c>
      <c r="F961" s="52" t="s">
        <v>936</v>
      </c>
      <c r="G961" s="53">
        <v>0</v>
      </c>
      <c r="H961" s="52" t="s">
        <v>62</v>
      </c>
      <c r="I961" s="53">
        <v>56900</v>
      </c>
      <c r="J961" s="53" t="s">
        <v>63</v>
      </c>
      <c r="K961" s="53" t="s">
        <v>64</v>
      </c>
      <c r="L961" s="53" t="s">
        <v>65</v>
      </c>
      <c r="M961" s="53" t="s">
        <v>66</v>
      </c>
      <c r="N961" s="52" t="str">
        <f ca="1">IF(INDIRECT("M961")="Clásica","15%",IF(INDIRECT("M961")="Premium","19%","-"))</f>
        <v>15%</v>
      </c>
      <c r="O961" s="53" t="s">
        <v>1455</v>
      </c>
    </row>
    <row r="962" spans="1:15" ht="49.95" customHeight="1">
      <c r="A962" s="52" t="s">
        <v>2538</v>
      </c>
      <c r="B962" s="52" t="s">
        <v>2539</v>
      </c>
      <c r="C962" s="52" t="s">
        <v>2540</v>
      </c>
      <c r="D962" s="52"/>
      <c r="E962" s="55" t="s">
        <v>2541</v>
      </c>
      <c r="F962" s="52" t="s">
        <v>936</v>
      </c>
      <c r="G962" s="53">
        <v>0</v>
      </c>
      <c r="H962" s="52" t="s">
        <v>62</v>
      </c>
      <c r="I962" s="53">
        <v>62700</v>
      </c>
      <c r="J962" s="53" t="s">
        <v>63</v>
      </c>
      <c r="K962" s="53" t="s">
        <v>64</v>
      </c>
      <c r="L962" s="53" t="s">
        <v>65</v>
      </c>
      <c r="M962" s="53" t="s">
        <v>66</v>
      </c>
      <c r="N962" s="52" t="str">
        <f ca="1">IF(INDIRECT("M962")="Clásica","15%",IF(INDIRECT("M962")="Premium","19%","-"))</f>
        <v>15%</v>
      </c>
      <c r="O962" s="53" t="s">
        <v>1455</v>
      </c>
    </row>
    <row r="963" spans="1:15" ht="49.95" customHeight="1">
      <c r="A963" s="52" t="s">
        <v>2542</v>
      </c>
      <c r="B963" s="52" t="s">
        <v>2543</v>
      </c>
      <c r="C963" s="52" t="s">
        <v>2544</v>
      </c>
      <c r="D963" s="52"/>
      <c r="E963" s="55" t="s">
        <v>2545</v>
      </c>
      <c r="F963" s="52" t="s">
        <v>936</v>
      </c>
      <c r="G963" s="53">
        <v>0</v>
      </c>
      <c r="H963" s="52" t="s">
        <v>62</v>
      </c>
      <c r="I963" s="53">
        <v>42000</v>
      </c>
      <c r="J963" s="53" t="s">
        <v>63</v>
      </c>
      <c r="K963" s="53" t="s">
        <v>64</v>
      </c>
      <c r="L963" s="53" t="s">
        <v>65</v>
      </c>
      <c r="M963" s="53" t="s">
        <v>66</v>
      </c>
      <c r="N963" s="52" t="str">
        <f ca="1">IF(INDIRECT("M963")="Clásica","15%",IF(INDIRECT("M963")="Premium","19%","-"))</f>
        <v>15%</v>
      </c>
      <c r="O963" s="53" t="s">
        <v>1455</v>
      </c>
    </row>
    <row r="964" spans="1:15" ht="49.95" customHeight="1">
      <c r="A964" s="52" t="s">
        <v>2546</v>
      </c>
      <c r="B964" s="52" t="s">
        <v>2547</v>
      </c>
      <c r="C964" s="52" t="s">
        <v>2548</v>
      </c>
      <c r="D964" s="52"/>
      <c r="E964" s="55" t="s">
        <v>2549</v>
      </c>
      <c r="F964" s="52" t="s">
        <v>936</v>
      </c>
      <c r="G964" s="53">
        <v>0</v>
      </c>
      <c r="H964" s="52" t="s">
        <v>62</v>
      </c>
      <c r="I964" s="53">
        <v>48800</v>
      </c>
      <c r="J964" s="53" t="s">
        <v>63</v>
      </c>
      <c r="K964" s="53" t="s">
        <v>64</v>
      </c>
      <c r="L964" s="53" t="s">
        <v>65</v>
      </c>
      <c r="M964" s="53" t="s">
        <v>66</v>
      </c>
      <c r="N964" s="52" t="str">
        <f ca="1">IF(INDIRECT("M964")="Clásica","15%",IF(INDIRECT("M964")="Premium","19%","-"))</f>
        <v>15%</v>
      </c>
      <c r="O964" s="53" t="s">
        <v>1455</v>
      </c>
    </row>
    <row r="965" spans="1:15" ht="49.95" customHeight="1">
      <c r="A965" s="52" t="s">
        <v>2550</v>
      </c>
      <c r="B965" s="52" t="s">
        <v>2551</v>
      </c>
      <c r="C965" s="52" t="s">
        <v>2552</v>
      </c>
      <c r="D965" s="52"/>
      <c r="E965" s="55" t="s">
        <v>2553</v>
      </c>
      <c r="F965" s="52" t="s">
        <v>936</v>
      </c>
      <c r="G965" s="53">
        <v>0</v>
      </c>
      <c r="H965" s="52" t="s">
        <v>62</v>
      </c>
      <c r="I965" s="53">
        <v>42000</v>
      </c>
      <c r="J965" s="53" t="s">
        <v>63</v>
      </c>
      <c r="K965" s="53" t="s">
        <v>64</v>
      </c>
      <c r="L965" s="53" t="s">
        <v>65</v>
      </c>
      <c r="M965" s="53" t="s">
        <v>66</v>
      </c>
      <c r="N965" s="52" t="str">
        <f ca="1">IF(INDIRECT("M965")="Clásica","15%",IF(INDIRECT("M965")="Premium","19%","-"))</f>
        <v>15%</v>
      </c>
      <c r="O965" s="53" t="s">
        <v>1455</v>
      </c>
    </row>
    <row r="966" spans="1:15" ht="49.95" customHeight="1">
      <c r="A966" s="52" t="s">
        <v>2554</v>
      </c>
      <c r="B966" s="52" t="s">
        <v>2555</v>
      </c>
      <c r="C966" s="52" t="s">
        <v>2556</v>
      </c>
      <c r="D966" s="52"/>
      <c r="E966" s="55" t="s">
        <v>2557</v>
      </c>
      <c r="F966" s="52" t="s">
        <v>936</v>
      </c>
      <c r="G966" s="53">
        <v>0</v>
      </c>
      <c r="H966" s="52" t="s">
        <v>62</v>
      </c>
      <c r="I966" s="53">
        <v>56900</v>
      </c>
      <c r="J966" s="53" t="s">
        <v>63</v>
      </c>
      <c r="K966" s="53" t="s">
        <v>64</v>
      </c>
      <c r="L966" s="53" t="s">
        <v>65</v>
      </c>
      <c r="M966" s="53" t="s">
        <v>66</v>
      </c>
      <c r="N966" s="52" t="str">
        <f ca="1">IF(INDIRECT("M966")="Clásica","15%",IF(INDIRECT("M966")="Premium","19%","-"))</f>
        <v>15%</v>
      </c>
      <c r="O966" s="53" t="s">
        <v>1455</v>
      </c>
    </row>
    <row r="967" spans="1:15" ht="49.95" customHeight="1">
      <c r="A967" s="52" t="s">
        <v>2558</v>
      </c>
      <c r="B967" s="52" t="s">
        <v>2559</v>
      </c>
      <c r="C967" s="52" t="s">
        <v>2560</v>
      </c>
      <c r="D967" s="52"/>
      <c r="E967" s="55" t="s">
        <v>2561</v>
      </c>
      <c r="F967" s="52" t="s">
        <v>2561</v>
      </c>
      <c r="G967" s="53">
        <v>0</v>
      </c>
      <c r="H967" s="52" t="s">
        <v>62</v>
      </c>
      <c r="I967" s="53">
        <v>15200</v>
      </c>
      <c r="J967" s="53" t="s">
        <v>63</v>
      </c>
      <c r="K967" s="53" t="s">
        <v>64</v>
      </c>
      <c r="L967" s="53" t="s">
        <v>71</v>
      </c>
      <c r="M967" s="53" t="s">
        <v>66</v>
      </c>
      <c r="N967" s="52" t="str">
        <f ca="1">IF(INDIRECT("M967")="Clásica","14%",IF(INDIRECT("M967")="Premium","18%","-"))</f>
        <v>14%</v>
      </c>
      <c r="O967" s="53" t="s">
        <v>1455</v>
      </c>
    </row>
    <row r="968" spans="1:15" ht="49.95" customHeight="1">
      <c r="A968" s="52" t="s">
        <v>2562</v>
      </c>
      <c r="B968" s="52" t="s">
        <v>2563</v>
      </c>
      <c r="C968" s="52" t="s">
        <v>2564</v>
      </c>
      <c r="D968" s="52"/>
      <c r="E968" s="55" t="s">
        <v>2565</v>
      </c>
      <c r="F968" s="52" t="s">
        <v>2161</v>
      </c>
      <c r="G968" s="53">
        <v>0</v>
      </c>
      <c r="H968" s="52" t="s">
        <v>62</v>
      </c>
      <c r="I968" s="53">
        <v>154990</v>
      </c>
      <c r="J968" s="53" t="s">
        <v>63</v>
      </c>
      <c r="K968" s="53" t="s">
        <v>64</v>
      </c>
      <c r="L968" s="53" t="s">
        <v>65</v>
      </c>
      <c r="M968" s="53" t="s">
        <v>66</v>
      </c>
      <c r="N968" s="52" t="str">
        <f ca="1">IF(INDIRECT("M968")="Clásica","15%",IF(INDIRECT("M968")="Premium","19%","-"))</f>
        <v>15%</v>
      </c>
      <c r="O968" s="53" t="s">
        <v>1455</v>
      </c>
    </row>
    <row r="969" spans="1:15" ht="49.95" customHeight="1">
      <c r="A969" s="52" t="s">
        <v>1762</v>
      </c>
      <c r="B969" s="52" t="s">
        <v>2566</v>
      </c>
      <c r="C969" s="52" t="s">
        <v>2567</v>
      </c>
      <c r="D969" s="52"/>
      <c r="E969" s="55" t="s">
        <v>1765</v>
      </c>
      <c r="F969" s="52" t="s">
        <v>75</v>
      </c>
      <c r="G969" s="53">
        <v>0</v>
      </c>
      <c r="H969" s="52" t="s">
        <v>62</v>
      </c>
      <c r="I969" s="53">
        <v>69990</v>
      </c>
      <c r="J969" s="53" t="s">
        <v>63</v>
      </c>
      <c r="K969" s="53" t="s">
        <v>64</v>
      </c>
      <c r="L969" s="53" t="s">
        <v>65</v>
      </c>
      <c r="M969" s="53" t="s">
        <v>66</v>
      </c>
      <c r="N969" s="52" t="str">
        <f ca="1">IF(INDIRECT("M969")="Clásica","15%",IF(INDIRECT("M969")="Premium","19%","-"))</f>
        <v>15%</v>
      </c>
      <c r="O969" s="53" t="s">
        <v>1455</v>
      </c>
    </row>
    <row r="970" spans="1:15" ht="49.95" customHeight="1">
      <c r="A970" s="52" t="s">
        <v>2568</v>
      </c>
      <c r="B970" s="52" t="s">
        <v>2569</v>
      </c>
      <c r="C970" s="52" t="s">
        <v>2570</v>
      </c>
      <c r="D970" s="52"/>
      <c r="E970" s="55" t="s">
        <v>2571</v>
      </c>
      <c r="F970" s="52" t="s">
        <v>86</v>
      </c>
      <c r="G970" s="53">
        <v>2</v>
      </c>
      <c r="H970" s="52" t="s">
        <v>62</v>
      </c>
      <c r="I970" s="53">
        <v>22990</v>
      </c>
      <c r="J970" s="53" t="s">
        <v>63</v>
      </c>
      <c r="K970" s="53" t="s">
        <v>64</v>
      </c>
      <c r="L970" s="53" t="s">
        <v>65</v>
      </c>
      <c r="M970" s="53" t="s">
        <v>66</v>
      </c>
      <c r="N970" s="52" t="str">
        <f ca="1">IF(INDIRECT("M970")="Clásica","14%",IF(INDIRECT("M970")="Premium","18%","-"))</f>
        <v>14%</v>
      </c>
      <c r="O970" s="53" t="s">
        <v>1455</v>
      </c>
    </row>
    <row r="971" spans="1:15" ht="49.95" customHeight="1">
      <c r="A971" s="52" t="s">
        <v>2572</v>
      </c>
      <c r="B971" s="52" t="s">
        <v>2573</v>
      </c>
      <c r="C971" s="52" t="s">
        <v>2574</v>
      </c>
      <c r="D971" s="52"/>
      <c r="E971" s="55" t="s">
        <v>591</v>
      </c>
      <c r="F971" s="52" t="s">
        <v>591</v>
      </c>
      <c r="G971" s="53">
        <v>0</v>
      </c>
      <c r="H971" s="52" t="s">
        <v>62</v>
      </c>
      <c r="I971" s="53">
        <v>199990</v>
      </c>
      <c r="J971" s="53" t="s">
        <v>63</v>
      </c>
      <c r="K971" s="53" t="s">
        <v>64</v>
      </c>
      <c r="L971" s="53" t="s">
        <v>65</v>
      </c>
      <c r="M971" s="53" t="s">
        <v>66</v>
      </c>
      <c r="N971" s="52" t="str">
        <f ca="1">IF(INDIRECT("M971")="Clásica","15%",IF(INDIRECT("M971")="Premium","19%","-"))</f>
        <v>15%</v>
      </c>
      <c r="O971" s="53" t="s">
        <v>1455</v>
      </c>
    </row>
    <row r="972" spans="1:15" ht="49.95" customHeight="1">
      <c r="A972" s="52" t="s">
        <v>2575</v>
      </c>
      <c r="B972" s="52" t="s">
        <v>2576</v>
      </c>
      <c r="C972" s="52" t="s">
        <v>2577</v>
      </c>
      <c r="D972" s="52"/>
      <c r="E972" s="55" t="s">
        <v>2578</v>
      </c>
      <c r="F972" s="52" t="s">
        <v>2579</v>
      </c>
      <c r="G972" s="53">
        <v>0</v>
      </c>
      <c r="H972" s="52" t="s">
        <v>62</v>
      </c>
      <c r="I972" s="53">
        <v>39648</v>
      </c>
      <c r="J972" s="53" t="s">
        <v>63</v>
      </c>
      <c r="K972" s="53" t="s">
        <v>64</v>
      </c>
      <c r="L972" s="53" t="s">
        <v>65</v>
      </c>
      <c r="M972" s="53" t="s">
        <v>66</v>
      </c>
      <c r="N972" s="52" t="str">
        <f ca="1">IF(INDIRECT("M972")="Clásica","14%",IF(INDIRECT("M972")="Premium","18%","-"))</f>
        <v>14%</v>
      </c>
      <c r="O972" s="53" t="s">
        <v>1455</v>
      </c>
    </row>
    <row r="973" spans="1:15" ht="49.95" customHeight="1">
      <c r="A973" s="52" t="s">
        <v>2580</v>
      </c>
      <c r="B973" s="52" t="s">
        <v>2581</v>
      </c>
      <c r="C973" s="52" t="s">
        <v>2582</v>
      </c>
      <c r="D973" s="52"/>
      <c r="E973" s="52" t="s">
        <v>2583</v>
      </c>
      <c r="F973" s="52" t="s">
        <v>2583</v>
      </c>
      <c r="G973" s="52" t="s">
        <v>1473</v>
      </c>
      <c r="H973" s="52" t="s">
        <v>62</v>
      </c>
      <c r="I973" s="52" t="s">
        <v>2584</v>
      </c>
      <c r="J973" s="52" t="s">
        <v>63</v>
      </c>
      <c r="K973" s="52" t="s">
        <v>64</v>
      </c>
      <c r="L973" s="52" t="s">
        <v>71</v>
      </c>
      <c r="M973" s="52" t="s">
        <v>66</v>
      </c>
      <c r="N973" s="52" t="str">
        <f ca="1">IF(INDIRECT("M973")="Clásica","14%",IF(INDIRECT("M973")="Premium","18%","-"))</f>
        <v>14%</v>
      </c>
      <c r="O973" s="52" t="s">
        <v>1455</v>
      </c>
    </row>
    <row r="974" spans="1:15" ht="49.95" customHeight="1">
      <c r="A974" s="52" t="s">
        <v>2585</v>
      </c>
      <c r="B974" s="52" t="s">
        <v>2586</v>
      </c>
      <c r="C974" s="52" t="s">
        <v>2587</v>
      </c>
      <c r="D974" s="52"/>
      <c r="E974" s="52" t="s">
        <v>2588</v>
      </c>
      <c r="F974" s="52" t="s">
        <v>2588</v>
      </c>
      <c r="G974" s="52" t="s">
        <v>112</v>
      </c>
      <c r="H974" s="52" t="s">
        <v>62</v>
      </c>
      <c r="I974" s="52" t="s">
        <v>2589</v>
      </c>
      <c r="J974" s="52" t="s">
        <v>63</v>
      </c>
      <c r="K974" s="52" t="s">
        <v>64</v>
      </c>
      <c r="L974" s="52" t="s">
        <v>65</v>
      </c>
      <c r="M974" s="52" t="s">
        <v>66</v>
      </c>
      <c r="N974" s="52" t="str">
        <f ca="1">IF(INDIRECT("M974")="Clásica","14%",IF(INDIRECT("M974")="Premium","18%","-"))</f>
        <v>14%</v>
      </c>
      <c r="O974" s="52" t="s">
        <v>1455</v>
      </c>
    </row>
  </sheetData>
  <mergeCells count="4">
    <mergeCell ref="A2:F2"/>
    <mergeCell ref="G2:H2"/>
    <mergeCell ref="I2:K2"/>
    <mergeCell ref="M2:O2"/>
  </mergeCells>
  <conditionalFormatting sqref="J6">
    <cfRule type="cellIs" priority="1" operator="equal">
      <formula>"$"</formula>
    </cfRule>
  </conditionalFormatting>
  <conditionalFormatting sqref="K6">
    <cfRule type="cellIs" priority="2" operator="equal">
      <formula>"Nuevo"</formula>
    </cfRule>
  </conditionalFormatting>
  <conditionalFormatting sqref="L6">
    <cfRule type="cellIs" priority="3" operator="equal">
      <formula>"Mercado Envíos gratis"</formula>
    </cfRule>
  </conditionalFormatting>
  <conditionalFormatting sqref="M6">
    <cfRule type="cellIs" priority="4" operator="equal">
      <formula>"Clásica"</formula>
    </cfRule>
  </conditionalFormatting>
  <conditionalFormatting sqref="O6">
    <cfRule type="cellIs" priority="5" operator="equal">
      <formula>"Activa"</formula>
    </cfRule>
  </conditionalFormatting>
  <conditionalFormatting sqref="J7">
    <cfRule type="cellIs" priority="6" operator="equal">
      <formula>"$"</formula>
    </cfRule>
  </conditionalFormatting>
  <conditionalFormatting sqref="K7">
    <cfRule type="cellIs" priority="7" operator="equal">
      <formula>"Nuevo"</formula>
    </cfRule>
  </conditionalFormatting>
  <conditionalFormatting sqref="L7">
    <cfRule type="cellIs" priority="8" operator="equal">
      <formula>"Mercado Envíos a cargo del comprador"</formula>
    </cfRule>
  </conditionalFormatting>
  <conditionalFormatting sqref="M7">
    <cfRule type="cellIs" priority="9" operator="equal">
      <formula>"Clásica"</formula>
    </cfRule>
  </conditionalFormatting>
  <conditionalFormatting sqref="O7">
    <cfRule type="cellIs" priority="10" operator="equal">
      <formula>"Activa"</formula>
    </cfRule>
  </conditionalFormatting>
  <conditionalFormatting sqref="J10">
    <cfRule type="cellIs" priority="11" operator="equal">
      <formula>"$"</formula>
    </cfRule>
  </conditionalFormatting>
  <conditionalFormatting sqref="K10">
    <cfRule type="cellIs" priority="12" operator="equal">
      <formula>"Nuevo"</formula>
    </cfRule>
  </conditionalFormatting>
  <conditionalFormatting sqref="L10">
    <cfRule type="cellIs" priority="13" operator="equal">
      <formula>"Mercado Envíos gratis"</formula>
    </cfRule>
  </conditionalFormatting>
  <conditionalFormatting sqref="M10">
    <cfRule type="cellIs" priority="14" operator="equal">
      <formula>"Clásica"</formula>
    </cfRule>
  </conditionalFormatting>
  <conditionalFormatting sqref="O10">
    <cfRule type="cellIs" priority="15" operator="equal">
      <formula>"Activa"</formula>
    </cfRule>
  </conditionalFormatting>
  <conditionalFormatting sqref="J11">
    <cfRule type="cellIs" priority="16" operator="equal">
      <formula>"$"</formula>
    </cfRule>
  </conditionalFormatting>
  <conditionalFormatting sqref="K11">
    <cfRule type="cellIs" priority="17" operator="equal">
      <formula>"Nuevo"</formula>
    </cfRule>
  </conditionalFormatting>
  <conditionalFormatting sqref="L11">
    <cfRule type="cellIs" priority="18" operator="equal">
      <formula>"Mercado Envíos gratis"</formula>
    </cfRule>
  </conditionalFormatting>
  <conditionalFormatting sqref="M11">
    <cfRule type="cellIs" priority="19" operator="equal">
      <formula>"Clásica"</formula>
    </cfRule>
  </conditionalFormatting>
  <conditionalFormatting sqref="O11">
    <cfRule type="cellIs" priority="20" operator="equal">
      <formula>"Activa"</formula>
    </cfRule>
  </conditionalFormatting>
  <conditionalFormatting sqref="J16">
    <cfRule type="cellIs" priority="21" operator="equal">
      <formula>"$"</formula>
    </cfRule>
  </conditionalFormatting>
  <conditionalFormatting sqref="K16">
    <cfRule type="cellIs" priority="22" operator="equal">
      <formula>"Nuevo"</formula>
    </cfRule>
  </conditionalFormatting>
  <conditionalFormatting sqref="L16">
    <cfRule type="cellIs" priority="23" operator="equal">
      <formula>"Mercado Envíos gratis"</formula>
    </cfRule>
  </conditionalFormatting>
  <conditionalFormatting sqref="M16">
    <cfRule type="cellIs" priority="24" operator="equal">
      <formula>"Clásica"</formula>
    </cfRule>
  </conditionalFormatting>
  <conditionalFormatting sqref="O16">
    <cfRule type="cellIs" priority="25" operator="equal">
      <formula>"Activa"</formula>
    </cfRule>
  </conditionalFormatting>
  <conditionalFormatting sqref="J23">
    <cfRule type="cellIs" priority="26" operator="equal">
      <formula>"$"</formula>
    </cfRule>
  </conditionalFormatting>
  <conditionalFormatting sqref="K23">
    <cfRule type="cellIs" priority="27" operator="equal">
      <formula>"Nuevo"</formula>
    </cfRule>
  </conditionalFormatting>
  <conditionalFormatting sqref="L23">
    <cfRule type="cellIs" priority="28" operator="equal">
      <formula>"Mercado Envíos gratis"</formula>
    </cfRule>
  </conditionalFormatting>
  <conditionalFormatting sqref="M23">
    <cfRule type="cellIs" priority="29" operator="equal">
      <formula>"Clásica"</formula>
    </cfRule>
  </conditionalFormatting>
  <conditionalFormatting sqref="O23">
    <cfRule type="cellIs" priority="30" operator="equal">
      <formula>"Activa"</formula>
    </cfRule>
  </conditionalFormatting>
  <conditionalFormatting sqref="J29">
    <cfRule type="cellIs" priority="31" operator="equal">
      <formula>"$"</formula>
    </cfRule>
  </conditionalFormatting>
  <conditionalFormatting sqref="K29">
    <cfRule type="cellIs" priority="32" operator="equal">
      <formula>"Nuevo"</formula>
    </cfRule>
  </conditionalFormatting>
  <conditionalFormatting sqref="L29">
    <cfRule type="cellIs" priority="33" operator="equal">
      <formula>"Mercado Envíos gratis"</formula>
    </cfRule>
  </conditionalFormatting>
  <conditionalFormatting sqref="M29">
    <cfRule type="cellIs" priority="34" operator="equal">
      <formula>"Clásica"</formula>
    </cfRule>
  </conditionalFormatting>
  <conditionalFormatting sqref="O29">
    <cfRule type="cellIs" priority="35" operator="equal">
      <formula>"Activa"</formula>
    </cfRule>
  </conditionalFormatting>
  <conditionalFormatting sqref="J32">
    <cfRule type="cellIs" priority="36" operator="equal">
      <formula>"$"</formula>
    </cfRule>
  </conditionalFormatting>
  <conditionalFormatting sqref="K32">
    <cfRule type="cellIs" priority="37" operator="equal">
      <formula>"Nuevo"</formula>
    </cfRule>
  </conditionalFormatting>
  <conditionalFormatting sqref="L32">
    <cfRule type="cellIs" priority="38" operator="equal">
      <formula>"Mercado Envíos gratis"</formula>
    </cfRule>
  </conditionalFormatting>
  <conditionalFormatting sqref="M32">
    <cfRule type="cellIs" priority="39" operator="equal">
      <formula>"Clásica"</formula>
    </cfRule>
  </conditionalFormatting>
  <conditionalFormatting sqref="O32">
    <cfRule type="cellIs" priority="40" operator="equal">
      <formula>"Activa"</formula>
    </cfRule>
  </conditionalFormatting>
  <conditionalFormatting sqref="J38">
    <cfRule type="cellIs" priority="41" operator="equal">
      <formula>"$"</formula>
    </cfRule>
  </conditionalFormatting>
  <conditionalFormatting sqref="K38">
    <cfRule type="cellIs" priority="42" operator="equal">
      <formula>"Nuevo"</formula>
    </cfRule>
  </conditionalFormatting>
  <conditionalFormatting sqref="L38">
    <cfRule type="cellIs" priority="43" operator="equal">
      <formula>"Mercado Envíos gratis"</formula>
    </cfRule>
  </conditionalFormatting>
  <conditionalFormatting sqref="M38">
    <cfRule type="cellIs" priority="44" operator="equal">
      <formula>"Clásica"</formula>
    </cfRule>
  </conditionalFormatting>
  <conditionalFormatting sqref="O38">
    <cfRule type="cellIs" priority="45" operator="equal">
      <formula>"Activa"</formula>
    </cfRule>
  </conditionalFormatting>
  <conditionalFormatting sqref="J39">
    <cfRule type="cellIs" priority="46" operator="equal">
      <formula>"$"</formula>
    </cfRule>
  </conditionalFormatting>
  <conditionalFormatting sqref="K39">
    <cfRule type="cellIs" priority="47" operator="equal">
      <formula>"Nuevo"</formula>
    </cfRule>
  </conditionalFormatting>
  <conditionalFormatting sqref="L39">
    <cfRule type="cellIs" priority="48" operator="equal">
      <formula>"Mercado Envíos gratis"</formula>
    </cfRule>
  </conditionalFormatting>
  <conditionalFormatting sqref="M39">
    <cfRule type="cellIs" priority="49" operator="equal">
      <formula>"Clásica"</formula>
    </cfRule>
  </conditionalFormatting>
  <conditionalFormatting sqref="O39">
    <cfRule type="cellIs" priority="50" operator="equal">
      <formula>"Activa"</formula>
    </cfRule>
  </conditionalFormatting>
  <conditionalFormatting sqref="J44">
    <cfRule type="cellIs" priority="51" operator="equal">
      <formula>"$"</formula>
    </cfRule>
  </conditionalFormatting>
  <conditionalFormatting sqref="K44">
    <cfRule type="cellIs" priority="52" operator="equal">
      <formula>"Nuevo"</formula>
    </cfRule>
  </conditionalFormatting>
  <conditionalFormatting sqref="L44">
    <cfRule type="cellIs" priority="53" operator="equal">
      <formula>"Mercado Envíos gratis"</formula>
    </cfRule>
  </conditionalFormatting>
  <conditionalFormatting sqref="M44">
    <cfRule type="cellIs" priority="54" operator="equal">
      <formula>"Clásica"</formula>
    </cfRule>
  </conditionalFormatting>
  <conditionalFormatting sqref="O44">
    <cfRule type="cellIs" priority="55" operator="equal">
      <formula>"Activa"</formula>
    </cfRule>
  </conditionalFormatting>
  <conditionalFormatting sqref="J50">
    <cfRule type="cellIs" priority="56" operator="equal">
      <formula>"$"</formula>
    </cfRule>
  </conditionalFormatting>
  <conditionalFormatting sqref="K50">
    <cfRule type="cellIs" priority="57" operator="equal">
      <formula>"Nuevo"</formula>
    </cfRule>
  </conditionalFormatting>
  <conditionalFormatting sqref="L50">
    <cfRule type="cellIs" priority="58" operator="equal">
      <formula>"Mercado Envíos gratis"</formula>
    </cfRule>
  </conditionalFormatting>
  <conditionalFormatting sqref="M50">
    <cfRule type="cellIs" priority="59" operator="equal">
      <formula>"Clásica"</formula>
    </cfRule>
  </conditionalFormatting>
  <conditionalFormatting sqref="O50">
    <cfRule type="cellIs" priority="60" operator="equal">
      <formula>"Activa"</formula>
    </cfRule>
  </conditionalFormatting>
  <conditionalFormatting sqref="J54">
    <cfRule type="cellIs" priority="61" operator="equal">
      <formula>"$"</formula>
    </cfRule>
  </conditionalFormatting>
  <conditionalFormatting sqref="K54">
    <cfRule type="cellIs" priority="62" operator="equal">
      <formula>"Nuevo"</formula>
    </cfRule>
  </conditionalFormatting>
  <conditionalFormatting sqref="L54">
    <cfRule type="cellIs" priority="63" operator="equal">
      <formula>"Mercado Envíos gratis"</formula>
    </cfRule>
  </conditionalFormatting>
  <conditionalFormatting sqref="M54">
    <cfRule type="cellIs" priority="64" operator="equal">
      <formula>"Clásica"</formula>
    </cfRule>
  </conditionalFormatting>
  <conditionalFormatting sqref="O54">
    <cfRule type="cellIs" priority="65" operator="equal">
      <formula>"Activa"</formula>
    </cfRule>
  </conditionalFormatting>
  <conditionalFormatting sqref="J55">
    <cfRule type="cellIs" priority="66" operator="equal">
      <formula>"$"</formula>
    </cfRule>
  </conditionalFormatting>
  <conditionalFormatting sqref="K55">
    <cfRule type="cellIs" priority="67" operator="equal">
      <formula>"Nuevo"</formula>
    </cfRule>
  </conditionalFormatting>
  <conditionalFormatting sqref="L55">
    <cfRule type="cellIs" priority="68" operator="equal">
      <formula>"Mercado Envíos gratis"</formula>
    </cfRule>
  </conditionalFormatting>
  <conditionalFormatting sqref="M55">
    <cfRule type="cellIs" priority="69" operator="equal">
      <formula>"Clásica"</formula>
    </cfRule>
  </conditionalFormatting>
  <conditionalFormatting sqref="O55">
    <cfRule type="cellIs" priority="70" operator="equal">
      <formula>"Activa"</formula>
    </cfRule>
  </conditionalFormatting>
  <conditionalFormatting sqref="J59">
    <cfRule type="cellIs" priority="71" operator="equal">
      <formula>"$"</formula>
    </cfRule>
  </conditionalFormatting>
  <conditionalFormatting sqref="K59">
    <cfRule type="cellIs" priority="72" operator="equal">
      <formula>"Nuevo"</formula>
    </cfRule>
  </conditionalFormatting>
  <conditionalFormatting sqref="M59">
    <cfRule type="cellIs" priority="73" operator="equal">
      <formula>"Clásica"</formula>
    </cfRule>
  </conditionalFormatting>
  <conditionalFormatting sqref="O59">
    <cfRule type="cellIs" priority="74" operator="equal">
      <formula>"Activa"</formula>
    </cfRule>
  </conditionalFormatting>
  <conditionalFormatting sqref="J63">
    <cfRule type="cellIs" priority="75" operator="equal">
      <formula>"$"</formula>
    </cfRule>
  </conditionalFormatting>
  <conditionalFormatting sqref="K63">
    <cfRule type="cellIs" priority="76" operator="equal">
      <formula>"Nuevo"</formula>
    </cfRule>
  </conditionalFormatting>
  <conditionalFormatting sqref="L63">
    <cfRule type="cellIs" priority="77" operator="equal">
      <formula>"Mercado Envíos a cargo del comprador"</formula>
    </cfRule>
  </conditionalFormatting>
  <conditionalFormatting sqref="M63">
    <cfRule type="cellIs" priority="78" operator="equal">
      <formula>"Clásica"</formula>
    </cfRule>
  </conditionalFormatting>
  <conditionalFormatting sqref="O63">
    <cfRule type="cellIs" priority="79" operator="equal">
      <formula>"Activa"</formula>
    </cfRule>
  </conditionalFormatting>
  <conditionalFormatting sqref="J68">
    <cfRule type="cellIs" priority="80" operator="equal">
      <formula>"$"</formula>
    </cfRule>
  </conditionalFormatting>
  <conditionalFormatting sqref="K68">
    <cfRule type="cellIs" priority="81" operator="equal">
      <formula>"Nuevo"</formula>
    </cfRule>
  </conditionalFormatting>
  <conditionalFormatting sqref="L68">
    <cfRule type="cellIs" priority="82" operator="equal">
      <formula>"Mercado Envíos gratis"</formula>
    </cfRule>
  </conditionalFormatting>
  <conditionalFormatting sqref="M68">
    <cfRule type="cellIs" priority="83" operator="equal">
      <formula>"Clásica"</formula>
    </cfRule>
  </conditionalFormatting>
  <conditionalFormatting sqref="O68">
    <cfRule type="cellIs" priority="84" operator="equal">
      <formula>"Activa"</formula>
    </cfRule>
  </conditionalFormatting>
  <conditionalFormatting sqref="J72">
    <cfRule type="cellIs" priority="85" operator="equal">
      <formula>"$"</formula>
    </cfRule>
  </conditionalFormatting>
  <conditionalFormatting sqref="K72">
    <cfRule type="cellIs" priority="86" operator="equal">
      <formula>"Nuevo"</formula>
    </cfRule>
  </conditionalFormatting>
  <conditionalFormatting sqref="L72">
    <cfRule type="cellIs" priority="87" operator="equal">
      <formula>"Mercado Envíos gratis"</formula>
    </cfRule>
  </conditionalFormatting>
  <conditionalFormatting sqref="M72">
    <cfRule type="cellIs" priority="88" operator="equal">
      <formula>"Clásica"</formula>
    </cfRule>
  </conditionalFormatting>
  <conditionalFormatting sqref="O72">
    <cfRule type="cellIs" priority="89" operator="equal">
      <formula>"Activa"</formula>
    </cfRule>
  </conditionalFormatting>
  <conditionalFormatting sqref="J77">
    <cfRule type="cellIs" priority="90" operator="equal">
      <formula>"$"</formula>
    </cfRule>
  </conditionalFormatting>
  <conditionalFormatting sqref="K77">
    <cfRule type="cellIs" priority="91" operator="equal">
      <formula>"Nuevo"</formula>
    </cfRule>
  </conditionalFormatting>
  <conditionalFormatting sqref="L77">
    <cfRule type="cellIs" priority="92" operator="equal">
      <formula>"Mercado Envíos gratis"</formula>
    </cfRule>
  </conditionalFormatting>
  <conditionalFormatting sqref="M77">
    <cfRule type="cellIs" priority="93" operator="equal">
      <formula>"Clásica"</formula>
    </cfRule>
  </conditionalFormatting>
  <conditionalFormatting sqref="O77">
    <cfRule type="cellIs" priority="94" operator="equal">
      <formula>"Activa"</formula>
    </cfRule>
  </conditionalFormatting>
  <conditionalFormatting sqref="J81">
    <cfRule type="cellIs" priority="95" operator="equal">
      <formula>"$"</formula>
    </cfRule>
  </conditionalFormatting>
  <conditionalFormatting sqref="K81">
    <cfRule type="cellIs" priority="96" operator="equal">
      <formula>"Nuevo"</formula>
    </cfRule>
  </conditionalFormatting>
  <conditionalFormatting sqref="L81">
    <cfRule type="cellIs" priority="97" operator="equal">
      <formula>"Mercado Envíos gratis"</formula>
    </cfRule>
  </conditionalFormatting>
  <conditionalFormatting sqref="M81">
    <cfRule type="cellIs" priority="98" operator="equal">
      <formula>"Clásica"</formula>
    </cfRule>
  </conditionalFormatting>
  <conditionalFormatting sqref="O81">
    <cfRule type="cellIs" priority="99" operator="equal">
      <formula>"Activa"</formula>
    </cfRule>
  </conditionalFormatting>
  <conditionalFormatting sqref="J86">
    <cfRule type="cellIs" priority="100" operator="equal">
      <formula>"$"</formula>
    </cfRule>
  </conditionalFormatting>
  <conditionalFormatting sqref="K86">
    <cfRule type="cellIs" priority="101" operator="equal">
      <formula>"Nuevo"</formula>
    </cfRule>
  </conditionalFormatting>
  <conditionalFormatting sqref="L86">
    <cfRule type="cellIs" priority="102" operator="equal">
      <formula>"Mercado Envíos a cargo del comprador"</formula>
    </cfRule>
  </conditionalFormatting>
  <conditionalFormatting sqref="M86">
    <cfRule type="cellIs" priority="103" operator="equal">
      <formula>"Clásica"</formula>
    </cfRule>
  </conditionalFormatting>
  <conditionalFormatting sqref="O86">
    <cfRule type="cellIs" priority="104" operator="equal">
      <formula>"Activa"</formula>
    </cfRule>
  </conditionalFormatting>
  <conditionalFormatting sqref="J90">
    <cfRule type="cellIs" priority="105" operator="equal">
      <formula>"$"</formula>
    </cfRule>
  </conditionalFormatting>
  <conditionalFormatting sqref="K90">
    <cfRule type="cellIs" priority="106" operator="equal">
      <formula>"Nuevo"</formula>
    </cfRule>
  </conditionalFormatting>
  <conditionalFormatting sqref="L90">
    <cfRule type="cellIs" priority="107" operator="equal">
      <formula>"Mercado Envíos a cargo del comprador"</formula>
    </cfRule>
  </conditionalFormatting>
  <conditionalFormatting sqref="M90">
    <cfRule type="cellIs" priority="108" operator="equal">
      <formula>"Clásica"</formula>
    </cfRule>
  </conditionalFormatting>
  <conditionalFormatting sqref="O90">
    <cfRule type="cellIs" priority="109" operator="equal">
      <formula>"Activa"</formula>
    </cfRule>
  </conditionalFormatting>
  <conditionalFormatting sqref="J91">
    <cfRule type="cellIs" priority="110" operator="equal">
      <formula>"$"</formula>
    </cfRule>
  </conditionalFormatting>
  <conditionalFormatting sqref="K91">
    <cfRule type="cellIs" priority="111" operator="equal">
      <formula>"Nuevo"</formula>
    </cfRule>
  </conditionalFormatting>
  <conditionalFormatting sqref="L91">
    <cfRule type="cellIs" priority="112" operator="equal">
      <formula>"Mercado Envíos gratis"</formula>
    </cfRule>
  </conditionalFormatting>
  <conditionalFormatting sqref="M91">
    <cfRule type="cellIs" priority="113" operator="equal">
      <formula>"Clásica"</formula>
    </cfRule>
  </conditionalFormatting>
  <conditionalFormatting sqref="O91">
    <cfRule type="cellIs" priority="114" operator="equal">
      <formula>"Activa"</formula>
    </cfRule>
  </conditionalFormatting>
  <conditionalFormatting sqref="J92">
    <cfRule type="cellIs" priority="115" operator="equal">
      <formula>"$"</formula>
    </cfRule>
  </conditionalFormatting>
  <conditionalFormatting sqref="K92">
    <cfRule type="cellIs" priority="116" operator="equal">
      <formula>"Nuevo"</formula>
    </cfRule>
  </conditionalFormatting>
  <conditionalFormatting sqref="L92">
    <cfRule type="cellIs" priority="117" operator="equal">
      <formula>"Mercado Envíos gratis"</formula>
    </cfRule>
  </conditionalFormatting>
  <conditionalFormatting sqref="M92">
    <cfRule type="cellIs" priority="118" operator="equal">
      <formula>"Clásica"</formula>
    </cfRule>
  </conditionalFormatting>
  <conditionalFormatting sqref="O92">
    <cfRule type="cellIs" priority="119" operator="equal">
      <formula>"Activa"</formula>
    </cfRule>
  </conditionalFormatting>
  <conditionalFormatting sqref="J95">
    <cfRule type="cellIs" priority="120" operator="equal">
      <formula>"$"</formula>
    </cfRule>
  </conditionalFormatting>
  <conditionalFormatting sqref="K95">
    <cfRule type="cellIs" priority="121" operator="equal">
      <formula>"Nuevo"</formula>
    </cfRule>
  </conditionalFormatting>
  <conditionalFormatting sqref="L95">
    <cfRule type="cellIs" priority="122" operator="equal">
      <formula>"Mercado Envíos gratis"</formula>
    </cfRule>
  </conditionalFormatting>
  <conditionalFormatting sqref="M95">
    <cfRule type="cellIs" priority="123" operator="equal">
      <formula>"Clásica"</formula>
    </cfRule>
  </conditionalFormatting>
  <conditionalFormatting sqref="O95">
    <cfRule type="cellIs" priority="124" operator="equal">
      <formula>"Activa"</formula>
    </cfRule>
  </conditionalFormatting>
  <conditionalFormatting sqref="J100">
    <cfRule type="cellIs" priority="125" operator="equal">
      <formula>"$"</formula>
    </cfRule>
  </conditionalFormatting>
  <conditionalFormatting sqref="K100">
    <cfRule type="cellIs" priority="126" operator="equal">
      <formula>"Nuevo"</formula>
    </cfRule>
  </conditionalFormatting>
  <conditionalFormatting sqref="L100">
    <cfRule type="cellIs" priority="127" operator="equal">
      <formula>"Mercado Envíos gratis"</formula>
    </cfRule>
  </conditionalFormatting>
  <conditionalFormatting sqref="M100">
    <cfRule type="cellIs" priority="128" operator="equal">
      <formula>"Clásica"</formula>
    </cfRule>
  </conditionalFormatting>
  <conditionalFormatting sqref="O100">
    <cfRule type="cellIs" priority="129" operator="equal">
      <formula>"Activa"</formula>
    </cfRule>
  </conditionalFormatting>
  <conditionalFormatting sqref="J103">
    <cfRule type="cellIs" priority="130" operator="equal">
      <formula>"$"</formula>
    </cfRule>
  </conditionalFormatting>
  <conditionalFormatting sqref="K103">
    <cfRule type="cellIs" priority="131" operator="equal">
      <formula>"Nuevo"</formula>
    </cfRule>
  </conditionalFormatting>
  <conditionalFormatting sqref="L103">
    <cfRule type="cellIs" priority="132" operator="equal">
      <formula>"Mercado Envíos gratis"</formula>
    </cfRule>
  </conditionalFormatting>
  <conditionalFormatting sqref="M103">
    <cfRule type="cellIs" priority="133" operator="equal">
      <formula>"Clásica"</formula>
    </cfRule>
  </conditionalFormatting>
  <conditionalFormatting sqref="O103">
    <cfRule type="cellIs" priority="134" operator="equal">
      <formula>"Activa"</formula>
    </cfRule>
  </conditionalFormatting>
  <conditionalFormatting sqref="J106">
    <cfRule type="cellIs" priority="135" operator="equal">
      <formula>"$"</formula>
    </cfRule>
  </conditionalFormatting>
  <conditionalFormatting sqref="K106">
    <cfRule type="cellIs" priority="136" operator="equal">
      <formula>"Nuevo"</formula>
    </cfRule>
  </conditionalFormatting>
  <conditionalFormatting sqref="L106">
    <cfRule type="cellIs" priority="137" operator="equal">
      <formula>"Mercado Envíos gratis"</formula>
    </cfRule>
  </conditionalFormatting>
  <conditionalFormatting sqref="M106">
    <cfRule type="cellIs" priority="138" operator="equal">
      <formula>"Clásica"</formula>
    </cfRule>
  </conditionalFormatting>
  <conditionalFormatting sqref="O106">
    <cfRule type="cellIs" priority="139" operator="equal">
      <formula>"Activa"</formula>
    </cfRule>
  </conditionalFormatting>
  <conditionalFormatting sqref="J109">
    <cfRule type="cellIs" priority="140" operator="equal">
      <formula>"$"</formula>
    </cfRule>
  </conditionalFormatting>
  <conditionalFormatting sqref="K109">
    <cfRule type="cellIs" priority="141" operator="equal">
      <formula>"Nuevo"</formula>
    </cfRule>
  </conditionalFormatting>
  <conditionalFormatting sqref="L109">
    <cfRule type="cellIs" priority="142" operator="equal">
      <formula>"Mercado Envíos gratis"</formula>
    </cfRule>
  </conditionalFormatting>
  <conditionalFormatting sqref="M109">
    <cfRule type="cellIs" priority="143" operator="equal">
      <formula>"Clásica"</formula>
    </cfRule>
  </conditionalFormatting>
  <conditionalFormatting sqref="O109">
    <cfRule type="cellIs" priority="144" operator="equal">
      <formula>"Activa"</formula>
    </cfRule>
  </conditionalFormatting>
  <conditionalFormatting sqref="J110">
    <cfRule type="cellIs" priority="145" operator="equal">
      <formula>"$"</formula>
    </cfRule>
  </conditionalFormatting>
  <conditionalFormatting sqref="K110">
    <cfRule type="cellIs" priority="146" operator="equal">
      <formula>"Nuevo"</formula>
    </cfRule>
  </conditionalFormatting>
  <conditionalFormatting sqref="L110">
    <cfRule type="cellIs" priority="147" operator="equal">
      <formula>"Mercado Envíos gratis"</formula>
    </cfRule>
  </conditionalFormatting>
  <conditionalFormatting sqref="M110">
    <cfRule type="cellIs" priority="148" operator="equal">
      <formula>"Clásica"</formula>
    </cfRule>
  </conditionalFormatting>
  <conditionalFormatting sqref="O110">
    <cfRule type="cellIs" priority="149" operator="equal">
      <formula>"Activa"</formula>
    </cfRule>
  </conditionalFormatting>
  <conditionalFormatting sqref="J114">
    <cfRule type="cellIs" priority="150" operator="equal">
      <formula>"$"</formula>
    </cfRule>
  </conditionalFormatting>
  <conditionalFormatting sqref="K114">
    <cfRule type="cellIs" priority="151" operator="equal">
      <formula>"Nuevo"</formula>
    </cfRule>
  </conditionalFormatting>
  <conditionalFormatting sqref="L114">
    <cfRule type="cellIs" priority="152" operator="equal">
      <formula>"Mercado Envíos gratis"</formula>
    </cfRule>
  </conditionalFormatting>
  <conditionalFormatting sqref="M114">
    <cfRule type="cellIs" priority="153" operator="equal">
      <formula>"Clásica"</formula>
    </cfRule>
  </conditionalFormatting>
  <conditionalFormatting sqref="O114">
    <cfRule type="cellIs" priority="154" operator="equal">
      <formula>"Activa"</formula>
    </cfRule>
  </conditionalFormatting>
  <conditionalFormatting sqref="J118">
    <cfRule type="cellIs" priority="155" operator="equal">
      <formula>"$"</formula>
    </cfRule>
  </conditionalFormatting>
  <conditionalFormatting sqref="K118">
    <cfRule type="cellIs" priority="156" operator="equal">
      <formula>"Nuevo"</formula>
    </cfRule>
  </conditionalFormatting>
  <conditionalFormatting sqref="L118">
    <cfRule type="cellIs" priority="157" operator="equal">
      <formula>"Mercado Envíos gratis"</formula>
    </cfRule>
  </conditionalFormatting>
  <conditionalFormatting sqref="M118">
    <cfRule type="cellIs" priority="158" operator="equal">
      <formula>"Clásica"</formula>
    </cfRule>
  </conditionalFormatting>
  <conditionalFormatting sqref="O118">
    <cfRule type="cellIs" priority="159" operator="equal">
      <formula>"Activa"</formula>
    </cfRule>
  </conditionalFormatting>
  <conditionalFormatting sqref="J122">
    <cfRule type="cellIs" priority="160" operator="equal">
      <formula>"$"</formula>
    </cfRule>
  </conditionalFormatting>
  <conditionalFormatting sqref="K122">
    <cfRule type="cellIs" priority="161" operator="equal">
      <formula>"Nuevo"</formula>
    </cfRule>
  </conditionalFormatting>
  <conditionalFormatting sqref="L122">
    <cfRule type="cellIs" priority="162" operator="equal">
      <formula>"Mercado Envíos gratis"</formula>
    </cfRule>
  </conditionalFormatting>
  <conditionalFormatting sqref="M122">
    <cfRule type="cellIs" priority="163" operator="equal">
      <formula>"Clásica"</formula>
    </cfRule>
  </conditionalFormatting>
  <conditionalFormatting sqref="O122">
    <cfRule type="cellIs" priority="164" operator="equal">
      <formula>"Activa"</formula>
    </cfRule>
  </conditionalFormatting>
  <conditionalFormatting sqref="J123">
    <cfRule type="cellIs" priority="165" operator="equal">
      <formula>"$"</formula>
    </cfRule>
  </conditionalFormatting>
  <conditionalFormatting sqref="K123">
    <cfRule type="cellIs" priority="166" operator="equal">
      <formula>"Nuevo"</formula>
    </cfRule>
  </conditionalFormatting>
  <conditionalFormatting sqref="L123">
    <cfRule type="cellIs" priority="167" operator="equal">
      <formula>"Mercado Envíos a cargo del comprador"</formula>
    </cfRule>
  </conditionalFormatting>
  <conditionalFormatting sqref="M123">
    <cfRule type="cellIs" priority="168" operator="equal">
      <formula>"Clásica"</formula>
    </cfRule>
  </conditionalFormatting>
  <conditionalFormatting sqref="O123">
    <cfRule type="cellIs" priority="169" operator="equal">
      <formula>"Activa"</formula>
    </cfRule>
  </conditionalFormatting>
  <conditionalFormatting sqref="J124">
    <cfRule type="cellIs" priority="170" operator="equal">
      <formula>"$"</formula>
    </cfRule>
  </conditionalFormatting>
  <conditionalFormatting sqref="K124">
    <cfRule type="cellIs" priority="171" operator="equal">
      <formula>"Nuevo"</formula>
    </cfRule>
  </conditionalFormatting>
  <conditionalFormatting sqref="L124">
    <cfRule type="cellIs" priority="172" operator="equal">
      <formula>"Mercado Envíos gratis"</formula>
    </cfRule>
  </conditionalFormatting>
  <conditionalFormatting sqref="M124">
    <cfRule type="cellIs" priority="173" operator="equal">
      <formula>"Clásica"</formula>
    </cfRule>
  </conditionalFormatting>
  <conditionalFormatting sqref="O124">
    <cfRule type="cellIs" priority="174" operator="equal">
      <formula>"Activa"</formula>
    </cfRule>
  </conditionalFormatting>
  <conditionalFormatting sqref="J127">
    <cfRule type="cellIs" priority="175" operator="equal">
      <formula>"$"</formula>
    </cfRule>
  </conditionalFormatting>
  <conditionalFormatting sqref="K127">
    <cfRule type="cellIs" priority="176" operator="equal">
      <formula>"Nuevo"</formula>
    </cfRule>
  </conditionalFormatting>
  <conditionalFormatting sqref="L127">
    <cfRule type="cellIs" priority="177" operator="equal">
      <formula>"Mercado Envíos a cargo del comprador"</formula>
    </cfRule>
  </conditionalFormatting>
  <conditionalFormatting sqref="M127">
    <cfRule type="cellIs" priority="178" operator="equal">
      <formula>"Clásica"</formula>
    </cfRule>
  </conditionalFormatting>
  <conditionalFormatting sqref="O127">
    <cfRule type="cellIs" priority="179" operator="equal">
      <formula>"Activa"</formula>
    </cfRule>
  </conditionalFormatting>
  <conditionalFormatting sqref="J128">
    <cfRule type="cellIs" priority="180" operator="equal">
      <formula>"$"</formula>
    </cfRule>
  </conditionalFormatting>
  <conditionalFormatting sqref="K128">
    <cfRule type="cellIs" priority="181" operator="equal">
      <formula>"Nuevo"</formula>
    </cfRule>
  </conditionalFormatting>
  <conditionalFormatting sqref="L128">
    <cfRule type="cellIs" priority="182" operator="equal">
      <formula>"Mercado Envíos a cargo del comprador"</formula>
    </cfRule>
  </conditionalFormatting>
  <conditionalFormatting sqref="M128">
    <cfRule type="cellIs" priority="183" operator="equal">
      <formula>"Clásica"</formula>
    </cfRule>
  </conditionalFormatting>
  <conditionalFormatting sqref="O128">
    <cfRule type="cellIs" priority="184" operator="equal">
      <formula>"Activa"</formula>
    </cfRule>
  </conditionalFormatting>
  <conditionalFormatting sqref="J129">
    <cfRule type="cellIs" priority="185" operator="equal">
      <formula>"$"</formula>
    </cfRule>
  </conditionalFormatting>
  <conditionalFormatting sqref="K129">
    <cfRule type="cellIs" priority="186" operator="equal">
      <formula>"Nuevo"</formula>
    </cfRule>
  </conditionalFormatting>
  <conditionalFormatting sqref="L129">
    <cfRule type="cellIs" priority="187" operator="equal">
      <formula>"Mercado Envíos a cargo del comprador"</formula>
    </cfRule>
  </conditionalFormatting>
  <conditionalFormatting sqref="M129">
    <cfRule type="cellIs" priority="188" operator="equal">
      <formula>"Clásica"</formula>
    </cfRule>
  </conditionalFormatting>
  <conditionalFormatting sqref="O129">
    <cfRule type="cellIs" priority="189" operator="equal">
      <formula>"Activa"</formula>
    </cfRule>
  </conditionalFormatting>
  <conditionalFormatting sqref="J132">
    <cfRule type="cellIs" priority="190" operator="equal">
      <formula>"$"</formula>
    </cfRule>
  </conditionalFormatting>
  <conditionalFormatting sqref="K132">
    <cfRule type="cellIs" priority="191" operator="equal">
      <formula>"Nuevo"</formula>
    </cfRule>
  </conditionalFormatting>
  <conditionalFormatting sqref="L132">
    <cfRule type="cellIs" priority="192" operator="equal">
      <formula>"Mercado Envíos a cargo del comprador"</formula>
    </cfRule>
  </conditionalFormatting>
  <conditionalFormatting sqref="M132">
    <cfRule type="cellIs" priority="193" operator="equal">
      <formula>"Clásica"</formula>
    </cfRule>
  </conditionalFormatting>
  <conditionalFormatting sqref="O132">
    <cfRule type="cellIs" priority="194" operator="equal">
      <formula>"Activa"</formula>
    </cfRule>
  </conditionalFormatting>
  <conditionalFormatting sqref="J140">
    <cfRule type="cellIs" priority="195" operator="equal">
      <formula>"$"</formula>
    </cfRule>
  </conditionalFormatting>
  <conditionalFormatting sqref="K140">
    <cfRule type="cellIs" priority="196" operator="equal">
      <formula>"Nuevo"</formula>
    </cfRule>
  </conditionalFormatting>
  <conditionalFormatting sqref="L140">
    <cfRule type="cellIs" priority="197" operator="equal">
      <formula>"Mercado Envíos gratis"</formula>
    </cfRule>
  </conditionalFormatting>
  <conditionalFormatting sqref="M140">
    <cfRule type="cellIs" priority="198" operator="equal">
      <formula>"Clásica"</formula>
    </cfRule>
  </conditionalFormatting>
  <conditionalFormatting sqref="O140">
    <cfRule type="cellIs" priority="199" operator="equal">
      <formula>"Activa"</formula>
    </cfRule>
  </conditionalFormatting>
  <conditionalFormatting sqref="J146">
    <cfRule type="cellIs" priority="200" operator="equal">
      <formula>"$"</formula>
    </cfRule>
  </conditionalFormatting>
  <conditionalFormatting sqref="K146">
    <cfRule type="cellIs" priority="201" operator="equal">
      <formula>"Nuevo"</formula>
    </cfRule>
  </conditionalFormatting>
  <conditionalFormatting sqref="L146">
    <cfRule type="cellIs" priority="202" operator="equal">
      <formula>"Mercado Envíos a cargo del comprador"</formula>
    </cfRule>
  </conditionalFormatting>
  <conditionalFormatting sqref="M146">
    <cfRule type="cellIs" priority="203" operator="equal">
      <formula>"Clásica"</formula>
    </cfRule>
  </conditionalFormatting>
  <conditionalFormatting sqref="O146">
    <cfRule type="cellIs" priority="204" operator="equal">
      <formula>"Activa"</formula>
    </cfRule>
  </conditionalFormatting>
  <conditionalFormatting sqref="J151">
    <cfRule type="cellIs" priority="205" operator="equal">
      <formula>"$"</formula>
    </cfRule>
  </conditionalFormatting>
  <conditionalFormatting sqref="K151">
    <cfRule type="cellIs" priority="206" operator="equal">
      <formula>"Nuevo"</formula>
    </cfRule>
  </conditionalFormatting>
  <conditionalFormatting sqref="L151">
    <cfRule type="cellIs" priority="207" operator="equal">
      <formula>"Mercado Envíos gratis"</formula>
    </cfRule>
  </conditionalFormatting>
  <conditionalFormatting sqref="M151">
    <cfRule type="cellIs" priority="208" operator="equal">
      <formula>"Clásica"</formula>
    </cfRule>
  </conditionalFormatting>
  <conditionalFormatting sqref="O151">
    <cfRule type="cellIs" priority="209" operator="equal">
      <formula>"Activa"</formula>
    </cfRule>
  </conditionalFormatting>
  <conditionalFormatting sqref="J157">
    <cfRule type="cellIs" priority="210" operator="equal">
      <formula>"$"</formula>
    </cfRule>
  </conditionalFormatting>
  <conditionalFormatting sqref="K157">
    <cfRule type="cellIs" priority="211" operator="equal">
      <formula>"Nuevo"</formula>
    </cfRule>
  </conditionalFormatting>
  <conditionalFormatting sqref="L157">
    <cfRule type="cellIs" priority="212" operator="equal">
      <formula>"Mercado Envíos gratis"</formula>
    </cfRule>
  </conditionalFormatting>
  <conditionalFormatting sqref="M157">
    <cfRule type="cellIs" priority="213" operator="equal">
      <formula>"Clásica"</formula>
    </cfRule>
  </conditionalFormatting>
  <conditionalFormatting sqref="O157">
    <cfRule type="cellIs" priority="214" operator="equal">
      <formula>"Activa"</formula>
    </cfRule>
  </conditionalFormatting>
  <conditionalFormatting sqref="J158">
    <cfRule type="cellIs" priority="215" operator="equal">
      <formula>"$"</formula>
    </cfRule>
  </conditionalFormatting>
  <conditionalFormatting sqref="K158">
    <cfRule type="cellIs" priority="216" operator="equal">
      <formula>"Nuevo"</formula>
    </cfRule>
  </conditionalFormatting>
  <conditionalFormatting sqref="L158">
    <cfRule type="cellIs" priority="217" operator="equal">
      <formula>"Mercado Envíos gratis"</formula>
    </cfRule>
  </conditionalFormatting>
  <conditionalFormatting sqref="M158">
    <cfRule type="cellIs" priority="218" operator="equal">
      <formula>"Clásica"</formula>
    </cfRule>
  </conditionalFormatting>
  <conditionalFormatting sqref="O158">
    <cfRule type="cellIs" priority="219" operator="equal">
      <formula>"Activa"</formula>
    </cfRule>
  </conditionalFormatting>
  <conditionalFormatting sqref="J161">
    <cfRule type="cellIs" priority="220" operator="equal">
      <formula>"$"</formula>
    </cfRule>
  </conditionalFormatting>
  <conditionalFormatting sqref="K161">
    <cfRule type="cellIs" priority="221" operator="equal">
      <formula>"Nuevo"</formula>
    </cfRule>
  </conditionalFormatting>
  <conditionalFormatting sqref="L161">
    <cfRule type="cellIs" priority="222" operator="equal">
      <formula>"Mercado Envíos gratis"</formula>
    </cfRule>
  </conditionalFormatting>
  <conditionalFormatting sqref="M161">
    <cfRule type="cellIs" priority="223" operator="equal">
      <formula>"Clásica"</formula>
    </cfRule>
  </conditionalFormatting>
  <conditionalFormatting sqref="O161">
    <cfRule type="cellIs" priority="224" operator="equal">
      <formula>"Activa"</formula>
    </cfRule>
  </conditionalFormatting>
  <conditionalFormatting sqref="J162">
    <cfRule type="cellIs" priority="225" operator="equal">
      <formula>"$"</formula>
    </cfRule>
  </conditionalFormatting>
  <conditionalFormatting sqref="K162">
    <cfRule type="cellIs" priority="226" operator="equal">
      <formula>"Nuevo"</formula>
    </cfRule>
  </conditionalFormatting>
  <conditionalFormatting sqref="L162">
    <cfRule type="cellIs" priority="227" operator="equal">
      <formula>"Mercado Envíos gratis"</formula>
    </cfRule>
  </conditionalFormatting>
  <conditionalFormatting sqref="M162">
    <cfRule type="cellIs" priority="228" operator="equal">
      <formula>"Clásica"</formula>
    </cfRule>
  </conditionalFormatting>
  <conditionalFormatting sqref="O162">
    <cfRule type="cellIs" priority="229" operator="equal">
      <formula>"Activa"</formula>
    </cfRule>
  </conditionalFormatting>
  <conditionalFormatting sqref="J165">
    <cfRule type="cellIs" priority="230" operator="equal">
      <formula>"$"</formula>
    </cfRule>
  </conditionalFormatting>
  <conditionalFormatting sqref="K165">
    <cfRule type="cellIs" priority="231" operator="equal">
      <formula>"Nuevo"</formula>
    </cfRule>
  </conditionalFormatting>
  <conditionalFormatting sqref="L165">
    <cfRule type="cellIs" priority="232" operator="equal">
      <formula>"Mercado Envíos gratis"</formula>
    </cfRule>
  </conditionalFormatting>
  <conditionalFormatting sqref="M165">
    <cfRule type="cellIs" priority="233" operator="equal">
      <formula>"Clásica"</formula>
    </cfRule>
  </conditionalFormatting>
  <conditionalFormatting sqref="O165">
    <cfRule type="cellIs" priority="234" operator="equal">
      <formula>"Activa"</formula>
    </cfRule>
  </conditionalFormatting>
  <conditionalFormatting sqref="J166">
    <cfRule type="cellIs" priority="235" operator="equal">
      <formula>"$"</formula>
    </cfRule>
  </conditionalFormatting>
  <conditionalFormatting sqref="K166">
    <cfRule type="cellIs" priority="236" operator="equal">
      <formula>"Nuevo"</formula>
    </cfRule>
  </conditionalFormatting>
  <conditionalFormatting sqref="L166">
    <cfRule type="cellIs" priority="237" operator="equal">
      <formula>"Mercado Envíos gratis"</formula>
    </cfRule>
  </conditionalFormatting>
  <conditionalFormatting sqref="M166">
    <cfRule type="cellIs" priority="238" operator="equal">
      <formula>"Clásica"</formula>
    </cfRule>
  </conditionalFormatting>
  <conditionalFormatting sqref="O166">
    <cfRule type="cellIs" priority="239" operator="equal">
      <formula>"Activa"</formula>
    </cfRule>
  </conditionalFormatting>
  <conditionalFormatting sqref="J169">
    <cfRule type="cellIs" priority="240" operator="equal">
      <formula>"$"</formula>
    </cfRule>
  </conditionalFormatting>
  <conditionalFormatting sqref="K169">
    <cfRule type="cellIs" priority="241" operator="equal">
      <formula>"Nuevo"</formula>
    </cfRule>
  </conditionalFormatting>
  <conditionalFormatting sqref="L169">
    <cfRule type="cellIs" priority="242" operator="equal">
      <formula>"Mercado Envíos gratis"</formula>
    </cfRule>
  </conditionalFormatting>
  <conditionalFormatting sqref="M169">
    <cfRule type="cellIs" priority="243" operator="equal">
      <formula>"Clásica"</formula>
    </cfRule>
  </conditionalFormatting>
  <conditionalFormatting sqref="O169">
    <cfRule type="cellIs" priority="244" operator="equal">
      <formula>"Activa"</formula>
    </cfRule>
  </conditionalFormatting>
  <conditionalFormatting sqref="J170">
    <cfRule type="cellIs" priority="245" operator="equal">
      <formula>"$"</formula>
    </cfRule>
  </conditionalFormatting>
  <conditionalFormatting sqref="K170">
    <cfRule type="cellIs" priority="246" operator="equal">
      <formula>"Nuevo"</formula>
    </cfRule>
  </conditionalFormatting>
  <conditionalFormatting sqref="L170">
    <cfRule type="cellIs" priority="247" operator="equal">
      <formula>"Mercado Envíos gratis"</formula>
    </cfRule>
  </conditionalFormatting>
  <conditionalFormatting sqref="M170">
    <cfRule type="cellIs" priority="248" operator="equal">
      <formula>"Clásica"</formula>
    </cfRule>
  </conditionalFormatting>
  <conditionalFormatting sqref="O170">
    <cfRule type="cellIs" priority="249" operator="equal">
      <formula>"Activa"</formula>
    </cfRule>
  </conditionalFormatting>
  <conditionalFormatting sqref="J173">
    <cfRule type="cellIs" priority="250" operator="equal">
      <formula>"$"</formula>
    </cfRule>
  </conditionalFormatting>
  <conditionalFormatting sqref="K173">
    <cfRule type="cellIs" priority="251" operator="equal">
      <formula>"Nuevo"</formula>
    </cfRule>
  </conditionalFormatting>
  <conditionalFormatting sqref="L173">
    <cfRule type="cellIs" priority="252" operator="equal">
      <formula>"Mercado Envíos gratis"</formula>
    </cfRule>
  </conditionalFormatting>
  <conditionalFormatting sqref="M173">
    <cfRule type="cellIs" priority="253" operator="equal">
      <formula>"Clásica"</formula>
    </cfRule>
  </conditionalFormatting>
  <conditionalFormatting sqref="O173">
    <cfRule type="cellIs" priority="254" operator="equal">
      <formula>"Activa"</formula>
    </cfRule>
  </conditionalFormatting>
  <conditionalFormatting sqref="J174">
    <cfRule type="cellIs" priority="255" operator="equal">
      <formula>"$"</formula>
    </cfRule>
  </conditionalFormatting>
  <conditionalFormatting sqref="K174">
    <cfRule type="cellIs" priority="256" operator="equal">
      <formula>"Nuevo"</formula>
    </cfRule>
  </conditionalFormatting>
  <conditionalFormatting sqref="L174">
    <cfRule type="cellIs" priority="257" operator="equal">
      <formula>"Mercado Envíos a cargo del comprador"</formula>
    </cfRule>
  </conditionalFormatting>
  <conditionalFormatting sqref="M174">
    <cfRule type="cellIs" priority="258" operator="equal">
      <formula>"Clásica"</formula>
    </cfRule>
  </conditionalFormatting>
  <conditionalFormatting sqref="O174">
    <cfRule type="cellIs" priority="259" operator="equal">
      <formula>"Activa"</formula>
    </cfRule>
  </conditionalFormatting>
  <conditionalFormatting sqref="J175">
    <cfRule type="cellIs" priority="260" operator="equal">
      <formula>"$"</formula>
    </cfRule>
  </conditionalFormatting>
  <conditionalFormatting sqref="K175">
    <cfRule type="cellIs" priority="261" operator="equal">
      <formula>"Nuevo"</formula>
    </cfRule>
  </conditionalFormatting>
  <conditionalFormatting sqref="L175">
    <cfRule type="cellIs" priority="262" operator="equal">
      <formula>"Mercado Envíos gratis"</formula>
    </cfRule>
  </conditionalFormatting>
  <conditionalFormatting sqref="M175">
    <cfRule type="cellIs" priority="263" operator="equal">
      <formula>"Clásica"</formula>
    </cfRule>
  </conditionalFormatting>
  <conditionalFormatting sqref="O175">
    <cfRule type="cellIs" priority="264" operator="equal">
      <formula>"Activa"</formula>
    </cfRule>
  </conditionalFormatting>
  <conditionalFormatting sqref="J176">
    <cfRule type="cellIs" priority="265" operator="equal">
      <formula>"$"</formula>
    </cfRule>
  </conditionalFormatting>
  <conditionalFormatting sqref="K176">
    <cfRule type="cellIs" priority="266" operator="equal">
      <formula>"Nuevo"</formula>
    </cfRule>
  </conditionalFormatting>
  <conditionalFormatting sqref="L176">
    <cfRule type="cellIs" priority="267" operator="equal">
      <formula>"Mercado Envíos a cargo del comprador"</formula>
    </cfRule>
  </conditionalFormatting>
  <conditionalFormatting sqref="M176">
    <cfRule type="cellIs" priority="268" operator="equal">
      <formula>"Clásica"</formula>
    </cfRule>
  </conditionalFormatting>
  <conditionalFormatting sqref="O176">
    <cfRule type="cellIs" priority="269" operator="equal">
      <formula>"Activa"</formula>
    </cfRule>
  </conditionalFormatting>
  <conditionalFormatting sqref="J177">
    <cfRule type="cellIs" priority="270" operator="equal">
      <formula>"$"</formula>
    </cfRule>
  </conditionalFormatting>
  <conditionalFormatting sqref="K177">
    <cfRule type="cellIs" priority="271" operator="equal">
      <formula>"Nuevo"</formula>
    </cfRule>
  </conditionalFormatting>
  <conditionalFormatting sqref="L177">
    <cfRule type="cellIs" priority="272" operator="equal">
      <formula>"Mercado Envíos gratis"</formula>
    </cfRule>
  </conditionalFormatting>
  <conditionalFormatting sqref="M177">
    <cfRule type="cellIs" priority="273" operator="equal">
      <formula>"Clásica"</formula>
    </cfRule>
  </conditionalFormatting>
  <conditionalFormatting sqref="O177">
    <cfRule type="cellIs" priority="274" operator="equal">
      <formula>"Activa"</formula>
    </cfRule>
  </conditionalFormatting>
  <conditionalFormatting sqref="J181">
    <cfRule type="cellIs" priority="275" operator="equal">
      <formula>"$"</formula>
    </cfRule>
  </conditionalFormatting>
  <conditionalFormatting sqref="K181">
    <cfRule type="cellIs" priority="276" operator="equal">
      <formula>"Nuevo"</formula>
    </cfRule>
  </conditionalFormatting>
  <conditionalFormatting sqref="L181">
    <cfRule type="cellIs" priority="277" operator="equal">
      <formula>"Mercado Envíos gratis"</formula>
    </cfRule>
  </conditionalFormatting>
  <conditionalFormatting sqref="M181">
    <cfRule type="cellIs" priority="278" operator="equal">
      <formula>"Clásica"</formula>
    </cfRule>
  </conditionalFormatting>
  <conditionalFormatting sqref="O181">
    <cfRule type="cellIs" priority="279" operator="equal">
      <formula>"Activa"</formula>
    </cfRule>
  </conditionalFormatting>
  <conditionalFormatting sqref="J185">
    <cfRule type="cellIs" priority="280" operator="equal">
      <formula>"$"</formula>
    </cfRule>
  </conditionalFormatting>
  <conditionalFormatting sqref="K185">
    <cfRule type="cellIs" priority="281" operator="equal">
      <formula>"Nuevo"</formula>
    </cfRule>
  </conditionalFormatting>
  <conditionalFormatting sqref="L185">
    <cfRule type="cellIs" priority="282" operator="equal">
      <formula>"Mercado Envíos gratis"</formula>
    </cfRule>
  </conditionalFormatting>
  <conditionalFormatting sqref="M185">
    <cfRule type="cellIs" priority="283" operator="equal">
      <formula>"Clásica"</formula>
    </cfRule>
  </conditionalFormatting>
  <conditionalFormatting sqref="O185">
    <cfRule type="cellIs" priority="284" operator="equal">
      <formula>"Activa"</formula>
    </cfRule>
  </conditionalFormatting>
  <conditionalFormatting sqref="J186">
    <cfRule type="cellIs" priority="285" operator="equal">
      <formula>"$"</formula>
    </cfRule>
  </conditionalFormatting>
  <conditionalFormatting sqref="K186">
    <cfRule type="cellIs" priority="286" operator="equal">
      <formula>"Nuevo"</formula>
    </cfRule>
  </conditionalFormatting>
  <conditionalFormatting sqref="L186">
    <cfRule type="cellIs" priority="287" operator="equal">
      <formula>"Mercado Envíos a cargo del comprador"</formula>
    </cfRule>
  </conditionalFormatting>
  <conditionalFormatting sqref="M186">
    <cfRule type="cellIs" priority="288" operator="equal">
      <formula>"Clásica"</formula>
    </cfRule>
  </conditionalFormatting>
  <conditionalFormatting sqref="O186">
    <cfRule type="cellIs" priority="289" operator="equal">
      <formula>"Activa"</formula>
    </cfRule>
  </conditionalFormatting>
  <conditionalFormatting sqref="J189">
    <cfRule type="cellIs" priority="290" operator="equal">
      <formula>"$"</formula>
    </cfRule>
  </conditionalFormatting>
  <conditionalFormatting sqref="K189">
    <cfRule type="cellIs" priority="291" operator="equal">
      <formula>"Nuevo"</formula>
    </cfRule>
  </conditionalFormatting>
  <conditionalFormatting sqref="L189">
    <cfRule type="cellIs" priority="292" operator="equal">
      <formula>"Mercado Envíos gratis"</formula>
    </cfRule>
  </conditionalFormatting>
  <conditionalFormatting sqref="M189">
    <cfRule type="cellIs" priority="293" operator="equal">
      <formula>"Clásica"</formula>
    </cfRule>
  </conditionalFormatting>
  <conditionalFormatting sqref="O189">
    <cfRule type="cellIs" priority="294" operator="equal">
      <formula>"Activa"</formula>
    </cfRule>
  </conditionalFormatting>
  <conditionalFormatting sqref="J190">
    <cfRule type="cellIs" priority="295" operator="equal">
      <formula>"$"</formula>
    </cfRule>
  </conditionalFormatting>
  <conditionalFormatting sqref="K190">
    <cfRule type="cellIs" priority="296" operator="equal">
      <formula>"Nuevo"</formula>
    </cfRule>
  </conditionalFormatting>
  <conditionalFormatting sqref="L190">
    <cfRule type="cellIs" priority="297" operator="equal">
      <formula>"Mercado Envíos gratis"</formula>
    </cfRule>
  </conditionalFormatting>
  <conditionalFormatting sqref="M190">
    <cfRule type="cellIs" priority="298" operator="equal">
      <formula>"Clásica"</formula>
    </cfRule>
  </conditionalFormatting>
  <conditionalFormatting sqref="O190">
    <cfRule type="cellIs" priority="299" operator="equal">
      <formula>"Activa"</formula>
    </cfRule>
  </conditionalFormatting>
  <conditionalFormatting sqref="J191">
    <cfRule type="cellIs" priority="300" operator="equal">
      <formula>"$"</formula>
    </cfRule>
  </conditionalFormatting>
  <conditionalFormatting sqref="L191">
    <cfRule type="cellIs" priority="301" operator="equal">
      <formula>"Mercado Envíos gratis"</formula>
    </cfRule>
  </conditionalFormatting>
  <conditionalFormatting sqref="M191">
    <cfRule type="cellIs" priority="302" operator="equal">
      <formula>"Clásica"</formula>
    </cfRule>
  </conditionalFormatting>
  <conditionalFormatting sqref="O191">
    <cfRule type="cellIs" priority="303" operator="equal">
      <formula>"Activa"</formula>
    </cfRule>
  </conditionalFormatting>
  <conditionalFormatting sqref="J192">
    <cfRule type="cellIs" priority="304" operator="equal">
      <formula>"$"</formula>
    </cfRule>
  </conditionalFormatting>
  <conditionalFormatting sqref="K192">
    <cfRule type="cellIs" priority="305" operator="equal">
      <formula>"Nuevo"</formula>
    </cfRule>
  </conditionalFormatting>
  <conditionalFormatting sqref="L192">
    <cfRule type="cellIs" priority="306" operator="equal">
      <formula>"Mercado Envíos gratis"</formula>
    </cfRule>
  </conditionalFormatting>
  <conditionalFormatting sqref="M192">
    <cfRule type="cellIs" priority="307" operator="equal">
      <formula>"Clásica"</formula>
    </cfRule>
  </conditionalFormatting>
  <conditionalFormatting sqref="O192">
    <cfRule type="cellIs" priority="308" operator="equal">
      <formula>"Activa"</formula>
    </cfRule>
  </conditionalFormatting>
  <conditionalFormatting sqref="J195">
    <cfRule type="cellIs" priority="309" operator="equal">
      <formula>"$"</formula>
    </cfRule>
  </conditionalFormatting>
  <conditionalFormatting sqref="K195">
    <cfRule type="cellIs" priority="310" operator="equal">
      <formula>"Nuevo"</formula>
    </cfRule>
  </conditionalFormatting>
  <conditionalFormatting sqref="L195">
    <cfRule type="cellIs" priority="311" operator="equal">
      <formula>"Mercado Envíos gratis"</formula>
    </cfRule>
  </conditionalFormatting>
  <conditionalFormatting sqref="M195">
    <cfRule type="cellIs" priority="312" operator="equal">
      <formula>"Clásica"</formula>
    </cfRule>
  </conditionalFormatting>
  <conditionalFormatting sqref="O195">
    <cfRule type="cellIs" priority="313" operator="equal">
      <formula>"Activa"</formula>
    </cfRule>
  </conditionalFormatting>
  <conditionalFormatting sqref="J196">
    <cfRule type="cellIs" priority="314" operator="equal">
      <formula>"$"</formula>
    </cfRule>
  </conditionalFormatting>
  <conditionalFormatting sqref="K196">
    <cfRule type="cellIs" priority="315" operator="equal">
      <formula>"Nuevo"</formula>
    </cfRule>
  </conditionalFormatting>
  <conditionalFormatting sqref="L196">
    <cfRule type="cellIs" priority="316" operator="equal">
      <formula>"Mercado Envíos gratis"</formula>
    </cfRule>
  </conditionalFormatting>
  <conditionalFormatting sqref="M196">
    <cfRule type="cellIs" priority="317" operator="equal">
      <formula>"Clásica"</formula>
    </cfRule>
  </conditionalFormatting>
  <conditionalFormatting sqref="O196">
    <cfRule type="cellIs" priority="318" operator="equal">
      <formula>"Activa"</formula>
    </cfRule>
  </conditionalFormatting>
  <conditionalFormatting sqref="J197">
    <cfRule type="cellIs" priority="319" operator="equal">
      <formula>"$"</formula>
    </cfRule>
  </conditionalFormatting>
  <conditionalFormatting sqref="K197">
    <cfRule type="cellIs" priority="320" operator="equal">
      <formula>"Nuevo"</formula>
    </cfRule>
  </conditionalFormatting>
  <conditionalFormatting sqref="L197">
    <cfRule type="cellIs" priority="321" operator="equal">
      <formula>"Mercado Envíos a cargo del comprador"</formula>
    </cfRule>
  </conditionalFormatting>
  <conditionalFormatting sqref="M197">
    <cfRule type="cellIs" priority="322" operator="equal">
      <formula>"Clásica"</formula>
    </cfRule>
  </conditionalFormatting>
  <conditionalFormatting sqref="O197">
    <cfRule type="cellIs" priority="323" operator="equal">
      <formula>"Activa"</formula>
    </cfRule>
  </conditionalFormatting>
  <conditionalFormatting sqref="J200">
    <cfRule type="cellIs" priority="324" operator="equal">
      <formula>"$"</formula>
    </cfRule>
  </conditionalFormatting>
  <conditionalFormatting sqref="K200">
    <cfRule type="cellIs" priority="325" operator="equal">
      <formula>"Nuevo"</formula>
    </cfRule>
  </conditionalFormatting>
  <conditionalFormatting sqref="L200">
    <cfRule type="cellIs" priority="326" operator="equal">
      <formula>"Mercado Envíos gratis"</formula>
    </cfRule>
  </conditionalFormatting>
  <conditionalFormatting sqref="M200">
    <cfRule type="cellIs" priority="327" operator="equal">
      <formula>"Clásica"</formula>
    </cfRule>
  </conditionalFormatting>
  <conditionalFormatting sqref="O200">
    <cfRule type="cellIs" priority="328" operator="equal">
      <formula>"Activa"</formula>
    </cfRule>
  </conditionalFormatting>
  <conditionalFormatting sqref="J201">
    <cfRule type="cellIs" priority="329" operator="equal">
      <formula>"$"</formula>
    </cfRule>
  </conditionalFormatting>
  <conditionalFormatting sqref="K201">
    <cfRule type="cellIs" priority="330" operator="equal">
      <formula>"Nuevo"</formula>
    </cfRule>
  </conditionalFormatting>
  <conditionalFormatting sqref="L201">
    <cfRule type="cellIs" priority="331" operator="equal">
      <formula>"Mercado Envíos gratis"</formula>
    </cfRule>
  </conditionalFormatting>
  <conditionalFormatting sqref="M201">
    <cfRule type="cellIs" priority="332" operator="equal">
      <formula>"Clásica"</formula>
    </cfRule>
  </conditionalFormatting>
  <conditionalFormatting sqref="O201">
    <cfRule type="cellIs" priority="333" operator="equal">
      <formula>"Activa"</formula>
    </cfRule>
  </conditionalFormatting>
  <conditionalFormatting sqref="J202">
    <cfRule type="cellIs" priority="334" operator="equal">
      <formula>"$"</formula>
    </cfRule>
  </conditionalFormatting>
  <conditionalFormatting sqref="K202">
    <cfRule type="cellIs" priority="335" operator="equal">
      <formula>"Nuevo"</formula>
    </cfRule>
  </conditionalFormatting>
  <conditionalFormatting sqref="L202">
    <cfRule type="cellIs" priority="336" operator="equal">
      <formula>"Mercado Envíos gratis"</formula>
    </cfRule>
  </conditionalFormatting>
  <conditionalFormatting sqref="M202">
    <cfRule type="cellIs" priority="337" operator="equal">
      <formula>"Clásica"</formula>
    </cfRule>
  </conditionalFormatting>
  <conditionalFormatting sqref="O202">
    <cfRule type="cellIs" priority="338" operator="equal">
      <formula>"Activa"</formula>
    </cfRule>
  </conditionalFormatting>
  <conditionalFormatting sqref="J203">
    <cfRule type="cellIs" priority="339" operator="equal">
      <formula>"$"</formula>
    </cfRule>
  </conditionalFormatting>
  <conditionalFormatting sqref="K203">
    <cfRule type="cellIs" priority="340" operator="equal">
      <formula>"Nuevo"</formula>
    </cfRule>
  </conditionalFormatting>
  <conditionalFormatting sqref="L203">
    <cfRule type="cellIs" priority="341" operator="equal">
      <formula>"Mercado Envíos gratis"</formula>
    </cfRule>
  </conditionalFormatting>
  <conditionalFormatting sqref="M203">
    <cfRule type="cellIs" priority="342" operator="equal">
      <formula>"Clásica"</formula>
    </cfRule>
  </conditionalFormatting>
  <conditionalFormatting sqref="O203">
    <cfRule type="cellIs" priority="343" operator="equal">
      <formula>"Activa"</formula>
    </cfRule>
  </conditionalFormatting>
  <conditionalFormatting sqref="J204">
    <cfRule type="cellIs" priority="344" operator="equal">
      <formula>"$"</formula>
    </cfRule>
  </conditionalFormatting>
  <conditionalFormatting sqref="K204">
    <cfRule type="cellIs" priority="345" operator="equal">
      <formula>"Nuevo"</formula>
    </cfRule>
  </conditionalFormatting>
  <conditionalFormatting sqref="L204">
    <cfRule type="cellIs" priority="346" operator="equal">
      <formula>"Mercado Envíos gratis"</formula>
    </cfRule>
  </conditionalFormatting>
  <conditionalFormatting sqref="M204">
    <cfRule type="cellIs" priority="347" operator="equal">
      <formula>"Clásica"</formula>
    </cfRule>
  </conditionalFormatting>
  <conditionalFormatting sqref="O204">
    <cfRule type="cellIs" priority="348" operator="equal">
      <formula>"Activa"</formula>
    </cfRule>
  </conditionalFormatting>
  <conditionalFormatting sqref="J207">
    <cfRule type="cellIs" priority="349" operator="equal">
      <formula>"$"</formula>
    </cfRule>
  </conditionalFormatting>
  <conditionalFormatting sqref="K207">
    <cfRule type="cellIs" priority="350" operator="equal">
      <formula>"Nuevo"</formula>
    </cfRule>
  </conditionalFormatting>
  <conditionalFormatting sqref="L207">
    <cfRule type="cellIs" priority="351" operator="equal">
      <formula>"Mercado Envíos gratis"</formula>
    </cfRule>
  </conditionalFormatting>
  <conditionalFormatting sqref="M207">
    <cfRule type="cellIs" priority="352" operator="equal">
      <formula>"Clásica"</formula>
    </cfRule>
  </conditionalFormatting>
  <conditionalFormatting sqref="O207">
    <cfRule type="cellIs" priority="353" operator="equal">
      <formula>"Activa"</formula>
    </cfRule>
  </conditionalFormatting>
  <conditionalFormatting sqref="J208">
    <cfRule type="cellIs" priority="354" operator="equal">
      <formula>"$"</formula>
    </cfRule>
  </conditionalFormatting>
  <conditionalFormatting sqref="K208">
    <cfRule type="cellIs" priority="355" operator="equal">
      <formula>"Nuevo"</formula>
    </cfRule>
  </conditionalFormatting>
  <conditionalFormatting sqref="L208">
    <cfRule type="cellIs" priority="356" operator="equal">
      <formula>"Mercado Envíos gratis"</formula>
    </cfRule>
  </conditionalFormatting>
  <conditionalFormatting sqref="M208">
    <cfRule type="cellIs" priority="357" operator="equal">
      <formula>"Clásica"</formula>
    </cfRule>
  </conditionalFormatting>
  <conditionalFormatting sqref="O208">
    <cfRule type="cellIs" priority="358" operator="equal">
      <formula>"Activa"</formula>
    </cfRule>
  </conditionalFormatting>
  <conditionalFormatting sqref="J211">
    <cfRule type="cellIs" priority="359" operator="equal">
      <formula>"$"</formula>
    </cfRule>
  </conditionalFormatting>
  <conditionalFormatting sqref="K211">
    <cfRule type="cellIs" priority="360" operator="equal">
      <formula>"Nuevo"</formula>
    </cfRule>
  </conditionalFormatting>
  <conditionalFormatting sqref="L211">
    <cfRule type="cellIs" priority="361" operator="equal">
      <formula>"Mercado Envíos gratis"</formula>
    </cfRule>
  </conditionalFormatting>
  <conditionalFormatting sqref="M211">
    <cfRule type="cellIs" priority="362" operator="equal">
      <formula>"Clásica"</formula>
    </cfRule>
  </conditionalFormatting>
  <conditionalFormatting sqref="O211">
    <cfRule type="cellIs" priority="363" operator="equal">
      <formula>"Activa"</formula>
    </cfRule>
  </conditionalFormatting>
  <conditionalFormatting sqref="J212">
    <cfRule type="cellIs" priority="364" operator="equal">
      <formula>"$"</formula>
    </cfRule>
  </conditionalFormatting>
  <conditionalFormatting sqref="K212">
    <cfRule type="cellIs" priority="365" operator="equal">
      <formula>"Nuevo"</formula>
    </cfRule>
  </conditionalFormatting>
  <conditionalFormatting sqref="L212">
    <cfRule type="cellIs" priority="366" operator="equal">
      <formula>"Mercado Envíos a cargo del comprador"</formula>
    </cfRule>
  </conditionalFormatting>
  <conditionalFormatting sqref="M212">
    <cfRule type="cellIs" priority="367" operator="equal">
      <formula>"Clásica"</formula>
    </cfRule>
  </conditionalFormatting>
  <conditionalFormatting sqref="O212">
    <cfRule type="cellIs" priority="368" operator="equal">
      <formula>"Activa"</formula>
    </cfRule>
  </conditionalFormatting>
  <conditionalFormatting sqref="J215">
    <cfRule type="cellIs" priority="369" operator="equal">
      <formula>"$"</formula>
    </cfRule>
  </conditionalFormatting>
  <conditionalFormatting sqref="K215">
    <cfRule type="cellIs" priority="370" operator="equal">
      <formula>"Nuevo"</formula>
    </cfRule>
  </conditionalFormatting>
  <conditionalFormatting sqref="L215">
    <cfRule type="cellIs" priority="371" operator="equal">
      <formula>"Mercado Envíos a cargo del comprador"</formula>
    </cfRule>
  </conditionalFormatting>
  <conditionalFormatting sqref="M215">
    <cfRule type="cellIs" priority="372" operator="equal">
      <formula>"Clásica"</formula>
    </cfRule>
  </conditionalFormatting>
  <conditionalFormatting sqref="O215">
    <cfRule type="cellIs" priority="373" operator="equal">
      <formula>"Activa"</formula>
    </cfRule>
  </conditionalFormatting>
  <conditionalFormatting sqref="J218">
    <cfRule type="cellIs" priority="374" operator="equal">
      <formula>"$"</formula>
    </cfRule>
  </conditionalFormatting>
  <conditionalFormatting sqref="K218">
    <cfRule type="cellIs" priority="375" operator="equal">
      <formula>"Nuevo"</formula>
    </cfRule>
  </conditionalFormatting>
  <conditionalFormatting sqref="L218">
    <cfRule type="cellIs" priority="376" operator="equal">
      <formula>"Mercado Envíos gratis"</formula>
    </cfRule>
  </conditionalFormatting>
  <conditionalFormatting sqref="M218">
    <cfRule type="cellIs" priority="377" operator="equal">
      <formula>"Clásica"</formula>
    </cfRule>
  </conditionalFormatting>
  <conditionalFormatting sqref="O218">
    <cfRule type="cellIs" priority="378" operator="equal">
      <formula>"Activa"</formula>
    </cfRule>
  </conditionalFormatting>
  <conditionalFormatting sqref="J221">
    <cfRule type="cellIs" priority="379" operator="equal">
      <formula>"$"</formula>
    </cfRule>
  </conditionalFormatting>
  <conditionalFormatting sqref="K221">
    <cfRule type="cellIs" priority="380" operator="equal">
      <formula>"Nuevo"</formula>
    </cfRule>
  </conditionalFormatting>
  <conditionalFormatting sqref="L221">
    <cfRule type="cellIs" priority="381" operator="equal">
      <formula>"Mercado Envíos gratis"</formula>
    </cfRule>
  </conditionalFormatting>
  <conditionalFormatting sqref="M221">
    <cfRule type="cellIs" priority="382" operator="equal">
      <formula>"Clásica"</formula>
    </cfRule>
  </conditionalFormatting>
  <conditionalFormatting sqref="O221">
    <cfRule type="cellIs" priority="383" operator="equal">
      <formula>"Activa"</formula>
    </cfRule>
  </conditionalFormatting>
  <conditionalFormatting sqref="J225">
    <cfRule type="cellIs" priority="384" operator="equal">
      <formula>"$"</formula>
    </cfRule>
  </conditionalFormatting>
  <conditionalFormatting sqref="K225">
    <cfRule type="cellIs" priority="385" operator="equal">
      <formula>"Nuevo"</formula>
    </cfRule>
  </conditionalFormatting>
  <conditionalFormatting sqref="L225">
    <cfRule type="cellIs" priority="386" operator="equal">
      <formula>"Mercado Envíos gratis"</formula>
    </cfRule>
  </conditionalFormatting>
  <conditionalFormatting sqref="M225">
    <cfRule type="cellIs" priority="387" operator="equal">
      <formula>"Clásica"</formula>
    </cfRule>
  </conditionalFormatting>
  <conditionalFormatting sqref="O225">
    <cfRule type="cellIs" priority="388" operator="equal">
      <formula>"Activa"</formula>
    </cfRule>
  </conditionalFormatting>
  <conditionalFormatting sqref="J228">
    <cfRule type="cellIs" priority="389" operator="equal">
      <formula>"$"</formula>
    </cfRule>
  </conditionalFormatting>
  <conditionalFormatting sqref="K228">
    <cfRule type="cellIs" priority="390" operator="equal">
      <formula>"Nuevo"</formula>
    </cfRule>
  </conditionalFormatting>
  <conditionalFormatting sqref="L228">
    <cfRule type="cellIs" priority="391" operator="equal">
      <formula>"Mercado Envíos a cargo del comprador"</formula>
    </cfRule>
  </conditionalFormatting>
  <conditionalFormatting sqref="M228">
    <cfRule type="cellIs" priority="392" operator="equal">
      <formula>"Clásica"</formula>
    </cfRule>
  </conditionalFormatting>
  <conditionalFormatting sqref="O228">
    <cfRule type="cellIs" priority="393" operator="equal">
      <formula>"Activa"</formula>
    </cfRule>
  </conditionalFormatting>
  <conditionalFormatting sqref="J233">
    <cfRule type="cellIs" priority="394" operator="equal">
      <formula>"$"</formula>
    </cfRule>
  </conditionalFormatting>
  <conditionalFormatting sqref="K233">
    <cfRule type="cellIs" priority="395" operator="equal">
      <formula>"Nuevo"</formula>
    </cfRule>
  </conditionalFormatting>
  <conditionalFormatting sqref="L233">
    <cfRule type="cellIs" priority="396" operator="equal">
      <formula>"Mercado Envíos gratis"</formula>
    </cfRule>
  </conditionalFormatting>
  <conditionalFormatting sqref="M233">
    <cfRule type="cellIs" priority="397" operator="equal">
      <formula>"Clásica"</formula>
    </cfRule>
  </conditionalFormatting>
  <conditionalFormatting sqref="O233">
    <cfRule type="cellIs" priority="398" operator="equal">
      <formula>"Activa"</formula>
    </cfRule>
  </conditionalFormatting>
  <conditionalFormatting sqref="J234">
    <cfRule type="cellIs" priority="399" operator="equal">
      <formula>"$"</formula>
    </cfRule>
  </conditionalFormatting>
  <conditionalFormatting sqref="K234">
    <cfRule type="cellIs" priority="400" operator="equal">
      <formula>"Nuevo"</formula>
    </cfRule>
  </conditionalFormatting>
  <conditionalFormatting sqref="L234">
    <cfRule type="cellIs" priority="401" operator="equal">
      <formula>"Mercado Envíos a cargo del comprador"</formula>
    </cfRule>
  </conditionalFormatting>
  <conditionalFormatting sqref="M234">
    <cfRule type="cellIs" priority="402" operator="equal">
      <formula>"Clásica"</formula>
    </cfRule>
  </conditionalFormatting>
  <conditionalFormatting sqref="O234">
    <cfRule type="cellIs" priority="403" operator="equal">
      <formula>"Activa"</formula>
    </cfRule>
  </conditionalFormatting>
  <conditionalFormatting sqref="J235">
    <cfRule type="cellIs" priority="404" operator="equal">
      <formula>"$"</formula>
    </cfRule>
  </conditionalFormatting>
  <conditionalFormatting sqref="K235">
    <cfRule type="cellIs" priority="405" operator="equal">
      <formula>"Nuevo"</formula>
    </cfRule>
  </conditionalFormatting>
  <conditionalFormatting sqref="L235">
    <cfRule type="cellIs" priority="406" operator="equal">
      <formula>"Mercado Envíos a cargo del comprador"</formula>
    </cfRule>
  </conditionalFormatting>
  <conditionalFormatting sqref="M235">
    <cfRule type="cellIs" priority="407" operator="equal">
      <formula>"Clásica"</formula>
    </cfRule>
  </conditionalFormatting>
  <conditionalFormatting sqref="O235">
    <cfRule type="cellIs" priority="408" operator="equal">
      <formula>"Activa"</formula>
    </cfRule>
  </conditionalFormatting>
  <conditionalFormatting sqref="J239">
    <cfRule type="cellIs" priority="409" operator="equal">
      <formula>"$"</formula>
    </cfRule>
  </conditionalFormatting>
  <conditionalFormatting sqref="K239">
    <cfRule type="cellIs" priority="410" operator="equal">
      <formula>"Nuevo"</formula>
    </cfRule>
  </conditionalFormatting>
  <conditionalFormatting sqref="L239">
    <cfRule type="cellIs" priority="411" operator="equal">
      <formula>"Mercado Envíos gratis"</formula>
    </cfRule>
  </conditionalFormatting>
  <conditionalFormatting sqref="M239">
    <cfRule type="cellIs" priority="412" operator="equal">
      <formula>"Clásica"</formula>
    </cfRule>
  </conditionalFormatting>
  <conditionalFormatting sqref="O239">
    <cfRule type="cellIs" priority="413" operator="equal">
      <formula>"Activa"</formula>
    </cfRule>
  </conditionalFormatting>
  <conditionalFormatting sqref="J240">
    <cfRule type="cellIs" priority="414" operator="equal">
      <formula>"$"</formula>
    </cfRule>
  </conditionalFormatting>
  <conditionalFormatting sqref="K240">
    <cfRule type="cellIs" priority="415" operator="equal">
      <formula>"Nuevo"</formula>
    </cfRule>
  </conditionalFormatting>
  <conditionalFormatting sqref="L240">
    <cfRule type="cellIs" priority="416" operator="equal">
      <formula>"Mercado Envíos gratis"</formula>
    </cfRule>
  </conditionalFormatting>
  <conditionalFormatting sqref="M240">
    <cfRule type="cellIs" priority="417" operator="equal">
      <formula>"Clásica"</formula>
    </cfRule>
  </conditionalFormatting>
  <conditionalFormatting sqref="O240">
    <cfRule type="cellIs" priority="418" operator="equal">
      <formula>"Activa"</formula>
    </cfRule>
  </conditionalFormatting>
  <conditionalFormatting sqref="J244">
    <cfRule type="cellIs" priority="419" operator="equal">
      <formula>"$"</formula>
    </cfRule>
  </conditionalFormatting>
  <conditionalFormatting sqref="K244">
    <cfRule type="cellIs" priority="420" operator="equal">
      <formula>"Nuevo"</formula>
    </cfRule>
  </conditionalFormatting>
  <conditionalFormatting sqref="L244">
    <cfRule type="cellIs" priority="421" operator="equal">
      <formula>"Mercado Envíos gratis"</formula>
    </cfRule>
  </conditionalFormatting>
  <conditionalFormatting sqref="M244">
    <cfRule type="cellIs" priority="422" operator="equal">
      <formula>"Clásica"</formula>
    </cfRule>
  </conditionalFormatting>
  <conditionalFormatting sqref="O244">
    <cfRule type="cellIs" priority="423" operator="equal">
      <formula>"Activa"</formula>
    </cfRule>
  </conditionalFormatting>
  <conditionalFormatting sqref="J247">
    <cfRule type="cellIs" priority="424" operator="equal">
      <formula>"$"</formula>
    </cfRule>
  </conditionalFormatting>
  <conditionalFormatting sqref="K247">
    <cfRule type="cellIs" priority="425" operator="equal">
      <formula>"Nuevo"</formula>
    </cfRule>
  </conditionalFormatting>
  <conditionalFormatting sqref="L247">
    <cfRule type="cellIs" priority="426" operator="equal">
      <formula>"Mercado Envíos a cargo del comprador"</formula>
    </cfRule>
  </conditionalFormatting>
  <conditionalFormatting sqref="M247">
    <cfRule type="cellIs" priority="427" operator="equal">
      <formula>"Clásica"</formula>
    </cfRule>
  </conditionalFormatting>
  <conditionalFormatting sqref="O247">
    <cfRule type="cellIs" priority="428" operator="equal">
      <formula>"Activa"</formula>
    </cfRule>
  </conditionalFormatting>
  <conditionalFormatting sqref="J250">
    <cfRule type="cellIs" priority="429" operator="equal">
      <formula>"$"</formula>
    </cfRule>
  </conditionalFormatting>
  <conditionalFormatting sqref="K250">
    <cfRule type="cellIs" priority="430" operator="equal">
      <formula>"Nuevo"</formula>
    </cfRule>
  </conditionalFormatting>
  <conditionalFormatting sqref="L250">
    <cfRule type="cellIs" priority="431" operator="equal">
      <formula>"Mercado Envíos gratis"</formula>
    </cfRule>
  </conditionalFormatting>
  <conditionalFormatting sqref="M250">
    <cfRule type="cellIs" priority="432" operator="equal">
      <formula>"Clásica"</formula>
    </cfRule>
  </conditionalFormatting>
  <conditionalFormatting sqref="O250">
    <cfRule type="cellIs" priority="433" operator="equal">
      <formula>"Activa"</formula>
    </cfRule>
  </conditionalFormatting>
  <conditionalFormatting sqref="J253">
    <cfRule type="cellIs" priority="434" operator="equal">
      <formula>"$"</formula>
    </cfRule>
  </conditionalFormatting>
  <conditionalFormatting sqref="K253">
    <cfRule type="cellIs" priority="435" operator="equal">
      <formula>"Nuevo"</formula>
    </cfRule>
  </conditionalFormatting>
  <conditionalFormatting sqref="L253">
    <cfRule type="cellIs" priority="436" operator="equal">
      <formula>"Mercado Envíos a cargo del comprador"</formula>
    </cfRule>
  </conditionalFormatting>
  <conditionalFormatting sqref="M253">
    <cfRule type="cellIs" priority="437" operator="equal">
      <formula>"Clásica"</formula>
    </cfRule>
  </conditionalFormatting>
  <conditionalFormatting sqref="O253">
    <cfRule type="cellIs" priority="438" operator="equal">
      <formula>"Activa"</formula>
    </cfRule>
  </conditionalFormatting>
  <conditionalFormatting sqref="J254">
    <cfRule type="cellIs" priority="439" operator="equal">
      <formula>"$"</formula>
    </cfRule>
  </conditionalFormatting>
  <conditionalFormatting sqref="K254">
    <cfRule type="cellIs" priority="440" operator="equal">
      <formula>"Nuevo"</formula>
    </cfRule>
  </conditionalFormatting>
  <conditionalFormatting sqref="L254">
    <cfRule type="cellIs" priority="441" operator="equal">
      <formula>"Mercado Envíos gratis"</formula>
    </cfRule>
  </conditionalFormatting>
  <conditionalFormatting sqref="M254">
    <cfRule type="cellIs" priority="442" operator="equal">
      <formula>"Clásica"</formula>
    </cfRule>
  </conditionalFormatting>
  <conditionalFormatting sqref="O254">
    <cfRule type="cellIs" priority="443" operator="equal">
      <formula>"Activa"</formula>
    </cfRule>
  </conditionalFormatting>
  <conditionalFormatting sqref="J255">
    <cfRule type="cellIs" priority="444" operator="equal">
      <formula>"$"</formula>
    </cfRule>
  </conditionalFormatting>
  <conditionalFormatting sqref="K255">
    <cfRule type="cellIs" priority="445" operator="equal">
      <formula>"Nuevo"</formula>
    </cfRule>
  </conditionalFormatting>
  <conditionalFormatting sqref="L255">
    <cfRule type="cellIs" priority="446" operator="equal">
      <formula>"Mercado Envíos gratis"</formula>
    </cfRule>
  </conditionalFormatting>
  <conditionalFormatting sqref="M255">
    <cfRule type="cellIs" priority="447" operator="equal">
      <formula>"Clásica"</formula>
    </cfRule>
  </conditionalFormatting>
  <conditionalFormatting sqref="O255">
    <cfRule type="cellIs" priority="448" operator="equal">
      <formula>"Activa"</formula>
    </cfRule>
  </conditionalFormatting>
  <conditionalFormatting sqref="J256">
    <cfRule type="cellIs" priority="449" operator="equal">
      <formula>"$"</formula>
    </cfRule>
  </conditionalFormatting>
  <conditionalFormatting sqref="K256">
    <cfRule type="cellIs" priority="450" operator="equal">
      <formula>"Nuevo"</formula>
    </cfRule>
  </conditionalFormatting>
  <conditionalFormatting sqref="L256">
    <cfRule type="cellIs" priority="451" operator="equal">
      <formula>"Mercado Envíos gratis"</formula>
    </cfRule>
  </conditionalFormatting>
  <conditionalFormatting sqref="M256">
    <cfRule type="cellIs" priority="452" operator="equal">
      <formula>"Clásica"</formula>
    </cfRule>
  </conditionalFormatting>
  <conditionalFormatting sqref="O256">
    <cfRule type="cellIs" priority="453" operator="equal">
      <formula>"Activa"</formula>
    </cfRule>
  </conditionalFormatting>
  <conditionalFormatting sqref="J257">
    <cfRule type="cellIs" priority="454" operator="equal">
      <formula>"$"</formula>
    </cfRule>
  </conditionalFormatting>
  <conditionalFormatting sqref="K257">
    <cfRule type="cellIs" priority="455" operator="equal">
      <formula>"Nuevo"</formula>
    </cfRule>
  </conditionalFormatting>
  <conditionalFormatting sqref="L257">
    <cfRule type="cellIs" priority="456" operator="equal">
      <formula>"Mercado Envíos gratis"</formula>
    </cfRule>
  </conditionalFormatting>
  <conditionalFormatting sqref="M257">
    <cfRule type="cellIs" priority="457" operator="equal">
      <formula>"Clásica"</formula>
    </cfRule>
  </conditionalFormatting>
  <conditionalFormatting sqref="O257">
    <cfRule type="cellIs" priority="458" operator="equal">
      <formula>"Activa"</formula>
    </cfRule>
  </conditionalFormatting>
  <conditionalFormatting sqref="J258">
    <cfRule type="cellIs" priority="459" operator="equal">
      <formula>"$"</formula>
    </cfRule>
  </conditionalFormatting>
  <conditionalFormatting sqref="K258">
    <cfRule type="cellIs" priority="460" operator="equal">
      <formula>"Nuevo"</formula>
    </cfRule>
  </conditionalFormatting>
  <conditionalFormatting sqref="L258">
    <cfRule type="cellIs" priority="461" operator="equal">
      <formula>"Mercado Envíos gratis"</formula>
    </cfRule>
  </conditionalFormatting>
  <conditionalFormatting sqref="M258">
    <cfRule type="cellIs" priority="462" operator="equal">
      <formula>"Clásica"</formula>
    </cfRule>
  </conditionalFormatting>
  <conditionalFormatting sqref="O258">
    <cfRule type="cellIs" priority="463" operator="equal">
      <formula>"Activa"</formula>
    </cfRule>
  </conditionalFormatting>
  <conditionalFormatting sqref="J259">
    <cfRule type="cellIs" priority="464" operator="equal">
      <formula>"$"</formula>
    </cfRule>
  </conditionalFormatting>
  <conditionalFormatting sqref="K259">
    <cfRule type="cellIs" priority="465" operator="equal">
      <formula>"Nuevo"</formula>
    </cfRule>
  </conditionalFormatting>
  <conditionalFormatting sqref="L259">
    <cfRule type="cellIs" priority="466" operator="equal">
      <formula>"Mercado Envíos gratis"</formula>
    </cfRule>
  </conditionalFormatting>
  <conditionalFormatting sqref="M259">
    <cfRule type="cellIs" priority="467" operator="equal">
      <formula>"Clásica"</formula>
    </cfRule>
  </conditionalFormatting>
  <conditionalFormatting sqref="O259">
    <cfRule type="cellIs" priority="468" operator="equal">
      <formula>"Activa"</formula>
    </cfRule>
  </conditionalFormatting>
  <conditionalFormatting sqref="J264">
    <cfRule type="cellIs" priority="469" operator="equal">
      <formula>"$"</formula>
    </cfRule>
  </conditionalFormatting>
  <conditionalFormatting sqref="K264">
    <cfRule type="cellIs" priority="470" operator="equal">
      <formula>"Nuevo"</formula>
    </cfRule>
  </conditionalFormatting>
  <conditionalFormatting sqref="L264">
    <cfRule type="cellIs" priority="471" operator="equal">
      <formula>"Mercado Envíos gratis"</formula>
    </cfRule>
  </conditionalFormatting>
  <conditionalFormatting sqref="M264">
    <cfRule type="cellIs" priority="472" operator="equal">
      <formula>"Clásica"</formula>
    </cfRule>
  </conditionalFormatting>
  <conditionalFormatting sqref="O264">
    <cfRule type="cellIs" priority="473" operator="equal">
      <formula>"Activa"</formula>
    </cfRule>
  </conditionalFormatting>
  <conditionalFormatting sqref="J268">
    <cfRule type="cellIs" priority="474" operator="equal">
      <formula>"$"</formula>
    </cfRule>
  </conditionalFormatting>
  <conditionalFormatting sqref="K268">
    <cfRule type="cellIs" priority="475" operator="equal">
      <formula>"Nuevo"</formula>
    </cfRule>
  </conditionalFormatting>
  <conditionalFormatting sqref="L268">
    <cfRule type="cellIs" priority="476" operator="equal">
      <formula>"Mercado Envíos gratis"</formula>
    </cfRule>
  </conditionalFormatting>
  <conditionalFormatting sqref="M268">
    <cfRule type="cellIs" priority="477" operator="equal">
      <formula>"Clásica"</formula>
    </cfRule>
  </conditionalFormatting>
  <conditionalFormatting sqref="O268">
    <cfRule type="cellIs" priority="478" operator="equal">
      <formula>"Activa"</formula>
    </cfRule>
  </conditionalFormatting>
  <conditionalFormatting sqref="J269">
    <cfRule type="cellIs" priority="479" operator="equal">
      <formula>"$"</formula>
    </cfRule>
  </conditionalFormatting>
  <conditionalFormatting sqref="K269">
    <cfRule type="cellIs" priority="480" operator="equal">
      <formula>"Nuevo"</formula>
    </cfRule>
  </conditionalFormatting>
  <conditionalFormatting sqref="L269">
    <cfRule type="cellIs" priority="481" operator="equal">
      <formula>"Mercado Envíos gratis"</formula>
    </cfRule>
  </conditionalFormatting>
  <conditionalFormatting sqref="M269">
    <cfRule type="cellIs" priority="482" operator="equal">
      <formula>"Clásica"</formula>
    </cfRule>
  </conditionalFormatting>
  <conditionalFormatting sqref="O269">
    <cfRule type="cellIs" priority="483" operator="equal">
      <formula>"Activa"</formula>
    </cfRule>
  </conditionalFormatting>
  <conditionalFormatting sqref="J275">
    <cfRule type="cellIs" priority="484" operator="equal">
      <formula>"$"</formula>
    </cfRule>
  </conditionalFormatting>
  <conditionalFormatting sqref="K275">
    <cfRule type="cellIs" priority="485" operator="equal">
      <formula>"Nuevo"</formula>
    </cfRule>
  </conditionalFormatting>
  <conditionalFormatting sqref="L275">
    <cfRule type="cellIs" priority="486" operator="equal">
      <formula>"Mercado Envíos gratis"</formula>
    </cfRule>
  </conditionalFormatting>
  <conditionalFormatting sqref="M275">
    <cfRule type="cellIs" priority="487" operator="equal">
      <formula>"Clásica"</formula>
    </cfRule>
  </conditionalFormatting>
  <conditionalFormatting sqref="O275">
    <cfRule type="cellIs" priority="488" operator="equal">
      <formula>"Activa"</formula>
    </cfRule>
  </conditionalFormatting>
  <conditionalFormatting sqref="J276">
    <cfRule type="cellIs" priority="489" operator="equal">
      <formula>"$"</formula>
    </cfRule>
  </conditionalFormatting>
  <conditionalFormatting sqref="K276">
    <cfRule type="cellIs" priority="490" operator="equal">
      <formula>"Nuevo"</formula>
    </cfRule>
  </conditionalFormatting>
  <conditionalFormatting sqref="L276">
    <cfRule type="cellIs" priority="491" operator="equal">
      <formula>"Mercado Envíos a cargo del comprador"</formula>
    </cfRule>
  </conditionalFormatting>
  <conditionalFormatting sqref="M276">
    <cfRule type="cellIs" priority="492" operator="equal">
      <formula>"Clásica"</formula>
    </cfRule>
  </conditionalFormatting>
  <conditionalFormatting sqref="O276">
    <cfRule type="cellIs" priority="493" operator="equal">
      <formula>"Activa"</formula>
    </cfRule>
  </conditionalFormatting>
  <conditionalFormatting sqref="J279">
    <cfRule type="cellIs" priority="494" operator="equal">
      <formula>"$"</formula>
    </cfRule>
  </conditionalFormatting>
  <conditionalFormatting sqref="K279">
    <cfRule type="cellIs" priority="495" operator="equal">
      <formula>"Nuevo"</formula>
    </cfRule>
  </conditionalFormatting>
  <conditionalFormatting sqref="L279">
    <cfRule type="cellIs" priority="496" operator="equal">
      <formula>"Mercado Envíos gratis"</formula>
    </cfRule>
  </conditionalFormatting>
  <conditionalFormatting sqref="M279">
    <cfRule type="cellIs" priority="497" operator="equal">
      <formula>"Clásica"</formula>
    </cfRule>
  </conditionalFormatting>
  <conditionalFormatting sqref="O279">
    <cfRule type="cellIs" priority="498" operator="equal">
      <formula>"Activa"</formula>
    </cfRule>
  </conditionalFormatting>
  <conditionalFormatting sqref="J283">
    <cfRule type="cellIs" priority="499" operator="equal">
      <formula>"$"</formula>
    </cfRule>
  </conditionalFormatting>
  <conditionalFormatting sqref="K283">
    <cfRule type="cellIs" priority="500" operator="equal">
      <formula>"Nuevo"</formula>
    </cfRule>
  </conditionalFormatting>
  <conditionalFormatting sqref="L283">
    <cfRule type="cellIs" priority="501" operator="equal">
      <formula>"Mercado Envíos a cargo del comprador"</formula>
    </cfRule>
  </conditionalFormatting>
  <conditionalFormatting sqref="M283">
    <cfRule type="cellIs" priority="502" operator="equal">
      <formula>"Clásica"</formula>
    </cfRule>
  </conditionalFormatting>
  <conditionalFormatting sqref="O283">
    <cfRule type="cellIs" priority="503" operator="equal">
      <formula>"Activa"</formula>
    </cfRule>
  </conditionalFormatting>
  <conditionalFormatting sqref="J286">
    <cfRule type="cellIs" priority="504" operator="equal">
      <formula>"$"</formula>
    </cfRule>
  </conditionalFormatting>
  <conditionalFormatting sqref="K286">
    <cfRule type="cellIs" priority="505" operator="equal">
      <formula>"Nuevo"</formula>
    </cfRule>
  </conditionalFormatting>
  <conditionalFormatting sqref="L286">
    <cfRule type="cellIs" priority="506" operator="equal">
      <formula>"Mercado Envíos gratis"</formula>
    </cfRule>
  </conditionalFormatting>
  <conditionalFormatting sqref="M286">
    <cfRule type="cellIs" priority="507" operator="equal">
      <formula>"Clásica"</formula>
    </cfRule>
  </conditionalFormatting>
  <conditionalFormatting sqref="O286">
    <cfRule type="cellIs" priority="508" operator="equal">
      <formula>"Activa"</formula>
    </cfRule>
  </conditionalFormatting>
  <conditionalFormatting sqref="J289">
    <cfRule type="cellIs" priority="509" operator="equal">
      <formula>"$"</formula>
    </cfRule>
  </conditionalFormatting>
  <conditionalFormatting sqref="K289">
    <cfRule type="cellIs" priority="510" operator="equal">
      <formula>"Nuevo"</formula>
    </cfRule>
  </conditionalFormatting>
  <conditionalFormatting sqref="L289">
    <cfRule type="cellIs" priority="511" operator="equal">
      <formula>"Mercado Envíos gratis"</formula>
    </cfRule>
  </conditionalFormatting>
  <conditionalFormatting sqref="M289">
    <cfRule type="cellIs" priority="512" operator="equal">
      <formula>"Clásica"</formula>
    </cfRule>
  </conditionalFormatting>
  <conditionalFormatting sqref="O289">
    <cfRule type="cellIs" priority="513" operator="equal">
      <formula>"Activa"</formula>
    </cfRule>
  </conditionalFormatting>
  <conditionalFormatting sqref="J290">
    <cfRule type="cellIs" priority="514" operator="equal">
      <formula>"$"</formula>
    </cfRule>
  </conditionalFormatting>
  <conditionalFormatting sqref="K290">
    <cfRule type="cellIs" priority="515" operator="equal">
      <formula>"Nuevo"</formula>
    </cfRule>
  </conditionalFormatting>
  <conditionalFormatting sqref="L290">
    <cfRule type="cellIs" priority="516" operator="equal">
      <formula>"Mercado Envíos gratis"</formula>
    </cfRule>
  </conditionalFormatting>
  <conditionalFormatting sqref="M290">
    <cfRule type="cellIs" priority="517" operator="equal">
      <formula>"Clásica"</formula>
    </cfRule>
  </conditionalFormatting>
  <conditionalFormatting sqref="O290">
    <cfRule type="cellIs" priority="518" operator="equal">
      <formula>"Activa"</formula>
    </cfRule>
  </conditionalFormatting>
  <conditionalFormatting sqref="J291">
    <cfRule type="cellIs" priority="519" operator="equal">
      <formula>"$"</formula>
    </cfRule>
  </conditionalFormatting>
  <conditionalFormatting sqref="K291">
    <cfRule type="cellIs" priority="520" operator="equal">
      <formula>"Nuevo"</formula>
    </cfRule>
  </conditionalFormatting>
  <conditionalFormatting sqref="L291">
    <cfRule type="cellIs" priority="521" operator="equal">
      <formula>"Mercado Envíos a cargo del comprador"</formula>
    </cfRule>
  </conditionalFormatting>
  <conditionalFormatting sqref="M291">
    <cfRule type="cellIs" priority="522" operator="equal">
      <formula>"Clásica"</formula>
    </cfRule>
  </conditionalFormatting>
  <conditionalFormatting sqref="O291">
    <cfRule type="cellIs" priority="523" operator="equal">
      <formula>"Activa"</formula>
    </cfRule>
  </conditionalFormatting>
  <conditionalFormatting sqref="J292">
    <cfRule type="cellIs" priority="524" operator="equal">
      <formula>"$"</formula>
    </cfRule>
  </conditionalFormatting>
  <conditionalFormatting sqref="K292">
    <cfRule type="cellIs" priority="525" operator="equal">
      <formula>"Nuevo"</formula>
    </cfRule>
  </conditionalFormatting>
  <conditionalFormatting sqref="L292">
    <cfRule type="cellIs" priority="526" operator="equal">
      <formula>"Mercado Envíos gratis"</formula>
    </cfRule>
  </conditionalFormatting>
  <conditionalFormatting sqref="M292">
    <cfRule type="cellIs" priority="527" operator="equal">
      <formula>"Clásica"</formula>
    </cfRule>
  </conditionalFormatting>
  <conditionalFormatting sqref="O292">
    <cfRule type="cellIs" priority="528" operator="equal">
      <formula>"Activa"</formula>
    </cfRule>
  </conditionalFormatting>
  <conditionalFormatting sqref="J293">
    <cfRule type="cellIs" priority="529" operator="equal">
      <formula>"$"</formula>
    </cfRule>
  </conditionalFormatting>
  <conditionalFormatting sqref="K293">
    <cfRule type="cellIs" priority="530" operator="equal">
      <formula>"Nuevo"</formula>
    </cfRule>
  </conditionalFormatting>
  <conditionalFormatting sqref="L293">
    <cfRule type="cellIs" priority="531" operator="equal">
      <formula>"Mercado Envíos gratis"</formula>
    </cfRule>
  </conditionalFormatting>
  <conditionalFormatting sqref="M293">
    <cfRule type="cellIs" priority="532" operator="equal">
      <formula>"Clásica"</formula>
    </cfRule>
  </conditionalFormatting>
  <conditionalFormatting sqref="O293">
    <cfRule type="cellIs" priority="533" operator="equal">
      <formula>"Activa"</formula>
    </cfRule>
  </conditionalFormatting>
  <conditionalFormatting sqref="J294">
    <cfRule type="cellIs" priority="534" operator="equal">
      <formula>"$"</formula>
    </cfRule>
  </conditionalFormatting>
  <conditionalFormatting sqref="K294">
    <cfRule type="cellIs" priority="535" operator="equal">
      <formula>"Nuevo"</formula>
    </cfRule>
  </conditionalFormatting>
  <conditionalFormatting sqref="L294">
    <cfRule type="cellIs" priority="536" operator="equal">
      <formula>"Mercado Envíos gratis"</formula>
    </cfRule>
  </conditionalFormatting>
  <conditionalFormatting sqref="M294">
    <cfRule type="cellIs" priority="537" operator="equal">
      <formula>"Clásica"</formula>
    </cfRule>
  </conditionalFormatting>
  <conditionalFormatting sqref="O294">
    <cfRule type="cellIs" priority="538" operator="equal">
      <formula>"Activa"</formula>
    </cfRule>
  </conditionalFormatting>
  <conditionalFormatting sqref="J295">
    <cfRule type="cellIs" priority="539" operator="equal">
      <formula>"$"</formula>
    </cfRule>
  </conditionalFormatting>
  <conditionalFormatting sqref="K295">
    <cfRule type="cellIs" priority="540" operator="equal">
      <formula>"Nuevo"</formula>
    </cfRule>
  </conditionalFormatting>
  <conditionalFormatting sqref="L295">
    <cfRule type="cellIs" priority="541" operator="equal">
      <formula>"Mercado Envíos gratis"</formula>
    </cfRule>
  </conditionalFormatting>
  <conditionalFormatting sqref="M295">
    <cfRule type="cellIs" priority="542" operator="equal">
      <formula>"Clásica"</formula>
    </cfRule>
  </conditionalFormatting>
  <conditionalFormatting sqref="O295">
    <cfRule type="cellIs" priority="543" operator="equal">
      <formula>"Activa"</formula>
    </cfRule>
  </conditionalFormatting>
  <conditionalFormatting sqref="J296">
    <cfRule type="cellIs" priority="544" operator="equal">
      <formula>"$"</formula>
    </cfRule>
  </conditionalFormatting>
  <conditionalFormatting sqref="K296">
    <cfRule type="cellIs" priority="545" operator="equal">
      <formula>"Nuevo"</formula>
    </cfRule>
  </conditionalFormatting>
  <conditionalFormatting sqref="L296">
    <cfRule type="cellIs" priority="546" operator="equal">
      <formula>"Mercado Envíos gratis"</formula>
    </cfRule>
  </conditionalFormatting>
  <conditionalFormatting sqref="M296">
    <cfRule type="cellIs" priority="547" operator="equal">
      <formula>"Clásica"</formula>
    </cfRule>
  </conditionalFormatting>
  <conditionalFormatting sqref="O296">
    <cfRule type="cellIs" priority="548" operator="equal">
      <formula>"Activa"</formula>
    </cfRule>
  </conditionalFormatting>
  <conditionalFormatting sqref="J297">
    <cfRule type="cellIs" priority="549" operator="equal">
      <formula>"$"</formula>
    </cfRule>
  </conditionalFormatting>
  <conditionalFormatting sqref="K297">
    <cfRule type="cellIs" priority="550" operator="equal">
      <formula>"Nuevo"</formula>
    </cfRule>
  </conditionalFormatting>
  <conditionalFormatting sqref="L297">
    <cfRule type="cellIs" priority="551" operator="equal">
      <formula>"Mercado Envíos gratis"</formula>
    </cfRule>
  </conditionalFormatting>
  <conditionalFormatting sqref="M297">
    <cfRule type="cellIs" priority="552" operator="equal">
      <formula>"Clásica"</formula>
    </cfRule>
  </conditionalFormatting>
  <conditionalFormatting sqref="O297">
    <cfRule type="cellIs" priority="553" operator="equal">
      <formula>"Activa"</formula>
    </cfRule>
  </conditionalFormatting>
  <conditionalFormatting sqref="J298">
    <cfRule type="cellIs" priority="554" operator="equal">
      <formula>"$"</formula>
    </cfRule>
  </conditionalFormatting>
  <conditionalFormatting sqref="K298">
    <cfRule type="cellIs" priority="555" operator="equal">
      <formula>"Nuevo"</formula>
    </cfRule>
  </conditionalFormatting>
  <conditionalFormatting sqref="L298">
    <cfRule type="cellIs" priority="556" operator="equal">
      <formula>"Mercado Envíos gratis"</formula>
    </cfRule>
  </conditionalFormatting>
  <conditionalFormatting sqref="M298">
    <cfRule type="cellIs" priority="557" operator="equal">
      <formula>"Clásica"</formula>
    </cfRule>
  </conditionalFormatting>
  <conditionalFormatting sqref="O298">
    <cfRule type="cellIs" priority="558" operator="equal">
      <formula>"Activa"</formula>
    </cfRule>
  </conditionalFormatting>
  <conditionalFormatting sqref="J302">
    <cfRule type="cellIs" priority="559" operator="equal">
      <formula>"$"</formula>
    </cfRule>
  </conditionalFormatting>
  <conditionalFormatting sqref="L302">
    <cfRule type="cellIs" priority="560" operator="equal">
      <formula>"Mercado Envíos gratis"</formula>
    </cfRule>
  </conditionalFormatting>
  <conditionalFormatting sqref="M302">
    <cfRule type="cellIs" priority="561" operator="equal">
      <formula>"Clásica"</formula>
    </cfRule>
  </conditionalFormatting>
  <conditionalFormatting sqref="O302">
    <cfRule type="cellIs" priority="562" operator="equal">
      <formula>"Activa"</formula>
    </cfRule>
  </conditionalFormatting>
  <conditionalFormatting sqref="J303">
    <cfRule type="cellIs" priority="563" operator="equal">
      <formula>"$"</formula>
    </cfRule>
  </conditionalFormatting>
  <conditionalFormatting sqref="K303">
    <cfRule type="cellIs" priority="564" operator="equal">
      <formula>"Nuevo"</formula>
    </cfRule>
  </conditionalFormatting>
  <conditionalFormatting sqref="L303">
    <cfRule type="cellIs" priority="565" operator="equal">
      <formula>"Mercado Envíos gratis"</formula>
    </cfRule>
  </conditionalFormatting>
  <conditionalFormatting sqref="M303">
    <cfRule type="cellIs" priority="566" operator="equal">
      <formula>"Clásica"</formula>
    </cfRule>
  </conditionalFormatting>
  <conditionalFormatting sqref="O303">
    <cfRule type="cellIs" priority="567" operator="equal">
      <formula>"Activa"</formula>
    </cfRule>
  </conditionalFormatting>
  <conditionalFormatting sqref="J307">
    <cfRule type="cellIs" priority="568" operator="equal">
      <formula>"$"</formula>
    </cfRule>
  </conditionalFormatting>
  <conditionalFormatting sqref="K307">
    <cfRule type="cellIs" priority="569" operator="equal">
      <formula>"Nuevo"</formula>
    </cfRule>
  </conditionalFormatting>
  <conditionalFormatting sqref="L307">
    <cfRule type="cellIs" priority="570" operator="equal">
      <formula>"Mercado Envíos gratis"</formula>
    </cfRule>
  </conditionalFormatting>
  <conditionalFormatting sqref="M307">
    <cfRule type="cellIs" priority="571" operator="equal">
      <formula>"Clásica"</formula>
    </cfRule>
  </conditionalFormatting>
  <conditionalFormatting sqref="O307">
    <cfRule type="cellIs" priority="572" operator="equal">
      <formula>"Activa"</formula>
    </cfRule>
  </conditionalFormatting>
  <conditionalFormatting sqref="J311">
    <cfRule type="cellIs" priority="573" operator="equal">
      <formula>"$"</formula>
    </cfRule>
  </conditionalFormatting>
  <conditionalFormatting sqref="K311">
    <cfRule type="cellIs" priority="574" operator="equal">
      <formula>"Nuevo"</formula>
    </cfRule>
  </conditionalFormatting>
  <conditionalFormatting sqref="L311">
    <cfRule type="cellIs" priority="575" operator="equal">
      <formula>"Mercado Envíos a cargo del comprador"</formula>
    </cfRule>
  </conditionalFormatting>
  <conditionalFormatting sqref="M311">
    <cfRule type="cellIs" priority="576" operator="equal">
      <formula>"Clásica"</formula>
    </cfRule>
  </conditionalFormatting>
  <conditionalFormatting sqref="O311">
    <cfRule type="cellIs" priority="577" operator="equal">
      <formula>"Activa"</formula>
    </cfRule>
  </conditionalFormatting>
  <conditionalFormatting sqref="J312">
    <cfRule type="cellIs" priority="578" operator="equal">
      <formula>"$"</formula>
    </cfRule>
  </conditionalFormatting>
  <conditionalFormatting sqref="K312">
    <cfRule type="cellIs" priority="579" operator="equal">
      <formula>"Nuevo"</formula>
    </cfRule>
  </conditionalFormatting>
  <conditionalFormatting sqref="L312">
    <cfRule type="cellIs" priority="580" operator="equal">
      <formula>"Mercado Envíos gratis"</formula>
    </cfRule>
  </conditionalFormatting>
  <conditionalFormatting sqref="M312">
    <cfRule type="cellIs" priority="581" operator="equal">
      <formula>"Clásica"</formula>
    </cfRule>
  </conditionalFormatting>
  <conditionalFormatting sqref="O312">
    <cfRule type="cellIs" priority="582" operator="equal">
      <formula>"Activa"</formula>
    </cfRule>
  </conditionalFormatting>
  <conditionalFormatting sqref="J315">
    <cfRule type="cellIs" priority="583" operator="equal">
      <formula>"$"</formula>
    </cfRule>
  </conditionalFormatting>
  <conditionalFormatting sqref="K315">
    <cfRule type="cellIs" priority="584" operator="equal">
      <formula>"Nuevo"</formula>
    </cfRule>
  </conditionalFormatting>
  <conditionalFormatting sqref="L315">
    <cfRule type="cellIs" priority="585" operator="equal">
      <formula>"Mercado Envíos a cargo del comprador"</formula>
    </cfRule>
  </conditionalFormatting>
  <conditionalFormatting sqref="M315">
    <cfRule type="cellIs" priority="586" operator="equal">
      <formula>"Clásica"</formula>
    </cfRule>
  </conditionalFormatting>
  <conditionalFormatting sqref="O315">
    <cfRule type="cellIs" priority="587" operator="equal">
      <formula>"Activa"</formula>
    </cfRule>
  </conditionalFormatting>
  <conditionalFormatting sqref="J316">
    <cfRule type="cellIs" priority="588" operator="equal">
      <formula>"$"</formula>
    </cfRule>
  </conditionalFormatting>
  <conditionalFormatting sqref="K316">
    <cfRule type="cellIs" priority="589" operator="equal">
      <formula>"Nuevo"</formula>
    </cfRule>
  </conditionalFormatting>
  <conditionalFormatting sqref="L316">
    <cfRule type="cellIs" priority="590" operator="equal">
      <formula>"Mercado Envíos a cargo del comprador"</formula>
    </cfRule>
  </conditionalFormatting>
  <conditionalFormatting sqref="M316">
    <cfRule type="cellIs" priority="591" operator="equal">
      <formula>"Clásica"</formula>
    </cfRule>
  </conditionalFormatting>
  <conditionalFormatting sqref="O316">
    <cfRule type="cellIs" priority="592" operator="equal">
      <formula>"Activa"</formula>
    </cfRule>
  </conditionalFormatting>
  <conditionalFormatting sqref="J321">
    <cfRule type="cellIs" priority="593" operator="equal">
      <formula>"$"</formula>
    </cfRule>
  </conditionalFormatting>
  <conditionalFormatting sqref="K321">
    <cfRule type="cellIs" priority="594" operator="equal">
      <formula>"Nuevo"</formula>
    </cfRule>
  </conditionalFormatting>
  <conditionalFormatting sqref="L321">
    <cfRule type="cellIs" priority="595" operator="equal">
      <formula>"Mercado Envíos gratis"</formula>
    </cfRule>
  </conditionalFormatting>
  <conditionalFormatting sqref="M321">
    <cfRule type="cellIs" priority="596" operator="equal">
      <formula>"Clásica"</formula>
    </cfRule>
  </conditionalFormatting>
  <conditionalFormatting sqref="O321">
    <cfRule type="cellIs" priority="597" operator="equal">
      <formula>"Activa"</formula>
    </cfRule>
  </conditionalFormatting>
  <conditionalFormatting sqref="J322">
    <cfRule type="cellIs" priority="598" operator="equal">
      <formula>"$"</formula>
    </cfRule>
  </conditionalFormatting>
  <conditionalFormatting sqref="K322">
    <cfRule type="cellIs" priority="599" operator="equal">
      <formula>"Nuevo"</formula>
    </cfRule>
  </conditionalFormatting>
  <conditionalFormatting sqref="L322">
    <cfRule type="cellIs" priority="600" operator="equal">
      <formula>"Mercado Envíos gratis"</formula>
    </cfRule>
  </conditionalFormatting>
  <conditionalFormatting sqref="M322">
    <cfRule type="cellIs" priority="601" operator="equal">
      <formula>"Clásica"</formula>
    </cfRule>
  </conditionalFormatting>
  <conditionalFormatting sqref="O322">
    <cfRule type="cellIs" priority="602" operator="equal">
      <formula>"Activa"</formula>
    </cfRule>
  </conditionalFormatting>
  <conditionalFormatting sqref="J326">
    <cfRule type="cellIs" priority="603" operator="equal">
      <formula>"$"</formula>
    </cfRule>
  </conditionalFormatting>
  <conditionalFormatting sqref="K326">
    <cfRule type="cellIs" priority="604" operator="equal">
      <formula>"Nuevo"</formula>
    </cfRule>
  </conditionalFormatting>
  <conditionalFormatting sqref="L326">
    <cfRule type="cellIs" priority="605" operator="equal">
      <formula>"Mercado Envíos gratis"</formula>
    </cfRule>
  </conditionalFormatting>
  <conditionalFormatting sqref="M326">
    <cfRule type="cellIs" priority="606" operator="equal">
      <formula>"Clásica"</formula>
    </cfRule>
  </conditionalFormatting>
  <conditionalFormatting sqref="O326">
    <cfRule type="cellIs" priority="607" operator="equal">
      <formula>"Activa"</formula>
    </cfRule>
  </conditionalFormatting>
  <conditionalFormatting sqref="J327">
    <cfRule type="cellIs" priority="608" operator="equal">
      <formula>"$"</formula>
    </cfRule>
  </conditionalFormatting>
  <conditionalFormatting sqref="K327">
    <cfRule type="cellIs" priority="609" operator="equal">
      <formula>"Nuevo"</formula>
    </cfRule>
  </conditionalFormatting>
  <conditionalFormatting sqref="L327">
    <cfRule type="cellIs" priority="610" operator="equal">
      <formula>"Mercado Envíos gratis"</formula>
    </cfRule>
  </conditionalFormatting>
  <conditionalFormatting sqref="M327">
    <cfRule type="cellIs" priority="611" operator="equal">
      <formula>"Clásica"</formula>
    </cfRule>
  </conditionalFormatting>
  <conditionalFormatting sqref="O327">
    <cfRule type="cellIs" priority="612" operator="equal">
      <formula>"Activa"</formula>
    </cfRule>
  </conditionalFormatting>
  <conditionalFormatting sqref="J328">
    <cfRule type="cellIs" priority="613" operator="equal">
      <formula>"$"</formula>
    </cfRule>
  </conditionalFormatting>
  <conditionalFormatting sqref="K328">
    <cfRule type="cellIs" priority="614" operator="equal">
      <formula>"Nuevo"</formula>
    </cfRule>
  </conditionalFormatting>
  <conditionalFormatting sqref="L328">
    <cfRule type="cellIs" priority="615" operator="equal">
      <formula>"Mercado Envíos gratis"</formula>
    </cfRule>
  </conditionalFormatting>
  <conditionalFormatting sqref="M328">
    <cfRule type="cellIs" priority="616" operator="equal">
      <formula>"Clásica"</formula>
    </cfRule>
  </conditionalFormatting>
  <conditionalFormatting sqref="O328">
    <cfRule type="cellIs" priority="617" operator="equal">
      <formula>"Activa"</formula>
    </cfRule>
  </conditionalFormatting>
  <conditionalFormatting sqref="J332">
    <cfRule type="cellIs" priority="618" operator="equal">
      <formula>"$"</formula>
    </cfRule>
  </conditionalFormatting>
  <conditionalFormatting sqref="K332">
    <cfRule type="cellIs" priority="619" operator="equal">
      <formula>"Nuevo"</formula>
    </cfRule>
  </conditionalFormatting>
  <conditionalFormatting sqref="L332">
    <cfRule type="cellIs" priority="620" operator="equal">
      <formula>"Mercado Envíos gratis"</formula>
    </cfRule>
  </conditionalFormatting>
  <conditionalFormatting sqref="M332">
    <cfRule type="cellIs" priority="621" operator="equal">
      <formula>"Clásica"</formula>
    </cfRule>
  </conditionalFormatting>
  <conditionalFormatting sqref="O332">
    <cfRule type="cellIs" priority="622" operator="equal">
      <formula>"Activa"</formula>
    </cfRule>
  </conditionalFormatting>
  <conditionalFormatting sqref="J333">
    <cfRule type="cellIs" priority="623" operator="equal">
      <formula>"$"</formula>
    </cfRule>
  </conditionalFormatting>
  <conditionalFormatting sqref="K333">
    <cfRule type="cellIs" priority="624" operator="equal">
      <formula>"Nuevo"</formula>
    </cfRule>
  </conditionalFormatting>
  <conditionalFormatting sqref="L333">
    <cfRule type="cellIs" priority="625" operator="equal">
      <formula>"Mercado Envíos gratis"</formula>
    </cfRule>
  </conditionalFormatting>
  <conditionalFormatting sqref="M333">
    <cfRule type="cellIs" priority="626" operator="equal">
      <formula>"Clásica"</formula>
    </cfRule>
  </conditionalFormatting>
  <conditionalFormatting sqref="O333">
    <cfRule type="cellIs" priority="627" operator="equal">
      <formula>"Activa"</formula>
    </cfRule>
  </conditionalFormatting>
  <conditionalFormatting sqref="J334">
    <cfRule type="cellIs" priority="628" operator="equal">
      <formula>"$"</formula>
    </cfRule>
  </conditionalFormatting>
  <conditionalFormatting sqref="K334">
    <cfRule type="cellIs" priority="629" operator="equal">
      <formula>"Nuevo"</formula>
    </cfRule>
  </conditionalFormatting>
  <conditionalFormatting sqref="L334">
    <cfRule type="cellIs" priority="630" operator="equal">
      <formula>"Mercado Envíos gratis"</formula>
    </cfRule>
  </conditionalFormatting>
  <conditionalFormatting sqref="M334">
    <cfRule type="cellIs" priority="631" operator="equal">
      <formula>"Clásica"</formula>
    </cfRule>
  </conditionalFormatting>
  <conditionalFormatting sqref="O334">
    <cfRule type="cellIs" priority="632" operator="equal">
      <formula>"Activa"</formula>
    </cfRule>
  </conditionalFormatting>
  <conditionalFormatting sqref="J338">
    <cfRule type="cellIs" priority="633" operator="equal">
      <formula>"$"</formula>
    </cfRule>
  </conditionalFormatting>
  <conditionalFormatting sqref="K338">
    <cfRule type="cellIs" priority="634" operator="equal">
      <formula>"Nuevo"</formula>
    </cfRule>
  </conditionalFormatting>
  <conditionalFormatting sqref="L338">
    <cfRule type="cellIs" priority="635" operator="equal">
      <formula>"Mercado Envíos gratis"</formula>
    </cfRule>
  </conditionalFormatting>
  <conditionalFormatting sqref="M338">
    <cfRule type="cellIs" priority="636" operator="equal">
      <formula>"Clásica"</formula>
    </cfRule>
  </conditionalFormatting>
  <conditionalFormatting sqref="O338">
    <cfRule type="cellIs" priority="637" operator="equal">
      <formula>"Activa"</formula>
    </cfRule>
  </conditionalFormatting>
  <conditionalFormatting sqref="J339">
    <cfRule type="cellIs" priority="638" operator="equal">
      <formula>"$"</formula>
    </cfRule>
  </conditionalFormatting>
  <conditionalFormatting sqref="K339">
    <cfRule type="cellIs" priority="639" operator="equal">
      <formula>"Nuevo"</formula>
    </cfRule>
  </conditionalFormatting>
  <conditionalFormatting sqref="L339">
    <cfRule type="cellIs" priority="640" operator="equal">
      <formula>"Mercado Envíos gratis"</formula>
    </cfRule>
  </conditionalFormatting>
  <conditionalFormatting sqref="M339">
    <cfRule type="cellIs" priority="641" operator="equal">
      <formula>"Clásica"</formula>
    </cfRule>
  </conditionalFormatting>
  <conditionalFormatting sqref="O339">
    <cfRule type="cellIs" priority="642" operator="equal">
      <formula>"Activa"</formula>
    </cfRule>
  </conditionalFormatting>
  <conditionalFormatting sqref="J340">
    <cfRule type="cellIs" priority="643" operator="equal">
      <formula>"$"</formula>
    </cfRule>
  </conditionalFormatting>
  <conditionalFormatting sqref="K340">
    <cfRule type="cellIs" priority="644" operator="equal">
      <formula>"Nuevo"</formula>
    </cfRule>
  </conditionalFormatting>
  <conditionalFormatting sqref="L340">
    <cfRule type="cellIs" priority="645" operator="equal">
      <formula>"Mercado Envíos gratis"</formula>
    </cfRule>
  </conditionalFormatting>
  <conditionalFormatting sqref="M340">
    <cfRule type="cellIs" priority="646" operator="equal">
      <formula>"Clásica"</formula>
    </cfRule>
  </conditionalFormatting>
  <conditionalFormatting sqref="O340">
    <cfRule type="cellIs" priority="647" operator="equal">
      <formula>"Activa"</formula>
    </cfRule>
  </conditionalFormatting>
  <conditionalFormatting sqref="J341">
    <cfRule type="cellIs" priority="648" operator="equal">
      <formula>"$"</formula>
    </cfRule>
  </conditionalFormatting>
  <conditionalFormatting sqref="K341">
    <cfRule type="cellIs" priority="649" operator="equal">
      <formula>"Nuevo"</formula>
    </cfRule>
  </conditionalFormatting>
  <conditionalFormatting sqref="L341">
    <cfRule type="cellIs" priority="650" operator="equal">
      <formula>"Mercado Envíos gratis"</formula>
    </cfRule>
  </conditionalFormatting>
  <conditionalFormatting sqref="M341">
    <cfRule type="cellIs" priority="651" operator="equal">
      <formula>"Clásica"</formula>
    </cfRule>
  </conditionalFormatting>
  <conditionalFormatting sqref="O341">
    <cfRule type="cellIs" priority="652" operator="equal">
      <formula>"Activa"</formula>
    </cfRule>
  </conditionalFormatting>
  <conditionalFormatting sqref="J342">
    <cfRule type="cellIs" priority="653" operator="equal">
      <formula>"$"</formula>
    </cfRule>
  </conditionalFormatting>
  <conditionalFormatting sqref="K342">
    <cfRule type="cellIs" priority="654" operator="equal">
      <formula>"Nuevo"</formula>
    </cfRule>
  </conditionalFormatting>
  <conditionalFormatting sqref="L342">
    <cfRule type="cellIs" priority="655" operator="equal">
      <formula>"Mercado Envíos gratis"</formula>
    </cfRule>
  </conditionalFormatting>
  <conditionalFormatting sqref="M342">
    <cfRule type="cellIs" priority="656" operator="equal">
      <formula>"Clásica"</formula>
    </cfRule>
  </conditionalFormatting>
  <conditionalFormatting sqref="O342">
    <cfRule type="cellIs" priority="657" operator="equal">
      <formula>"Activa"</formula>
    </cfRule>
  </conditionalFormatting>
  <conditionalFormatting sqref="J343">
    <cfRule type="cellIs" priority="658" operator="equal">
      <formula>"$"</formula>
    </cfRule>
  </conditionalFormatting>
  <conditionalFormatting sqref="K343">
    <cfRule type="cellIs" priority="659" operator="equal">
      <formula>"Nuevo"</formula>
    </cfRule>
  </conditionalFormatting>
  <conditionalFormatting sqref="L343">
    <cfRule type="cellIs" priority="660" operator="equal">
      <formula>"Mercado Envíos gratis"</formula>
    </cfRule>
  </conditionalFormatting>
  <conditionalFormatting sqref="M343">
    <cfRule type="cellIs" priority="661" operator="equal">
      <formula>"Clásica"</formula>
    </cfRule>
  </conditionalFormatting>
  <conditionalFormatting sqref="O343">
    <cfRule type="cellIs" priority="662" operator="equal">
      <formula>"Activa"</formula>
    </cfRule>
  </conditionalFormatting>
  <conditionalFormatting sqref="J344">
    <cfRule type="cellIs" priority="663" operator="equal">
      <formula>"$"</formula>
    </cfRule>
  </conditionalFormatting>
  <conditionalFormatting sqref="K344">
    <cfRule type="cellIs" priority="664" operator="equal">
      <formula>"Nuevo"</formula>
    </cfRule>
  </conditionalFormatting>
  <conditionalFormatting sqref="L344">
    <cfRule type="cellIs" priority="665" operator="equal">
      <formula>"Mercado Envíos gratis"</formula>
    </cfRule>
  </conditionalFormatting>
  <conditionalFormatting sqref="M344">
    <cfRule type="cellIs" priority="666" operator="equal">
      <formula>"Clásica"</formula>
    </cfRule>
  </conditionalFormatting>
  <conditionalFormatting sqref="O344">
    <cfRule type="cellIs" priority="667" operator="equal">
      <formula>"Activa"</formula>
    </cfRule>
  </conditionalFormatting>
  <conditionalFormatting sqref="J347">
    <cfRule type="cellIs" priority="668" operator="equal">
      <formula>"$"</formula>
    </cfRule>
  </conditionalFormatting>
  <conditionalFormatting sqref="K347">
    <cfRule type="cellIs" priority="669" operator="equal">
      <formula>"Nuevo"</formula>
    </cfRule>
  </conditionalFormatting>
  <conditionalFormatting sqref="L347">
    <cfRule type="cellIs" priority="670" operator="equal">
      <formula>"Mercado Envíos gratis"</formula>
    </cfRule>
  </conditionalFormatting>
  <conditionalFormatting sqref="M347">
    <cfRule type="cellIs" priority="671" operator="equal">
      <formula>"Clásica"</formula>
    </cfRule>
  </conditionalFormatting>
  <conditionalFormatting sqref="O347">
    <cfRule type="cellIs" priority="672" operator="equal">
      <formula>"Activa"</formula>
    </cfRule>
  </conditionalFormatting>
  <conditionalFormatting sqref="J348">
    <cfRule type="cellIs" priority="673" operator="equal">
      <formula>"$"</formula>
    </cfRule>
  </conditionalFormatting>
  <conditionalFormatting sqref="K348">
    <cfRule type="cellIs" priority="674" operator="equal">
      <formula>"Nuevo"</formula>
    </cfRule>
  </conditionalFormatting>
  <conditionalFormatting sqref="L348">
    <cfRule type="cellIs" priority="675" operator="equal">
      <formula>"Mercado Envíos gratis"</formula>
    </cfRule>
  </conditionalFormatting>
  <conditionalFormatting sqref="M348">
    <cfRule type="cellIs" priority="676" operator="equal">
      <formula>"Clásica"</formula>
    </cfRule>
  </conditionalFormatting>
  <conditionalFormatting sqref="O348">
    <cfRule type="cellIs" priority="677" operator="equal">
      <formula>"Activa"</formula>
    </cfRule>
  </conditionalFormatting>
  <conditionalFormatting sqref="J349">
    <cfRule type="cellIs" priority="678" operator="equal">
      <formula>"$"</formula>
    </cfRule>
  </conditionalFormatting>
  <conditionalFormatting sqref="K349">
    <cfRule type="cellIs" priority="679" operator="equal">
      <formula>"Nuevo"</formula>
    </cfRule>
  </conditionalFormatting>
  <conditionalFormatting sqref="L349">
    <cfRule type="cellIs" priority="680" operator="equal">
      <formula>"Mercado Envíos gratis"</formula>
    </cfRule>
  </conditionalFormatting>
  <conditionalFormatting sqref="M349">
    <cfRule type="cellIs" priority="681" operator="equal">
      <formula>"Clásica"</formula>
    </cfRule>
  </conditionalFormatting>
  <conditionalFormatting sqref="O349">
    <cfRule type="cellIs" priority="682" operator="equal">
      <formula>"Activa"</formula>
    </cfRule>
  </conditionalFormatting>
  <conditionalFormatting sqref="J350">
    <cfRule type="cellIs" priority="683" operator="equal">
      <formula>"$"</formula>
    </cfRule>
  </conditionalFormatting>
  <conditionalFormatting sqref="K350">
    <cfRule type="cellIs" priority="684" operator="equal">
      <formula>"Nuevo"</formula>
    </cfRule>
  </conditionalFormatting>
  <conditionalFormatting sqref="L350">
    <cfRule type="cellIs" priority="685" operator="equal">
      <formula>"Mercado Envíos a cargo del comprador"</formula>
    </cfRule>
  </conditionalFormatting>
  <conditionalFormatting sqref="M350">
    <cfRule type="cellIs" priority="686" operator="equal">
      <formula>"Clásica"</formula>
    </cfRule>
  </conditionalFormatting>
  <conditionalFormatting sqref="O350">
    <cfRule type="cellIs" priority="687" operator="equal">
      <formula>"Activa"</formula>
    </cfRule>
  </conditionalFormatting>
  <conditionalFormatting sqref="J353">
    <cfRule type="cellIs" priority="688" operator="equal">
      <formula>"$"</formula>
    </cfRule>
  </conditionalFormatting>
  <conditionalFormatting sqref="K353">
    <cfRule type="cellIs" priority="689" operator="equal">
      <formula>"Nuevo"</formula>
    </cfRule>
  </conditionalFormatting>
  <conditionalFormatting sqref="L353">
    <cfRule type="cellIs" priority="690" operator="equal">
      <formula>"Mercado Envíos gratis"</formula>
    </cfRule>
  </conditionalFormatting>
  <conditionalFormatting sqref="M353">
    <cfRule type="cellIs" priority="691" operator="equal">
      <formula>"Clásica"</formula>
    </cfRule>
  </conditionalFormatting>
  <conditionalFormatting sqref="O353">
    <cfRule type="cellIs" priority="692" operator="equal">
      <formula>"Activa"</formula>
    </cfRule>
  </conditionalFormatting>
  <conditionalFormatting sqref="J354">
    <cfRule type="cellIs" priority="693" operator="equal">
      <formula>"$"</formula>
    </cfRule>
  </conditionalFormatting>
  <conditionalFormatting sqref="K354">
    <cfRule type="cellIs" priority="694" operator="equal">
      <formula>"Nuevo"</formula>
    </cfRule>
  </conditionalFormatting>
  <conditionalFormatting sqref="L354">
    <cfRule type="cellIs" priority="695" operator="equal">
      <formula>"Mercado Envíos a cargo del comprador"</formula>
    </cfRule>
  </conditionalFormatting>
  <conditionalFormatting sqref="M354">
    <cfRule type="cellIs" priority="696" operator="equal">
      <formula>"Clásica"</formula>
    </cfRule>
  </conditionalFormatting>
  <conditionalFormatting sqref="O354">
    <cfRule type="cellIs" priority="697" operator="equal">
      <formula>"Activa"</formula>
    </cfRule>
  </conditionalFormatting>
  <conditionalFormatting sqref="J355">
    <cfRule type="cellIs" priority="698" operator="equal">
      <formula>"$"</formula>
    </cfRule>
  </conditionalFormatting>
  <conditionalFormatting sqref="K355">
    <cfRule type="cellIs" priority="699" operator="equal">
      <formula>"Nuevo"</formula>
    </cfRule>
  </conditionalFormatting>
  <conditionalFormatting sqref="L355">
    <cfRule type="cellIs" priority="700" operator="equal">
      <formula>"Mercado Envíos gratis"</formula>
    </cfRule>
  </conditionalFormatting>
  <conditionalFormatting sqref="M355">
    <cfRule type="cellIs" priority="701" operator="equal">
      <formula>"Clásica"</formula>
    </cfRule>
  </conditionalFormatting>
  <conditionalFormatting sqref="O355">
    <cfRule type="cellIs" priority="702" operator="equal">
      <formula>"Activa"</formula>
    </cfRule>
  </conditionalFormatting>
  <conditionalFormatting sqref="J356">
    <cfRule type="cellIs" priority="703" operator="equal">
      <formula>"$"</formula>
    </cfRule>
  </conditionalFormatting>
  <conditionalFormatting sqref="K356">
    <cfRule type="cellIs" priority="704" operator="equal">
      <formula>"Nuevo"</formula>
    </cfRule>
  </conditionalFormatting>
  <conditionalFormatting sqref="L356">
    <cfRule type="cellIs" priority="705" operator="equal">
      <formula>"Mercado Envíos gratis"</formula>
    </cfRule>
  </conditionalFormatting>
  <conditionalFormatting sqref="M356">
    <cfRule type="cellIs" priority="706" operator="equal">
      <formula>"Clásica"</formula>
    </cfRule>
  </conditionalFormatting>
  <conditionalFormatting sqref="O356">
    <cfRule type="cellIs" priority="707" operator="equal">
      <formula>"Activa"</formula>
    </cfRule>
  </conditionalFormatting>
  <conditionalFormatting sqref="J359">
    <cfRule type="cellIs" priority="708" operator="equal">
      <formula>"$"</formula>
    </cfRule>
  </conditionalFormatting>
  <conditionalFormatting sqref="K359">
    <cfRule type="cellIs" priority="709" operator="equal">
      <formula>"Nuevo"</formula>
    </cfRule>
  </conditionalFormatting>
  <conditionalFormatting sqref="L359">
    <cfRule type="cellIs" priority="710" operator="equal">
      <formula>"Mercado Envíos gratis"</formula>
    </cfRule>
  </conditionalFormatting>
  <conditionalFormatting sqref="M359">
    <cfRule type="cellIs" priority="711" operator="equal">
      <formula>"Clásica"</formula>
    </cfRule>
  </conditionalFormatting>
  <conditionalFormatting sqref="O359">
    <cfRule type="cellIs" priority="712" operator="equal">
      <formula>"Activa"</formula>
    </cfRule>
  </conditionalFormatting>
  <conditionalFormatting sqref="J360">
    <cfRule type="cellIs" priority="713" operator="equal">
      <formula>"$"</formula>
    </cfRule>
  </conditionalFormatting>
  <conditionalFormatting sqref="K360">
    <cfRule type="cellIs" priority="714" operator="equal">
      <formula>"Nuevo"</formula>
    </cfRule>
  </conditionalFormatting>
  <conditionalFormatting sqref="L360">
    <cfRule type="cellIs" priority="715" operator="equal">
      <formula>"Mercado Envíos gratis"</formula>
    </cfRule>
  </conditionalFormatting>
  <conditionalFormatting sqref="M360">
    <cfRule type="cellIs" priority="716" operator="equal">
      <formula>"Clásica"</formula>
    </cfRule>
  </conditionalFormatting>
  <conditionalFormatting sqref="O360">
    <cfRule type="cellIs" priority="717" operator="equal">
      <formula>"Activa"</formula>
    </cfRule>
  </conditionalFormatting>
  <conditionalFormatting sqref="J361">
    <cfRule type="cellIs" priority="718" operator="equal">
      <formula>"$"</formula>
    </cfRule>
  </conditionalFormatting>
  <conditionalFormatting sqref="K361">
    <cfRule type="cellIs" priority="719" operator="equal">
      <formula>"Nuevo"</formula>
    </cfRule>
  </conditionalFormatting>
  <conditionalFormatting sqref="L361">
    <cfRule type="cellIs" priority="720" operator="equal">
      <formula>"Mercado Envíos a cargo del comprador"</formula>
    </cfRule>
  </conditionalFormatting>
  <conditionalFormatting sqref="M361">
    <cfRule type="cellIs" priority="721" operator="equal">
      <formula>"Clásica"</formula>
    </cfRule>
  </conditionalFormatting>
  <conditionalFormatting sqref="O361">
    <cfRule type="cellIs" priority="722" operator="equal">
      <formula>"Activa"</formula>
    </cfRule>
  </conditionalFormatting>
  <conditionalFormatting sqref="J362">
    <cfRule type="cellIs" priority="723" operator="equal">
      <formula>"$"</formula>
    </cfRule>
  </conditionalFormatting>
  <conditionalFormatting sqref="K362">
    <cfRule type="cellIs" priority="724" operator="equal">
      <formula>"Nuevo"</formula>
    </cfRule>
  </conditionalFormatting>
  <conditionalFormatting sqref="L362">
    <cfRule type="cellIs" priority="725" operator="equal">
      <formula>"Mercado Envíos gratis"</formula>
    </cfRule>
  </conditionalFormatting>
  <conditionalFormatting sqref="M362">
    <cfRule type="cellIs" priority="726" operator="equal">
      <formula>"Clásica"</formula>
    </cfRule>
  </conditionalFormatting>
  <conditionalFormatting sqref="O362">
    <cfRule type="cellIs" priority="727" operator="equal">
      <formula>"Activa"</formula>
    </cfRule>
  </conditionalFormatting>
  <conditionalFormatting sqref="J363">
    <cfRule type="cellIs" priority="728" operator="equal">
      <formula>"$"</formula>
    </cfRule>
  </conditionalFormatting>
  <conditionalFormatting sqref="K363">
    <cfRule type="cellIs" priority="729" operator="equal">
      <formula>"Nuevo"</formula>
    </cfRule>
  </conditionalFormatting>
  <conditionalFormatting sqref="L363">
    <cfRule type="cellIs" priority="730" operator="equal">
      <formula>"Mercado Envíos gratis"</formula>
    </cfRule>
  </conditionalFormatting>
  <conditionalFormatting sqref="M363">
    <cfRule type="cellIs" priority="731" operator="equal">
      <formula>"Clásica"</formula>
    </cfRule>
  </conditionalFormatting>
  <conditionalFormatting sqref="O363">
    <cfRule type="cellIs" priority="732" operator="equal">
      <formula>"Activa"</formula>
    </cfRule>
  </conditionalFormatting>
  <conditionalFormatting sqref="J364">
    <cfRule type="cellIs" priority="733" operator="equal">
      <formula>"$"</formula>
    </cfRule>
  </conditionalFormatting>
  <conditionalFormatting sqref="K364">
    <cfRule type="cellIs" priority="734" operator="equal">
      <formula>"Nuevo"</formula>
    </cfRule>
  </conditionalFormatting>
  <conditionalFormatting sqref="L364">
    <cfRule type="cellIs" priority="735" operator="equal">
      <formula>"Mercado Envíos gratis"</formula>
    </cfRule>
  </conditionalFormatting>
  <conditionalFormatting sqref="M364">
    <cfRule type="cellIs" priority="736" operator="equal">
      <formula>"Clásica"</formula>
    </cfRule>
  </conditionalFormatting>
  <conditionalFormatting sqref="O364">
    <cfRule type="cellIs" priority="737" operator="equal">
      <formula>"Activa"</formula>
    </cfRule>
  </conditionalFormatting>
  <conditionalFormatting sqref="J365">
    <cfRule type="cellIs" priority="738" operator="equal">
      <formula>"$"</formula>
    </cfRule>
  </conditionalFormatting>
  <conditionalFormatting sqref="K365">
    <cfRule type="cellIs" priority="739" operator="equal">
      <formula>"Nuevo"</formula>
    </cfRule>
  </conditionalFormatting>
  <conditionalFormatting sqref="L365">
    <cfRule type="cellIs" priority="740" operator="equal">
      <formula>"Mercado Envíos gratis"</formula>
    </cfRule>
  </conditionalFormatting>
  <conditionalFormatting sqref="M365">
    <cfRule type="cellIs" priority="741" operator="equal">
      <formula>"Clásica"</formula>
    </cfRule>
  </conditionalFormatting>
  <conditionalFormatting sqref="O365">
    <cfRule type="cellIs" priority="742" operator="equal">
      <formula>"Activa"</formula>
    </cfRule>
  </conditionalFormatting>
  <conditionalFormatting sqref="J366">
    <cfRule type="cellIs" priority="743" operator="equal">
      <formula>"$"</formula>
    </cfRule>
  </conditionalFormatting>
  <conditionalFormatting sqref="K366">
    <cfRule type="cellIs" priority="744" operator="equal">
      <formula>"Nuevo"</formula>
    </cfRule>
  </conditionalFormatting>
  <conditionalFormatting sqref="L366">
    <cfRule type="cellIs" priority="745" operator="equal">
      <formula>"Mercado Envíos gratis"</formula>
    </cfRule>
  </conditionalFormatting>
  <conditionalFormatting sqref="M366">
    <cfRule type="cellIs" priority="746" operator="equal">
      <formula>"Clásica"</formula>
    </cfRule>
  </conditionalFormatting>
  <conditionalFormatting sqref="O366">
    <cfRule type="cellIs" priority="747" operator="equal">
      <formula>"Activa"</formula>
    </cfRule>
  </conditionalFormatting>
  <conditionalFormatting sqref="J367">
    <cfRule type="cellIs" priority="748" operator="equal">
      <formula>"$"</formula>
    </cfRule>
  </conditionalFormatting>
  <conditionalFormatting sqref="K367">
    <cfRule type="cellIs" priority="749" operator="equal">
      <formula>"Nuevo"</formula>
    </cfRule>
  </conditionalFormatting>
  <conditionalFormatting sqref="L367">
    <cfRule type="cellIs" priority="750" operator="equal">
      <formula>"Mercado Envíos gratis"</formula>
    </cfRule>
  </conditionalFormatting>
  <conditionalFormatting sqref="M367">
    <cfRule type="cellIs" priority="751" operator="equal">
      <formula>"Clásica"</formula>
    </cfRule>
  </conditionalFormatting>
  <conditionalFormatting sqref="O367">
    <cfRule type="cellIs" priority="752" operator="equal">
      <formula>"Activa"</formula>
    </cfRule>
  </conditionalFormatting>
  <conditionalFormatting sqref="J368">
    <cfRule type="cellIs" priority="753" operator="equal">
      <formula>"$"</formula>
    </cfRule>
  </conditionalFormatting>
  <conditionalFormatting sqref="K368">
    <cfRule type="cellIs" priority="754" operator="equal">
      <formula>"Nuevo"</formula>
    </cfRule>
  </conditionalFormatting>
  <conditionalFormatting sqref="L368">
    <cfRule type="cellIs" priority="755" operator="equal">
      <formula>"Mercado Envíos gratis"</formula>
    </cfRule>
  </conditionalFormatting>
  <conditionalFormatting sqref="M368">
    <cfRule type="cellIs" priority="756" operator="equal">
      <formula>"Clásica"</formula>
    </cfRule>
  </conditionalFormatting>
  <conditionalFormatting sqref="O368">
    <cfRule type="cellIs" priority="757" operator="equal">
      <formula>"Activa"</formula>
    </cfRule>
  </conditionalFormatting>
  <conditionalFormatting sqref="J369">
    <cfRule type="cellIs" priority="758" operator="equal">
      <formula>"$"</formula>
    </cfRule>
  </conditionalFormatting>
  <conditionalFormatting sqref="K369">
    <cfRule type="cellIs" priority="759" operator="equal">
      <formula>"Nuevo"</formula>
    </cfRule>
  </conditionalFormatting>
  <conditionalFormatting sqref="L369">
    <cfRule type="cellIs" priority="760" operator="equal">
      <formula>"Mercado Envíos a cargo del comprador"</formula>
    </cfRule>
  </conditionalFormatting>
  <conditionalFormatting sqref="M369">
    <cfRule type="cellIs" priority="761" operator="equal">
      <formula>"Clásica"</formula>
    </cfRule>
  </conditionalFormatting>
  <conditionalFormatting sqref="O369">
    <cfRule type="cellIs" priority="762" operator="equal">
      <formula>"Activa"</formula>
    </cfRule>
  </conditionalFormatting>
  <conditionalFormatting sqref="J370">
    <cfRule type="cellIs" priority="763" operator="equal">
      <formula>"$"</formula>
    </cfRule>
  </conditionalFormatting>
  <conditionalFormatting sqref="K370">
    <cfRule type="cellIs" priority="764" operator="equal">
      <formula>"Nuevo"</formula>
    </cfRule>
  </conditionalFormatting>
  <conditionalFormatting sqref="L370">
    <cfRule type="cellIs" priority="765" operator="equal">
      <formula>"Mercado Envíos gratis"</formula>
    </cfRule>
  </conditionalFormatting>
  <conditionalFormatting sqref="M370">
    <cfRule type="cellIs" priority="766" operator="equal">
      <formula>"Clásica"</formula>
    </cfRule>
  </conditionalFormatting>
  <conditionalFormatting sqref="O370">
    <cfRule type="cellIs" priority="767" operator="equal">
      <formula>"Activa"</formula>
    </cfRule>
  </conditionalFormatting>
  <conditionalFormatting sqref="J371">
    <cfRule type="cellIs" priority="768" operator="equal">
      <formula>"$"</formula>
    </cfRule>
  </conditionalFormatting>
  <conditionalFormatting sqref="K371">
    <cfRule type="cellIs" priority="769" operator="equal">
      <formula>"Nuevo"</formula>
    </cfRule>
  </conditionalFormatting>
  <conditionalFormatting sqref="L371">
    <cfRule type="cellIs" priority="770" operator="equal">
      <formula>"Mercado Envíos a cargo del comprador"</formula>
    </cfRule>
  </conditionalFormatting>
  <conditionalFormatting sqref="M371">
    <cfRule type="cellIs" priority="771" operator="equal">
      <formula>"Clásica"</formula>
    </cfRule>
  </conditionalFormatting>
  <conditionalFormatting sqref="O371">
    <cfRule type="cellIs" priority="772" operator="equal">
      <formula>"Activa"</formula>
    </cfRule>
  </conditionalFormatting>
  <conditionalFormatting sqref="J372">
    <cfRule type="cellIs" priority="773" operator="equal">
      <formula>"$"</formula>
    </cfRule>
  </conditionalFormatting>
  <conditionalFormatting sqref="K372">
    <cfRule type="cellIs" priority="774" operator="equal">
      <formula>"Nuevo"</formula>
    </cfRule>
  </conditionalFormatting>
  <conditionalFormatting sqref="L372">
    <cfRule type="cellIs" priority="775" operator="equal">
      <formula>"Mercado Envíos gratis"</formula>
    </cfRule>
  </conditionalFormatting>
  <conditionalFormatting sqref="M372">
    <cfRule type="cellIs" priority="776" operator="equal">
      <formula>"Clásica"</formula>
    </cfRule>
  </conditionalFormatting>
  <conditionalFormatting sqref="O372">
    <cfRule type="cellIs" priority="777" operator="equal">
      <formula>"Activa"</formula>
    </cfRule>
  </conditionalFormatting>
  <conditionalFormatting sqref="J373">
    <cfRule type="cellIs" priority="778" operator="equal">
      <formula>"$"</formula>
    </cfRule>
  </conditionalFormatting>
  <conditionalFormatting sqref="L373">
    <cfRule type="cellIs" priority="779" operator="equal">
      <formula>"Mercado Envíos gratis"</formula>
    </cfRule>
  </conditionalFormatting>
  <conditionalFormatting sqref="M373">
    <cfRule type="cellIs" priority="780" operator="equal">
      <formula>"Clásica"</formula>
    </cfRule>
  </conditionalFormatting>
  <conditionalFormatting sqref="O373">
    <cfRule type="cellIs" priority="781" operator="equal">
      <formula>"Activa"</formula>
    </cfRule>
  </conditionalFormatting>
  <conditionalFormatting sqref="J374">
    <cfRule type="cellIs" priority="782" operator="equal">
      <formula>"$"</formula>
    </cfRule>
  </conditionalFormatting>
  <conditionalFormatting sqref="K374">
    <cfRule type="cellIs" priority="783" operator="equal">
      <formula>"Nuevo"</formula>
    </cfRule>
  </conditionalFormatting>
  <conditionalFormatting sqref="L374">
    <cfRule type="cellIs" priority="784" operator="equal">
      <formula>"Mercado Envíos gratis"</formula>
    </cfRule>
  </conditionalFormatting>
  <conditionalFormatting sqref="M374">
    <cfRule type="cellIs" priority="785" operator="equal">
      <formula>"Clásica"</formula>
    </cfRule>
  </conditionalFormatting>
  <conditionalFormatting sqref="O374">
    <cfRule type="cellIs" priority="786" operator="equal">
      <formula>"Activa"</formula>
    </cfRule>
  </conditionalFormatting>
  <conditionalFormatting sqref="J375">
    <cfRule type="cellIs" priority="787" operator="equal">
      <formula>"$"</formula>
    </cfRule>
  </conditionalFormatting>
  <conditionalFormatting sqref="K375">
    <cfRule type="cellIs" priority="788" operator="equal">
      <formula>"Nuevo"</formula>
    </cfRule>
  </conditionalFormatting>
  <conditionalFormatting sqref="L375">
    <cfRule type="cellIs" priority="789" operator="equal">
      <formula>"Mercado Envíos gratis"</formula>
    </cfRule>
  </conditionalFormatting>
  <conditionalFormatting sqref="M375">
    <cfRule type="cellIs" priority="790" operator="equal">
      <formula>"Clásica"</formula>
    </cfRule>
  </conditionalFormatting>
  <conditionalFormatting sqref="O375">
    <cfRule type="cellIs" priority="791" operator="equal">
      <formula>"Activa"</formula>
    </cfRule>
  </conditionalFormatting>
  <conditionalFormatting sqref="J376">
    <cfRule type="cellIs" priority="792" operator="equal">
      <formula>"$"</formula>
    </cfRule>
  </conditionalFormatting>
  <conditionalFormatting sqref="K376">
    <cfRule type="cellIs" priority="793" operator="equal">
      <formula>"Nuevo"</formula>
    </cfRule>
  </conditionalFormatting>
  <conditionalFormatting sqref="L376">
    <cfRule type="cellIs" priority="794" operator="equal">
      <formula>"Mercado Envíos gratis"</formula>
    </cfRule>
  </conditionalFormatting>
  <conditionalFormatting sqref="M376">
    <cfRule type="cellIs" priority="795" operator="equal">
      <formula>"Clásica"</formula>
    </cfRule>
  </conditionalFormatting>
  <conditionalFormatting sqref="O376">
    <cfRule type="cellIs" priority="796" operator="equal">
      <formula>"Activa"</formula>
    </cfRule>
  </conditionalFormatting>
  <conditionalFormatting sqref="J377">
    <cfRule type="cellIs" priority="797" operator="equal">
      <formula>"$"</formula>
    </cfRule>
  </conditionalFormatting>
  <conditionalFormatting sqref="K377">
    <cfRule type="cellIs" priority="798" operator="equal">
      <formula>"Nuevo"</formula>
    </cfRule>
  </conditionalFormatting>
  <conditionalFormatting sqref="L377">
    <cfRule type="cellIs" priority="799" operator="equal">
      <formula>"Mercado Envíos a cargo del comprador"</formula>
    </cfRule>
  </conditionalFormatting>
  <conditionalFormatting sqref="M377">
    <cfRule type="cellIs" priority="800" operator="equal">
      <formula>"Clásica"</formula>
    </cfRule>
  </conditionalFormatting>
  <conditionalFormatting sqref="O377">
    <cfRule type="cellIs" priority="801" operator="equal">
      <formula>"Activa"</formula>
    </cfRule>
  </conditionalFormatting>
  <conditionalFormatting sqref="J378">
    <cfRule type="cellIs" priority="802" operator="equal">
      <formula>"$"</formula>
    </cfRule>
  </conditionalFormatting>
  <conditionalFormatting sqref="K378">
    <cfRule type="cellIs" priority="803" operator="equal">
      <formula>"Nuevo"</formula>
    </cfRule>
  </conditionalFormatting>
  <conditionalFormatting sqref="L378">
    <cfRule type="cellIs" priority="804" operator="equal">
      <formula>"Mercado Envíos gratis"</formula>
    </cfRule>
  </conditionalFormatting>
  <conditionalFormatting sqref="M378">
    <cfRule type="cellIs" priority="805" operator="equal">
      <formula>"Clásica"</formula>
    </cfRule>
  </conditionalFormatting>
  <conditionalFormatting sqref="O378">
    <cfRule type="cellIs" priority="806" operator="equal">
      <formula>"Activa"</formula>
    </cfRule>
  </conditionalFormatting>
  <conditionalFormatting sqref="J379">
    <cfRule type="cellIs" priority="807" operator="equal">
      <formula>"$"</formula>
    </cfRule>
  </conditionalFormatting>
  <conditionalFormatting sqref="K379">
    <cfRule type="cellIs" priority="808" operator="equal">
      <formula>"Nuevo"</formula>
    </cfRule>
  </conditionalFormatting>
  <conditionalFormatting sqref="L379">
    <cfRule type="cellIs" priority="809" operator="equal">
      <formula>"Mercado Envíos gratis"</formula>
    </cfRule>
  </conditionalFormatting>
  <conditionalFormatting sqref="M379">
    <cfRule type="cellIs" priority="810" operator="equal">
      <formula>"Clásica"</formula>
    </cfRule>
  </conditionalFormatting>
  <conditionalFormatting sqref="O379">
    <cfRule type="cellIs" priority="811" operator="equal">
      <formula>"Activa"</formula>
    </cfRule>
  </conditionalFormatting>
  <conditionalFormatting sqref="J380">
    <cfRule type="cellIs" priority="812" operator="equal">
      <formula>"$"</formula>
    </cfRule>
  </conditionalFormatting>
  <conditionalFormatting sqref="K380">
    <cfRule type="cellIs" priority="813" operator="equal">
      <formula>"Nuevo"</formula>
    </cfRule>
  </conditionalFormatting>
  <conditionalFormatting sqref="L380">
    <cfRule type="cellIs" priority="814" operator="equal">
      <formula>"Mercado Envíos a cargo del comprador"</formula>
    </cfRule>
  </conditionalFormatting>
  <conditionalFormatting sqref="M380">
    <cfRule type="cellIs" priority="815" operator="equal">
      <formula>"Clásica"</formula>
    </cfRule>
  </conditionalFormatting>
  <conditionalFormatting sqref="O380">
    <cfRule type="cellIs" priority="816" operator="equal">
      <formula>"Activa"</formula>
    </cfRule>
  </conditionalFormatting>
  <conditionalFormatting sqref="J381">
    <cfRule type="cellIs" priority="817" operator="equal">
      <formula>"$"</formula>
    </cfRule>
  </conditionalFormatting>
  <conditionalFormatting sqref="K381">
    <cfRule type="cellIs" priority="818" operator="equal">
      <formula>"Nuevo"</formula>
    </cfRule>
  </conditionalFormatting>
  <conditionalFormatting sqref="L381">
    <cfRule type="cellIs" priority="819" operator="equal">
      <formula>"Mercado Envíos gratis"</formula>
    </cfRule>
  </conditionalFormatting>
  <conditionalFormatting sqref="M381">
    <cfRule type="cellIs" priority="820" operator="equal">
      <formula>"Clásica"</formula>
    </cfRule>
  </conditionalFormatting>
  <conditionalFormatting sqref="O381">
    <cfRule type="cellIs" priority="821" operator="equal">
      <formula>"Activa"</formula>
    </cfRule>
  </conditionalFormatting>
  <conditionalFormatting sqref="J382">
    <cfRule type="cellIs" priority="822" operator="equal">
      <formula>"$"</formula>
    </cfRule>
  </conditionalFormatting>
  <conditionalFormatting sqref="K382">
    <cfRule type="cellIs" priority="823" operator="equal">
      <formula>"Nuevo"</formula>
    </cfRule>
  </conditionalFormatting>
  <conditionalFormatting sqref="L382">
    <cfRule type="cellIs" priority="824" operator="equal">
      <formula>"Mercado Envíos a cargo del comprador"</formula>
    </cfRule>
  </conditionalFormatting>
  <conditionalFormatting sqref="M382">
    <cfRule type="cellIs" priority="825" operator="equal">
      <formula>"Clásica"</formula>
    </cfRule>
  </conditionalFormatting>
  <conditionalFormatting sqref="O382">
    <cfRule type="cellIs" priority="826" operator="equal">
      <formula>"Activa"</formula>
    </cfRule>
  </conditionalFormatting>
  <conditionalFormatting sqref="J383">
    <cfRule type="cellIs" priority="827" operator="equal">
      <formula>"$"</formula>
    </cfRule>
  </conditionalFormatting>
  <conditionalFormatting sqref="K383">
    <cfRule type="cellIs" priority="828" operator="equal">
      <formula>"Nuevo"</formula>
    </cfRule>
  </conditionalFormatting>
  <conditionalFormatting sqref="M383">
    <cfRule type="cellIs" priority="829" operator="equal">
      <formula>"Clásica"</formula>
    </cfRule>
  </conditionalFormatting>
  <conditionalFormatting sqref="O383">
    <cfRule type="cellIs" priority="830" operator="equal">
      <formula>"Activa"</formula>
    </cfRule>
  </conditionalFormatting>
  <conditionalFormatting sqref="J386">
    <cfRule type="cellIs" priority="831" operator="equal">
      <formula>"$"</formula>
    </cfRule>
  </conditionalFormatting>
  <conditionalFormatting sqref="K386">
    <cfRule type="cellIs" priority="832" operator="equal">
      <formula>"Nuevo"</formula>
    </cfRule>
  </conditionalFormatting>
  <conditionalFormatting sqref="L386">
    <cfRule type="cellIs" priority="833" operator="equal">
      <formula>"Mercado Envíos a cargo del comprador"</formula>
    </cfRule>
  </conditionalFormatting>
  <conditionalFormatting sqref="M386">
    <cfRule type="cellIs" priority="834" operator="equal">
      <formula>"Clásica"</formula>
    </cfRule>
  </conditionalFormatting>
  <conditionalFormatting sqref="O386">
    <cfRule type="cellIs" priority="835" operator="equal">
      <formula>"Activa"</formula>
    </cfRule>
  </conditionalFormatting>
  <conditionalFormatting sqref="J387">
    <cfRule type="cellIs" priority="836" operator="equal">
      <formula>"$"</formula>
    </cfRule>
  </conditionalFormatting>
  <conditionalFormatting sqref="K387">
    <cfRule type="cellIs" priority="837" operator="equal">
      <formula>"Nuevo"</formula>
    </cfRule>
  </conditionalFormatting>
  <conditionalFormatting sqref="L387">
    <cfRule type="cellIs" priority="838" operator="equal">
      <formula>"Mercado Envíos gratis"</formula>
    </cfRule>
  </conditionalFormatting>
  <conditionalFormatting sqref="M387">
    <cfRule type="cellIs" priority="839" operator="equal">
      <formula>"Clásica"</formula>
    </cfRule>
  </conditionalFormatting>
  <conditionalFormatting sqref="O387">
    <cfRule type="cellIs" priority="840" operator="equal">
      <formula>"Activa"</formula>
    </cfRule>
  </conditionalFormatting>
  <conditionalFormatting sqref="J388">
    <cfRule type="cellIs" priority="841" operator="equal">
      <formula>"$"</formula>
    </cfRule>
  </conditionalFormatting>
  <conditionalFormatting sqref="K388">
    <cfRule type="cellIs" priority="842" operator="equal">
      <formula>"Nuevo"</formula>
    </cfRule>
  </conditionalFormatting>
  <conditionalFormatting sqref="L388">
    <cfRule type="cellIs" priority="843" operator="equal">
      <formula>"Mercado Envíos gratis"</formula>
    </cfRule>
  </conditionalFormatting>
  <conditionalFormatting sqref="M388">
    <cfRule type="cellIs" priority="844" operator="equal">
      <formula>"Clásica"</formula>
    </cfRule>
  </conditionalFormatting>
  <conditionalFormatting sqref="O388">
    <cfRule type="cellIs" priority="845" operator="equal">
      <formula>"Activa"</formula>
    </cfRule>
  </conditionalFormatting>
  <conditionalFormatting sqref="J389">
    <cfRule type="cellIs" priority="846" operator="equal">
      <formula>"$"</formula>
    </cfRule>
  </conditionalFormatting>
  <conditionalFormatting sqref="K389">
    <cfRule type="cellIs" priority="847" operator="equal">
      <formula>"Nuevo"</formula>
    </cfRule>
  </conditionalFormatting>
  <conditionalFormatting sqref="L389">
    <cfRule type="cellIs" priority="848" operator="equal">
      <formula>"Mercado Envíos gratis"</formula>
    </cfRule>
  </conditionalFormatting>
  <conditionalFormatting sqref="M389">
    <cfRule type="cellIs" priority="849" operator="equal">
      <formula>"Clásica"</formula>
    </cfRule>
  </conditionalFormatting>
  <conditionalFormatting sqref="O389">
    <cfRule type="cellIs" priority="850" operator="equal">
      <formula>"Activa"</formula>
    </cfRule>
  </conditionalFormatting>
  <conditionalFormatting sqref="J390">
    <cfRule type="cellIs" priority="851" operator="equal">
      <formula>"$"</formula>
    </cfRule>
  </conditionalFormatting>
  <conditionalFormatting sqref="K390">
    <cfRule type="cellIs" priority="852" operator="equal">
      <formula>"Nuevo"</formula>
    </cfRule>
  </conditionalFormatting>
  <conditionalFormatting sqref="L390">
    <cfRule type="cellIs" priority="853" operator="equal">
      <formula>"Mercado Envíos gratis"</formula>
    </cfRule>
  </conditionalFormatting>
  <conditionalFormatting sqref="M390">
    <cfRule type="cellIs" priority="854" operator="equal">
      <formula>"Clásica"</formula>
    </cfRule>
  </conditionalFormatting>
  <conditionalFormatting sqref="O390">
    <cfRule type="cellIs" priority="855" operator="equal">
      <formula>"Activa"</formula>
    </cfRule>
  </conditionalFormatting>
  <conditionalFormatting sqref="J391">
    <cfRule type="cellIs" priority="856" operator="equal">
      <formula>"$"</formula>
    </cfRule>
  </conditionalFormatting>
  <conditionalFormatting sqref="K391">
    <cfRule type="cellIs" priority="857" operator="equal">
      <formula>"Nuevo"</formula>
    </cfRule>
  </conditionalFormatting>
  <conditionalFormatting sqref="L391">
    <cfRule type="cellIs" priority="858" operator="equal">
      <formula>"Mercado Envíos gratis"</formula>
    </cfRule>
  </conditionalFormatting>
  <conditionalFormatting sqref="M391">
    <cfRule type="cellIs" priority="859" operator="equal">
      <formula>"Clásica"</formula>
    </cfRule>
  </conditionalFormatting>
  <conditionalFormatting sqref="O391">
    <cfRule type="cellIs" priority="860" operator="equal">
      <formula>"Activa"</formula>
    </cfRule>
  </conditionalFormatting>
  <conditionalFormatting sqref="J394">
    <cfRule type="cellIs" priority="861" operator="equal">
      <formula>"$"</formula>
    </cfRule>
  </conditionalFormatting>
  <conditionalFormatting sqref="K394">
    <cfRule type="cellIs" priority="862" operator="equal">
      <formula>"Nuevo"</formula>
    </cfRule>
  </conditionalFormatting>
  <conditionalFormatting sqref="L394">
    <cfRule type="cellIs" priority="863" operator="equal">
      <formula>"Mercado Envíos gratis"</formula>
    </cfRule>
  </conditionalFormatting>
  <conditionalFormatting sqref="M394">
    <cfRule type="cellIs" priority="864" operator="equal">
      <formula>"Clásica"</formula>
    </cfRule>
  </conditionalFormatting>
  <conditionalFormatting sqref="O394">
    <cfRule type="cellIs" priority="865" operator="equal">
      <formula>"Activa"</formula>
    </cfRule>
  </conditionalFormatting>
  <conditionalFormatting sqref="J395">
    <cfRule type="cellIs" priority="866" operator="equal">
      <formula>"$"</formula>
    </cfRule>
  </conditionalFormatting>
  <conditionalFormatting sqref="K395">
    <cfRule type="cellIs" priority="867" operator="equal">
      <formula>"Nuevo"</formula>
    </cfRule>
  </conditionalFormatting>
  <conditionalFormatting sqref="L395">
    <cfRule type="cellIs" priority="868" operator="equal">
      <formula>"Mercado Envíos gratis"</formula>
    </cfRule>
  </conditionalFormatting>
  <conditionalFormatting sqref="M395">
    <cfRule type="cellIs" priority="869" operator="equal">
      <formula>"Clásica"</formula>
    </cfRule>
  </conditionalFormatting>
  <conditionalFormatting sqref="O395">
    <cfRule type="cellIs" priority="870" operator="equal">
      <formula>"Activa"</formula>
    </cfRule>
  </conditionalFormatting>
  <conditionalFormatting sqref="J396">
    <cfRule type="cellIs" priority="871" operator="equal">
      <formula>"$"</formula>
    </cfRule>
  </conditionalFormatting>
  <conditionalFormatting sqref="K396">
    <cfRule type="cellIs" priority="872" operator="equal">
      <formula>"Nuevo"</formula>
    </cfRule>
  </conditionalFormatting>
  <conditionalFormatting sqref="L396">
    <cfRule type="cellIs" priority="873" operator="equal">
      <formula>"Mercado Envíos gratis"</formula>
    </cfRule>
  </conditionalFormatting>
  <conditionalFormatting sqref="M396">
    <cfRule type="cellIs" priority="874" operator="equal">
      <formula>"Clásica"</formula>
    </cfRule>
  </conditionalFormatting>
  <conditionalFormatting sqref="O396">
    <cfRule type="cellIs" priority="875" operator="equal">
      <formula>"Activa"</formula>
    </cfRule>
  </conditionalFormatting>
  <conditionalFormatting sqref="J397">
    <cfRule type="cellIs" priority="876" operator="equal">
      <formula>"$"</formula>
    </cfRule>
  </conditionalFormatting>
  <conditionalFormatting sqref="K397">
    <cfRule type="cellIs" priority="877" operator="equal">
      <formula>"Nuevo"</formula>
    </cfRule>
  </conditionalFormatting>
  <conditionalFormatting sqref="L397">
    <cfRule type="cellIs" priority="878" operator="equal">
      <formula>"Mercado Envíos gratis"</formula>
    </cfRule>
  </conditionalFormatting>
  <conditionalFormatting sqref="M397">
    <cfRule type="cellIs" priority="879" operator="equal">
      <formula>"Clásica"</formula>
    </cfRule>
  </conditionalFormatting>
  <conditionalFormatting sqref="O397">
    <cfRule type="cellIs" priority="880" operator="equal">
      <formula>"Activa"</formula>
    </cfRule>
  </conditionalFormatting>
  <conditionalFormatting sqref="J398">
    <cfRule type="cellIs" priority="881" operator="equal">
      <formula>"$"</formula>
    </cfRule>
  </conditionalFormatting>
  <conditionalFormatting sqref="K398">
    <cfRule type="cellIs" priority="882" operator="equal">
      <formula>"Nuevo"</formula>
    </cfRule>
  </conditionalFormatting>
  <conditionalFormatting sqref="L398">
    <cfRule type="cellIs" priority="883" operator="equal">
      <formula>"Mercado Envíos a cargo del comprador"</formula>
    </cfRule>
  </conditionalFormatting>
  <conditionalFormatting sqref="M398">
    <cfRule type="cellIs" priority="884" operator="equal">
      <formula>"Clásica"</formula>
    </cfRule>
  </conditionalFormatting>
  <conditionalFormatting sqref="O398">
    <cfRule type="cellIs" priority="885" operator="equal">
      <formula>"Activa"</formula>
    </cfRule>
  </conditionalFormatting>
  <conditionalFormatting sqref="J401">
    <cfRule type="cellIs" priority="886" operator="equal">
      <formula>"$"</formula>
    </cfRule>
  </conditionalFormatting>
  <conditionalFormatting sqref="K401">
    <cfRule type="cellIs" priority="887" operator="equal">
      <formula>"Nuevo"</formula>
    </cfRule>
  </conditionalFormatting>
  <conditionalFormatting sqref="L401">
    <cfRule type="cellIs" priority="888" operator="equal">
      <formula>"Mercado Envíos gratis"</formula>
    </cfRule>
  </conditionalFormatting>
  <conditionalFormatting sqref="M401">
    <cfRule type="cellIs" priority="889" operator="equal">
      <formula>"Clásica"</formula>
    </cfRule>
  </conditionalFormatting>
  <conditionalFormatting sqref="O401">
    <cfRule type="cellIs" priority="890" operator="equal">
      <formula>"Activa"</formula>
    </cfRule>
  </conditionalFormatting>
  <conditionalFormatting sqref="J402">
    <cfRule type="cellIs" priority="891" operator="equal">
      <formula>"$"</formula>
    </cfRule>
  </conditionalFormatting>
  <conditionalFormatting sqref="K402">
    <cfRule type="cellIs" priority="892" operator="equal">
      <formula>"Nuevo"</formula>
    </cfRule>
  </conditionalFormatting>
  <conditionalFormatting sqref="L402">
    <cfRule type="cellIs" priority="893" operator="equal">
      <formula>"Mercado Envíos gratis"</formula>
    </cfRule>
  </conditionalFormatting>
  <conditionalFormatting sqref="M402">
    <cfRule type="cellIs" priority="894" operator="equal">
      <formula>"Clásica"</formula>
    </cfRule>
  </conditionalFormatting>
  <conditionalFormatting sqref="O402">
    <cfRule type="cellIs" priority="895" operator="equal">
      <formula>"Activa"</formula>
    </cfRule>
  </conditionalFormatting>
  <conditionalFormatting sqref="J403">
    <cfRule type="cellIs" priority="896" operator="equal">
      <formula>"$"</formula>
    </cfRule>
  </conditionalFormatting>
  <conditionalFormatting sqref="K403">
    <cfRule type="cellIs" priority="897" operator="equal">
      <formula>"Nuevo"</formula>
    </cfRule>
  </conditionalFormatting>
  <conditionalFormatting sqref="L403">
    <cfRule type="cellIs" priority="898" operator="equal">
      <formula>"Mercado Envíos gratis"</formula>
    </cfRule>
  </conditionalFormatting>
  <conditionalFormatting sqref="M403">
    <cfRule type="cellIs" priority="899" operator="equal">
      <formula>"Clásica"</formula>
    </cfRule>
  </conditionalFormatting>
  <conditionalFormatting sqref="O403">
    <cfRule type="cellIs" priority="900" operator="equal">
      <formula>"Activa"</formula>
    </cfRule>
  </conditionalFormatting>
  <conditionalFormatting sqref="J406">
    <cfRule type="cellIs" priority="901" operator="equal">
      <formula>"$"</formula>
    </cfRule>
  </conditionalFormatting>
  <conditionalFormatting sqref="K406">
    <cfRule type="cellIs" priority="902" operator="equal">
      <formula>"Nuevo"</formula>
    </cfRule>
  </conditionalFormatting>
  <conditionalFormatting sqref="L406">
    <cfRule type="cellIs" priority="903" operator="equal">
      <formula>"Mercado Envíos gratis"</formula>
    </cfRule>
  </conditionalFormatting>
  <conditionalFormatting sqref="M406">
    <cfRule type="cellIs" priority="904" operator="equal">
      <formula>"Clásica"</formula>
    </cfRule>
  </conditionalFormatting>
  <conditionalFormatting sqref="O406">
    <cfRule type="cellIs" priority="905" operator="equal">
      <formula>"Activa"</formula>
    </cfRule>
  </conditionalFormatting>
  <conditionalFormatting sqref="J407">
    <cfRule type="cellIs" priority="906" operator="equal">
      <formula>"$"</formula>
    </cfRule>
  </conditionalFormatting>
  <conditionalFormatting sqref="K407">
    <cfRule type="cellIs" priority="907" operator="equal">
      <formula>"Nuevo"</formula>
    </cfRule>
  </conditionalFormatting>
  <conditionalFormatting sqref="L407">
    <cfRule type="cellIs" priority="908" operator="equal">
      <formula>"Mercado Envíos gratis"</formula>
    </cfRule>
  </conditionalFormatting>
  <conditionalFormatting sqref="M407">
    <cfRule type="cellIs" priority="909" operator="equal">
      <formula>"Clásica"</formula>
    </cfRule>
  </conditionalFormatting>
  <conditionalFormatting sqref="O407">
    <cfRule type="cellIs" priority="910" operator="equal">
      <formula>"Activa"</formula>
    </cfRule>
  </conditionalFormatting>
  <conditionalFormatting sqref="J408">
    <cfRule type="cellIs" priority="911" operator="equal">
      <formula>"$"</formula>
    </cfRule>
  </conditionalFormatting>
  <conditionalFormatting sqref="K408">
    <cfRule type="cellIs" priority="912" operator="equal">
      <formula>"Nuevo"</formula>
    </cfRule>
  </conditionalFormatting>
  <conditionalFormatting sqref="L408">
    <cfRule type="cellIs" priority="913" operator="equal">
      <formula>"Mercado Envíos gratis"</formula>
    </cfRule>
  </conditionalFormatting>
  <conditionalFormatting sqref="M408">
    <cfRule type="cellIs" priority="914" operator="equal">
      <formula>"Clásica"</formula>
    </cfRule>
  </conditionalFormatting>
  <conditionalFormatting sqref="O408">
    <cfRule type="cellIs" priority="915" operator="equal">
      <formula>"Activa"</formula>
    </cfRule>
  </conditionalFormatting>
  <conditionalFormatting sqref="J409">
    <cfRule type="cellIs" priority="916" operator="equal">
      <formula>"$"</formula>
    </cfRule>
  </conditionalFormatting>
  <conditionalFormatting sqref="K409">
    <cfRule type="cellIs" priority="917" operator="equal">
      <formula>"Nuevo"</formula>
    </cfRule>
  </conditionalFormatting>
  <conditionalFormatting sqref="L409">
    <cfRule type="cellIs" priority="918" operator="equal">
      <formula>"Mercado Envíos gratis"</formula>
    </cfRule>
  </conditionalFormatting>
  <conditionalFormatting sqref="M409">
    <cfRule type="cellIs" priority="919" operator="equal">
      <formula>"Clásica"</formula>
    </cfRule>
  </conditionalFormatting>
  <conditionalFormatting sqref="O409">
    <cfRule type="cellIs" priority="920" operator="equal">
      <formula>"Activa"</formula>
    </cfRule>
  </conditionalFormatting>
  <conditionalFormatting sqref="J412">
    <cfRule type="cellIs" priority="921" operator="equal">
      <formula>"$"</formula>
    </cfRule>
  </conditionalFormatting>
  <conditionalFormatting sqref="K412">
    <cfRule type="cellIs" priority="922" operator="equal">
      <formula>"Nuevo"</formula>
    </cfRule>
  </conditionalFormatting>
  <conditionalFormatting sqref="L412">
    <cfRule type="cellIs" priority="923" operator="equal">
      <formula>"Mercado Envíos gratis"</formula>
    </cfRule>
  </conditionalFormatting>
  <conditionalFormatting sqref="M412">
    <cfRule type="cellIs" priority="924" operator="equal">
      <formula>"Clásica"</formula>
    </cfRule>
  </conditionalFormatting>
  <conditionalFormatting sqref="O412">
    <cfRule type="cellIs" priority="925" operator="equal">
      <formula>"Activa"</formula>
    </cfRule>
  </conditionalFormatting>
  <conditionalFormatting sqref="J413">
    <cfRule type="cellIs" priority="926" operator="equal">
      <formula>"$"</formula>
    </cfRule>
  </conditionalFormatting>
  <conditionalFormatting sqref="K413">
    <cfRule type="cellIs" priority="927" operator="equal">
      <formula>"Nuevo"</formula>
    </cfRule>
  </conditionalFormatting>
  <conditionalFormatting sqref="L413">
    <cfRule type="cellIs" priority="928" operator="equal">
      <formula>"Mercado Envíos gratis"</formula>
    </cfRule>
  </conditionalFormatting>
  <conditionalFormatting sqref="M413">
    <cfRule type="cellIs" priority="929" operator="equal">
      <formula>"Clásica"</formula>
    </cfRule>
  </conditionalFormatting>
  <conditionalFormatting sqref="O413">
    <cfRule type="cellIs" priority="930" operator="equal">
      <formula>"Activa"</formula>
    </cfRule>
  </conditionalFormatting>
  <conditionalFormatting sqref="J414">
    <cfRule type="cellIs" priority="931" operator="equal">
      <formula>"$"</formula>
    </cfRule>
  </conditionalFormatting>
  <conditionalFormatting sqref="K414">
    <cfRule type="cellIs" priority="932" operator="equal">
      <formula>"Nuevo"</formula>
    </cfRule>
  </conditionalFormatting>
  <conditionalFormatting sqref="L414">
    <cfRule type="cellIs" priority="933" operator="equal">
      <formula>"Mercado Envíos gratis"</formula>
    </cfRule>
  </conditionalFormatting>
  <conditionalFormatting sqref="M414">
    <cfRule type="cellIs" priority="934" operator="equal">
      <formula>"Clásica"</formula>
    </cfRule>
  </conditionalFormatting>
  <conditionalFormatting sqref="O414">
    <cfRule type="cellIs" priority="935" operator="equal">
      <formula>"Activa"</formula>
    </cfRule>
  </conditionalFormatting>
  <conditionalFormatting sqref="J415">
    <cfRule type="cellIs" priority="936" operator="equal">
      <formula>"$"</formula>
    </cfRule>
  </conditionalFormatting>
  <conditionalFormatting sqref="K415">
    <cfRule type="cellIs" priority="937" operator="equal">
      <formula>"Nuevo"</formula>
    </cfRule>
  </conditionalFormatting>
  <conditionalFormatting sqref="L415">
    <cfRule type="cellIs" priority="938" operator="equal">
      <formula>"Mercado Envíos gratis"</formula>
    </cfRule>
  </conditionalFormatting>
  <conditionalFormatting sqref="M415">
    <cfRule type="cellIs" priority="939" operator="equal">
      <formula>"Clásica"</formula>
    </cfRule>
  </conditionalFormatting>
  <conditionalFormatting sqref="O415">
    <cfRule type="cellIs" priority="940" operator="equal">
      <formula>"Activa"</formula>
    </cfRule>
  </conditionalFormatting>
  <conditionalFormatting sqref="J416">
    <cfRule type="cellIs" priority="941" operator="equal">
      <formula>"$"</formula>
    </cfRule>
  </conditionalFormatting>
  <conditionalFormatting sqref="K416">
    <cfRule type="cellIs" priority="942" operator="equal">
      <formula>"Nuevo"</formula>
    </cfRule>
  </conditionalFormatting>
  <conditionalFormatting sqref="L416">
    <cfRule type="cellIs" priority="943" operator="equal">
      <formula>"Mercado Envíos gratis"</formula>
    </cfRule>
  </conditionalFormatting>
  <conditionalFormatting sqref="M416">
    <cfRule type="cellIs" priority="944" operator="equal">
      <formula>"Clásica"</formula>
    </cfRule>
  </conditionalFormatting>
  <conditionalFormatting sqref="O416">
    <cfRule type="cellIs" priority="945" operator="equal">
      <formula>"Activa"</formula>
    </cfRule>
  </conditionalFormatting>
  <conditionalFormatting sqref="J417">
    <cfRule type="cellIs" priority="946" operator="equal">
      <formula>"$"</formula>
    </cfRule>
  </conditionalFormatting>
  <conditionalFormatting sqref="K417">
    <cfRule type="cellIs" priority="947" operator="equal">
      <formula>"Nuevo"</formula>
    </cfRule>
  </conditionalFormatting>
  <conditionalFormatting sqref="L417">
    <cfRule type="cellIs" priority="948" operator="equal">
      <formula>"Mercado Envíos gratis"</formula>
    </cfRule>
  </conditionalFormatting>
  <conditionalFormatting sqref="M417">
    <cfRule type="cellIs" priority="949" operator="equal">
      <formula>"Clásica"</formula>
    </cfRule>
  </conditionalFormatting>
  <conditionalFormatting sqref="O417">
    <cfRule type="cellIs" priority="950" operator="equal">
      <formula>"Activa"</formula>
    </cfRule>
  </conditionalFormatting>
  <conditionalFormatting sqref="J418">
    <cfRule type="cellIs" priority="951" operator="equal">
      <formula>"$"</formula>
    </cfRule>
  </conditionalFormatting>
  <conditionalFormatting sqref="K418">
    <cfRule type="cellIs" priority="952" operator="equal">
      <formula>"Nuevo"</formula>
    </cfRule>
  </conditionalFormatting>
  <conditionalFormatting sqref="L418">
    <cfRule type="cellIs" priority="953" operator="equal">
      <formula>"Mercado Envíos a cargo del comprador"</formula>
    </cfRule>
  </conditionalFormatting>
  <conditionalFormatting sqref="M418">
    <cfRule type="cellIs" priority="954" operator="equal">
      <formula>"Clásica"</formula>
    </cfRule>
  </conditionalFormatting>
  <conditionalFormatting sqref="O418">
    <cfRule type="cellIs" priority="955" operator="equal">
      <formula>"Activa"</formula>
    </cfRule>
  </conditionalFormatting>
  <conditionalFormatting sqref="J419">
    <cfRule type="cellIs" priority="956" operator="equal">
      <formula>"$"</formula>
    </cfRule>
  </conditionalFormatting>
  <conditionalFormatting sqref="K419">
    <cfRule type="cellIs" priority="957" operator="equal">
      <formula>"Nuevo"</formula>
    </cfRule>
  </conditionalFormatting>
  <conditionalFormatting sqref="L419">
    <cfRule type="cellIs" priority="958" operator="equal">
      <formula>"Mercado Envíos gratis"</formula>
    </cfRule>
  </conditionalFormatting>
  <conditionalFormatting sqref="M419">
    <cfRule type="cellIs" priority="959" operator="equal">
      <formula>"Clásica"</formula>
    </cfRule>
  </conditionalFormatting>
  <conditionalFormatting sqref="O419">
    <cfRule type="cellIs" priority="960" operator="equal">
      <formula>"Activa"</formula>
    </cfRule>
  </conditionalFormatting>
  <conditionalFormatting sqref="J420">
    <cfRule type="cellIs" priority="961" operator="equal">
      <formula>"$"</formula>
    </cfRule>
  </conditionalFormatting>
  <conditionalFormatting sqref="K420">
    <cfRule type="cellIs" priority="962" operator="equal">
      <formula>"Nuevo"</formula>
    </cfRule>
  </conditionalFormatting>
  <conditionalFormatting sqref="L420">
    <cfRule type="cellIs" priority="963" operator="equal">
      <formula>"Mercado Envíos gratis"</formula>
    </cfRule>
  </conditionalFormatting>
  <conditionalFormatting sqref="M420">
    <cfRule type="cellIs" priority="964" operator="equal">
      <formula>"Clásica"</formula>
    </cfRule>
  </conditionalFormatting>
  <conditionalFormatting sqref="O420">
    <cfRule type="cellIs" priority="965" operator="equal">
      <formula>"Activa"</formula>
    </cfRule>
  </conditionalFormatting>
  <conditionalFormatting sqref="J421">
    <cfRule type="cellIs" priority="966" operator="equal">
      <formula>"$"</formula>
    </cfRule>
  </conditionalFormatting>
  <conditionalFormatting sqref="K421">
    <cfRule type="cellIs" priority="967" operator="equal">
      <formula>"Nuevo"</formula>
    </cfRule>
  </conditionalFormatting>
  <conditionalFormatting sqref="L421">
    <cfRule type="cellIs" priority="968" operator="equal">
      <formula>"Mercado Envíos gratis"</formula>
    </cfRule>
  </conditionalFormatting>
  <conditionalFormatting sqref="M421">
    <cfRule type="cellIs" priority="969" operator="equal">
      <formula>"Clásica"</formula>
    </cfRule>
  </conditionalFormatting>
  <conditionalFormatting sqref="O421">
    <cfRule type="cellIs" priority="970" operator="equal">
      <formula>"Activa"</formula>
    </cfRule>
  </conditionalFormatting>
  <conditionalFormatting sqref="J424">
    <cfRule type="cellIs" priority="971" operator="equal">
      <formula>"$"</formula>
    </cfRule>
  </conditionalFormatting>
  <conditionalFormatting sqref="K424">
    <cfRule type="cellIs" priority="972" operator="equal">
      <formula>"Nuevo"</formula>
    </cfRule>
  </conditionalFormatting>
  <conditionalFormatting sqref="L424">
    <cfRule type="cellIs" priority="973" operator="equal">
      <formula>"Mercado Envíos gratis"</formula>
    </cfRule>
  </conditionalFormatting>
  <conditionalFormatting sqref="M424">
    <cfRule type="cellIs" priority="974" operator="equal">
      <formula>"Clásica"</formula>
    </cfRule>
  </conditionalFormatting>
  <conditionalFormatting sqref="O424">
    <cfRule type="cellIs" priority="975" operator="equal">
      <formula>"Activa"</formula>
    </cfRule>
  </conditionalFormatting>
  <conditionalFormatting sqref="J427">
    <cfRule type="cellIs" priority="976" operator="equal">
      <formula>"$"</formula>
    </cfRule>
  </conditionalFormatting>
  <conditionalFormatting sqref="K427">
    <cfRule type="cellIs" priority="977" operator="equal">
      <formula>"Nuevo"</formula>
    </cfRule>
  </conditionalFormatting>
  <conditionalFormatting sqref="L427">
    <cfRule type="cellIs" priority="978" operator="equal">
      <formula>"Mercado Envíos gratis"</formula>
    </cfRule>
  </conditionalFormatting>
  <conditionalFormatting sqref="M427">
    <cfRule type="cellIs" priority="979" operator="equal">
      <formula>"Clásica"</formula>
    </cfRule>
  </conditionalFormatting>
  <conditionalFormatting sqref="O427">
    <cfRule type="cellIs" priority="980" operator="equal">
      <formula>"Activa"</formula>
    </cfRule>
  </conditionalFormatting>
  <conditionalFormatting sqref="J428">
    <cfRule type="cellIs" priority="981" operator="equal">
      <formula>"$"</formula>
    </cfRule>
  </conditionalFormatting>
  <conditionalFormatting sqref="K428">
    <cfRule type="cellIs" priority="982" operator="equal">
      <formula>"Nuevo"</formula>
    </cfRule>
  </conditionalFormatting>
  <conditionalFormatting sqref="L428">
    <cfRule type="cellIs" priority="983" operator="equal">
      <formula>"Mercado Envíos gratis"</formula>
    </cfRule>
  </conditionalFormatting>
  <conditionalFormatting sqref="M428">
    <cfRule type="cellIs" priority="984" operator="equal">
      <formula>"Clásica"</formula>
    </cfRule>
  </conditionalFormatting>
  <conditionalFormatting sqref="O428">
    <cfRule type="cellIs" priority="985" operator="equal">
      <formula>"Activa"</formula>
    </cfRule>
  </conditionalFormatting>
  <conditionalFormatting sqref="J429">
    <cfRule type="cellIs" priority="986" operator="equal">
      <formula>"$"</formula>
    </cfRule>
  </conditionalFormatting>
  <conditionalFormatting sqref="K429">
    <cfRule type="cellIs" priority="987" operator="equal">
      <formula>"Nuevo"</formula>
    </cfRule>
  </conditionalFormatting>
  <conditionalFormatting sqref="L429">
    <cfRule type="cellIs" priority="988" operator="equal">
      <formula>"Mercado Envíos gratis"</formula>
    </cfRule>
  </conditionalFormatting>
  <conditionalFormatting sqref="M429">
    <cfRule type="cellIs" priority="989" operator="equal">
      <formula>"Clásica"</formula>
    </cfRule>
  </conditionalFormatting>
  <conditionalFormatting sqref="O429">
    <cfRule type="cellIs" priority="990" operator="equal">
      <formula>"Activa"</formula>
    </cfRule>
  </conditionalFormatting>
  <conditionalFormatting sqref="J430">
    <cfRule type="cellIs" priority="991" operator="equal">
      <formula>"$"</formula>
    </cfRule>
  </conditionalFormatting>
  <conditionalFormatting sqref="K430">
    <cfRule type="cellIs" priority="992" operator="equal">
      <formula>"Nuevo"</formula>
    </cfRule>
  </conditionalFormatting>
  <conditionalFormatting sqref="L430">
    <cfRule type="cellIs" priority="993" operator="equal">
      <formula>"Mercado Envíos gratis"</formula>
    </cfRule>
  </conditionalFormatting>
  <conditionalFormatting sqref="M430">
    <cfRule type="cellIs" priority="994" operator="equal">
      <formula>"Clásica"</formula>
    </cfRule>
  </conditionalFormatting>
  <conditionalFormatting sqref="O430">
    <cfRule type="cellIs" priority="995" operator="equal">
      <formula>"Activa"</formula>
    </cfRule>
  </conditionalFormatting>
  <conditionalFormatting sqref="J431">
    <cfRule type="cellIs" priority="996" operator="equal">
      <formula>"$"</formula>
    </cfRule>
  </conditionalFormatting>
  <conditionalFormatting sqref="L431">
    <cfRule type="cellIs" priority="997" operator="equal">
      <formula>"Mercado Envíos gratis"</formula>
    </cfRule>
  </conditionalFormatting>
  <conditionalFormatting sqref="M431">
    <cfRule type="cellIs" priority="998" operator="equal">
      <formula>"Clásica"</formula>
    </cfRule>
  </conditionalFormatting>
  <conditionalFormatting sqref="O431">
    <cfRule type="cellIs" priority="999" operator="equal">
      <formula>"Activa"</formula>
    </cfRule>
  </conditionalFormatting>
  <conditionalFormatting sqref="J432">
    <cfRule type="cellIs" priority="1000" operator="equal">
      <formula>"$"</formula>
    </cfRule>
  </conditionalFormatting>
  <conditionalFormatting sqref="K432">
    <cfRule type="cellIs" priority="1001" operator="equal">
      <formula>"Nuevo"</formula>
    </cfRule>
  </conditionalFormatting>
  <conditionalFormatting sqref="L432">
    <cfRule type="cellIs" priority="1002" operator="equal">
      <formula>"Mercado Envíos gratis"</formula>
    </cfRule>
  </conditionalFormatting>
  <conditionalFormatting sqref="M432">
    <cfRule type="cellIs" priority="1003" operator="equal">
      <formula>"Clásica"</formula>
    </cfRule>
  </conditionalFormatting>
  <conditionalFormatting sqref="O432">
    <cfRule type="cellIs" priority="1004" operator="equal">
      <formula>"Activa"</formula>
    </cfRule>
  </conditionalFormatting>
  <conditionalFormatting sqref="J433">
    <cfRule type="cellIs" priority="1005" operator="equal">
      <formula>"$"</formula>
    </cfRule>
  </conditionalFormatting>
  <conditionalFormatting sqref="K433">
    <cfRule type="cellIs" priority="1006" operator="equal">
      <formula>"Nuevo"</formula>
    </cfRule>
  </conditionalFormatting>
  <conditionalFormatting sqref="L433">
    <cfRule type="cellIs" priority="1007" operator="equal">
      <formula>"Mercado Envíos gratis"</formula>
    </cfRule>
  </conditionalFormatting>
  <conditionalFormatting sqref="M433">
    <cfRule type="cellIs" priority="1008" operator="equal">
      <formula>"Clásica"</formula>
    </cfRule>
  </conditionalFormatting>
  <conditionalFormatting sqref="O433">
    <cfRule type="cellIs" priority="1009" operator="equal">
      <formula>"Activa"</formula>
    </cfRule>
  </conditionalFormatting>
  <conditionalFormatting sqref="J434">
    <cfRule type="cellIs" priority="1010" operator="equal">
      <formula>"$"</formula>
    </cfRule>
  </conditionalFormatting>
  <conditionalFormatting sqref="K434">
    <cfRule type="cellIs" priority="1011" operator="equal">
      <formula>"Nuevo"</formula>
    </cfRule>
  </conditionalFormatting>
  <conditionalFormatting sqref="L434">
    <cfRule type="cellIs" priority="1012" operator="equal">
      <formula>"Mercado Envíos gratis"</formula>
    </cfRule>
  </conditionalFormatting>
  <conditionalFormatting sqref="M434">
    <cfRule type="cellIs" priority="1013" operator="equal">
      <formula>"Clásica"</formula>
    </cfRule>
  </conditionalFormatting>
  <conditionalFormatting sqref="O434">
    <cfRule type="cellIs" priority="1014" operator="equal">
      <formula>"Activa"</formula>
    </cfRule>
  </conditionalFormatting>
  <conditionalFormatting sqref="J435">
    <cfRule type="cellIs" priority="1015" operator="equal">
      <formula>"$"</formula>
    </cfRule>
  </conditionalFormatting>
  <conditionalFormatting sqref="K435">
    <cfRule type="cellIs" priority="1016" operator="equal">
      <formula>"Nuevo"</formula>
    </cfRule>
  </conditionalFormatting>
  <conditionalFormatting sqref="L435">
    <cfRule type="cellIs" priority="1017" operator="equal">
      <formula>"Mercado Envíos gratis"</formula>
    </cfRule>
  </conditionalFormatting>
  <conditionalFormatting sqref="M435">
    <cfRule type="cellIs" priority="1018" operator="equal">
      <formula>"Clásica"</formula>
    </cfRule>
  </conditionalFormatting>
  <conditionalFormatting sqref="O435">
    <cfRule type="cellIs" priority="1019" operator="equal">
      <formula>"Activa"</formula>
    </cfRule>
  </conditionalFormatting>
  <conditionalFormatting sqref="J436">
    <cfRule type="cellIs" priority="1020" operator="equal">
      <formula>"$"</formula>
    </cfRule>
  </conditionalFormatting>
  <conditionalFormatting sqref="K436">
    <cfRule type="cellIs" priority="1021" operator="equal">
      <formula>"Nuevo"</formula>
    </cfRule>
  </conditionalFormatting>
  <conditionalFormatting sqref="L436">
    <cfRule type="cellIs" priority="1022" operator="equal">
      <formula>"Mercado Envíos gratis"</formula>
    </cfRule>
  </conditionalFormatting>
  <conditionalFormatting sqref="M436">
    <cfRule type="cellIs" priority="1023" operator="equal">
      <formula>"Clásica"</formula>
    </cfRule>
  </conditionalFormatting>
  <conditionalFormatting sqref="O436">
    <cfRule type="cellIs" priority="1024" operator="equal">
      <formula>"Activa"</formula>
    </cfRule>
  </conditionalFormatting>
  <conditionalFormatting sqref="J437">
    <cfRule type="cellIs" priority="1025" operator="equal">
      <formula>"$"</formula>
    </cfRule>
  </conditionalFormatting>
  <conditionalFormatting sqref="K437">
    <cfRule type="cellIs" priority="1026" operator="equal">
      <formula>"Nuevo"</formula>
    </cfRule>
  </conditionalFormatting>
  <conditionalFormatting sqref="L437">
    <cfRule type="cellIs" priority="1027" operator="equal">
      <formula>"Mercado Envíos gratis"</formula>
    </cfRule>
  </conditionalFormatting>
  <conditionalFormatting sqref="M437">
    <cfRule type="cellIs" priority="1028" operator="equal">
      <formula>"Clásica"</formula>
    </cfRule>
  </conditionalFormatting>
  <conditionalFormatting sqref="O437">
    <cfRule type="cellIs" priority="1029" operator="equal">
      <formula>"Activa"</formula>
    </cfRule>
  </conditionalFormatting>
  <conditionalFormatting sqref="J440">
    <cfRule type="cellIs" priority="1030" operator="equal">
      <formula>"$"</formula>
    </cfRule>
  </conditionalFormatting>
  <conditionalFormatting sqref="K440">
    <cfRule type="cellIs" priority="1031" operator="equal">
      <formula>"Nuevo"</formula>
    </cfRule>
  </conditionalFormatting>
  <conditionalFormatting sqref="L440">
    <cfRule type="cellIs" priority="1032" operator="equal">
      <formula>"Mercado Envíos gratis"</formula>
    </cfRule>
  </conditionalFormatting>
  <conditionalFormatting sqref="M440">
    <cfRule type="cellIs" priority="1033" operator="equal">
      <formula>"Clásica"</formula>
    </cfRule>
  </conditionalFormatting>
  <conditionalFormatting sqref="O440">
    <cfRule type="cellIs" priority="1034" operator="equal">
      <formula>"Activa"</formula>
    </cfRule>
  </conditionalFormatting>
  <conditionalFormatting sqref="J443">
    <cfRule type="cellIs" priority="1035" operator="equal">
      <formula>"$"</formula>
    </cfRule>
  </conditionalFormatting>
  <conditionalFormatting sqref="K443">
    <cfRule type="cellIs" priority="1036" operator="equal">
      <formula>"Nuevo"</formula>
    </cfRule>
  </conditionalFormatting>
  <conditionalFormatting sqref="L443">
    <cfRule type="cellIs" priority="1037" operator="equal">
      <formula>"Mercado Envíos gratis"</formula>
    </cfRule>
  </conditionalFormatting>
  <conditionalFormatting sqref="M443">
    <cfRule type="cellIs" priority="1038" operator="equal">
      <formula>"Clásica"</formula>
    </cfRule>
  </conditionalFormatting>
  <conditionalFormatting sqref="O443">
    <cfRule type="cellIs" priority="1039" operator="equal">
      <formula>"Activa"</formula>
    </cfRule>
  </conditionalFormatting>
  <conditionalFormatting sqref="J444">
    <cfRule type="cellIs" priority="1040" operator="equal">
      <formula>"$"</formula>
    </cfRule>
  </conditionalFormatting>
  <conditionalFormatting sqref="K444">
    <cfRule type="cellIs" priority="1041" operator="equal">
      <formula>"Nuevo"</formula>
    </cfRule>
  </conditionalFormatting>
  <conditionalFormatting sqref="L444">
    <cfRule type="cellIs" priority="1042" operator="equal">
      <formula>"Mercado Envíos gratis"</formula>
    </cfRule>
  </conditionalFormatting>
  <conditionalFormatting sqref="M444">
    <cfRule type="cellIs" priority="1043" operator="equal">
      <formula>"Clásica"</formula>
    </cfRule>
  </conditionalFormatting>
  <conditionalFormatting sqref="O444">
    <cfRule type="cellIs" priority="1044" operator="equal">
      <formula>"Activa"</formula>
    </cfRule>
  </conditionalFormatting>
  <conditionalFormatting sqref="J445">
    <cfRule type="cellIs" priority="1045" operator="equal">
      <formula>"$"</formula>
    </cfRule>
  </conditionalFormatting>
  <conditionalFormatting sqref="K445">
    <cfRule type="cellIs" priority="1046" operator="equal">
      <formula>"Nuevo"</formula>
    </cfRule>
  </conditionalFormatting>
  <conditionalFormatting sqref="L445">
    <cfRule type="cellIs" priority="1047" operator="equal">
      <formula>"Mercado Envíos gratis"</formula>
    </cfRule>
  </conditionalFormatting>
  <conditionalFormatting sqref="M445">
    <cfRule type="cellIs" priority="1048" operator="equal">
      <formula>"Clásica"</formula>
    </cfRule>
  </conditionalFormatting>
  <conditionalFormatting sqref="O445">
    <cfRule type="cellIs" priority="1049" operator="equal">
      <formula>"Activa"</formula>
    </cfRule>
  </conditionalFormatting>
  <conditionalFormatting sqref="J446">
    <cfRule type="cellIs" priority="1050" operator="equal">
      <formula>"$"</formula>
    </cfRule>
  </conditionalFormatting>
  <conditionalFormatting sqref="K446">
    <cfRule type="cellIs" priority="1051" operator="equal">
      <formula>"Nuevo"</formula>
    </cfRule>
  </conditionalFormatting>
  <conditionalFormatting sqref="L446">
    <cfRule type="cellIs" priority="1052" operator="equal">
      <formula>"Mercado Envíos gratis"</formula>
    </cfRule>
  </conditionalFormatting>
  <conditionalFormatting sqref="M446">
    <cfRule type="cellIs" priority="1053" operator="equal">
      <formula>"Clásica"</formula>
    </cfRule>
  </conditionalFormatting>
  <conditionalFormatting sqref="O446">
    <cfRule type="cellIs" priority="1054" operator="equal">
      <formula>"Activa"</formula>
    </cfRule>
  </conditionalFormatting>
  <conditionalFormatting sqref="J447">
    <cfRule type="cellIs" priority="1055" operator="equal">
      <formula>"$"</formula>
    </cfRule>
  </conditionalFormatting>
  <conditionalFormatting sqref="K447">
    <cfRule type="cellIs" priority="1056" operator="equal">
      <formula>"Nuevo"</formula>
    </cfRule>
  </conditionalFormatting>
  <conditionalFormatting sqref="L447">
    <cfRule type="cellIs" priority="1057" operator="equal">
      <formula>"Mercado Envíos gratis"</formula>
    </cfRule>
  </conditionalFormatting>
  <conditionalFormatting sqref="M447">
    <cfRule type="cellIs" priority="1058" operator="equal">
      <formula>"Clásica"</formula>
    </cfRule>
  </conditionalFormatting>
  <conditionalFormatting sqref="O447">
    <cfRule type="cellIs" priority="1059" operator="equal">
      <formula>"Activa"</formula>
    </cfRule>
  </conditionalFormatting>
  <conditionalFormatting sqref="J448">
    <cfRule type="cellIs" priority="1060" operator="equal">
      <formula>"$"</formula>
    </cfRule>
  </conditionalFormatting>
  <conditionalFormatting sqref="K448">
    <cfRule type="cellIs" priority="1061" operator="equal">
      <formula>"Nuevo"</formula>
    </cfRule>
  </conditionalFormatting>
  <conditionalFormatting sqref="L448">
    <cfRule type="cellIs" priority="1062" operator="equal">
      <formula>"Mercado Envíos gratis"</formula>
    </cfRule>
  </conditionalFormatting>
  <conditionalFormatting sqref="M448">
    <cfRule type="cellIs" priority="1063" operator="equal">
      <formula>"Clásica"</formula>
    </cfRule>
  </conditionalFormatting>
  <conditionalFormatting sqref="O448">
    <cfRule type="cellIs" priority="1064" operator="equal">
      <formula>"Activa"</formula>
    </cfRule>
  </conditionalFormatting>
  <conditionalFormatting sqref="J449">
    <cfRule type="cellIs" priority="1065" operator="equal">
      <formula>"$"</formula>
    </cfRule>
  </conditionalFormatting>
  <conditionalFormatting sqref="K449">
    <cfRule type="cellIs" priority="1066" operator="equal">
      <formula>"Nuevo"</formula>
    </cfRule>
  </conditionalFormatting>
  <conditionalFormatting sqref="L449">
    <cfRule type="cellIs" priority="1067" operator="equal">
      <formula>"Mercado Envíos gratis"</formula>
    </cfRule>
  </conditionalFormatting>
  <conditionalFormatting sqref="M449">
    <cfRule type="cellIs" priority="1068" operator="equal">
      <formula>"Clásica"</formula>
    </cfRule>
  </conditionalFormatting>
  <conditionalFormatting sqref="O449">
    <cfRule type="cellIs" priority="1069" operator="equal">
      <formula>"Activa"</formula>
    </cfRule>
  </conditionalFormatting>
  <conditionalFormatting sqref="J450">
    <cfRule type="cellIs" priority="1070" operator="equal">
      <formula>"$"</formula>
    </cfRule>
  </conditionalFormatting>
  <conditionalFormatting sqref="K450">
    <cfRule type="cellIs" priority="1071" operator="equal">
      <formula>"Nuevo"</formula>
    </cfRule>
  </conditionalFormatting>
  <conditionalFormatting sqref="L450">
    <cfRule type="cellIs" priority="1072" operator="equal">
      <formula>"Mercado Envíos gratis"</formula>
    </cfRule>
  </conditionalFormatting>
  <conditionalFormatting sqref="M450">
    <cfRule type="cellIs" priority="1073" operator="equal">
      <formula>"Clásica"</formula>
    </cfRule>
  </conditionalFormatting>
  <conditionalFormatting sqref="O450">
    <cfRule type="cellIs" priority="1074" operator="equal">
      <formula>"Activa"</formula>
    </cfRule>
  </conditionalFormatting>
  <conditionalFormatting sqref="J451">
    <cfRule type="cellIs" priority="1075" operator="equal">
      <formula>"$"</formula>
    </cfRule>
  </conditionalFormatting>
  <conditionalFormatting sqref="K451">
    <cfRule type="cellIs" priority="1076" operator="equal">
      <formula>"Nuevo"</formula>
    </cfRule>
  </conditionalFormatting>
  <conditionalFormatting sqref="L451">
    <cfRule type="cellIs" priority="1077" operator="equal">
      <formula>"Mercado Envíos gratis"</formula>
    </cfRule>
  </conditionalFormatting>
  <conditionalFormatting sqref="M451">
    <cfRule type="cellIs" priority="1078" operator="equal">
      <formula>"Clásica"</formula>
    </cfRule>
  </conditionalFormatting>
  <conditionalFormatting sqref="O451">
    <cfRule type="cellIs" priority="1079" operator="equal">
      <formula>"Activa"</formula>
    </cfRule>
  </conditionalFormatting>
  <conditionalFormatting sqref="J452">
    <cfRule type="cellIs" priority="1080" operator="equal">
      <formula>"$"</formula>
    </cfRule>
  </conditionalFormatting>
  <conditionalFormatting sqref="K452">
    <cfRule type="cellIs" priority="1081" operator="equal">
      <formula>"Nuevo"</formula>
    </cfRule>
  </conditionalFormatting>
  <conditionalFormatting sqref="L452">
    <cfRule type="cellIs" priority="1082" operator="equal">
      <formula>"Mercado Envíos gratis"</formula>
    </cfRule>
  </conditionalFormatting>
  <conditionalFormatting sqref="M452">
    <cfRule type="cellIs" priority="1083" operator="equal">
      <formula>"Clásica"</formula>
    </cfRule>
  </conditionalFormatting>
  <conditionalFormatting sqref="O452">
    <cfRule type="cellIs" priority="1084" operator="equal">
      <formula>"Activa"</formula>
    </cfRule>
  </conditionalFormatting>
  <conditionalFormatting sqref="J453">
    <cfRule type="cellIs" priority="1085" operator="equal">
      <formula>"$"</formula>
    </cfRule>
  </conditionalFormatting>
  <conditionalFormatting sqref="K453">
    <cfRule type="cellIs" priority="1086" operator="equal">
      <formula>"Nuevo"</formula>
    </cfRule>
  </conditionalFormatting>
  <conditionalFormatting sqref="L453">
    <cfRule type="cellIs" priority="1087" operator="equal">
      <formula>"Mercado Envíos a cargo del comprador"</formula>
    </cfRule>
  </conditionalFormatting>
  <conditionalFormatting sqref="M453">
    <cfRule type="cellIs" priority="1088" operator="equal">
      <formula>"Clásica"</formula>
    </cfRule>
  </conditionalFormatting>
  <conditionalFormatting sqref="O453">
    <cfRule type="cellIs" priority="1089" operator="equal">
      <formula>"Activa"</formula>
    </cfRule>
  </conditionalFormatting>
  <conditionalFormatting sqref="J454">
    <cfRule type="cellIs" priority="1090" operator="equal">
      <formula>"$"</formula>
    </cfRule>
  </conditionalFormatting>
  <conditionalFormatting sqref="K454">
    <cfRule type="cellIs" priority="1091" operator="equal">
      <formula>"Nuevo"</formula>
    </cfRule>
  </conditionalFormatting>
  <conditionalFormatting sqref="L454">
    <cfRule type="cellIs" priority="1092" operator="equal">
      <formula>"Mercado Envíos a cargo del comprador"</formula>
    </cfRule>
  </conditionalFormatting>
  <conditionalFormatting sqref="M454">
    <cfRule type="cellIs" priority="1093" operator="equal">
      <formula>"Clásica"</formula>
    </cfRule>
  </conditionalFormatting>
  <conditionalFormatting sqref="O454">
    <cfRule type="cellIs" priority="1094" operator="equal">
      <formula>"Activa"</formula>
    </cfRule>
  </conditionalFormatting>
  <conditionalFormatting sqref="J455">
    <cfRule type="cellIs" priority="1095" operator="equal">
      <formula>"$"</formula>
    </cfRule>
  </conditionalFormatting>
  <conditionalFormatting sqref="K455">
    <cfRule type="cellIs" priority="1096" operator="equal">
      <formula>"Nuevo"</formula>
    </cfRule>
  </conditionalFormatting>
  <conditionalFormatting sqref="L455">
    <cfRule type="cellIs" priority="1097" operator="equal">
      <formula>"Mercado Envíos gratis"</formula>
    </cfRule>
  </conditionalFormatting>
  <conditionalFormatting sqref="M455">
    <cfRule type="cellIs" priority="1098" operator="equal">
      <formula>"Clásica"</formula>
    </cfRule>
  </conditionalFormatting>
  <conditionalFormatting sqref="O455">
    <cfRule type="cellIs" priority="1099" operator="equal">
      <formula>"Activa"</formula>
    </cfRule>
  </conditionalFormatting>
  <conditionalFormatting sqref="J456">
    <cfRule type="cellIs" priority="1100" operator="equal">
      <formula>"$"</formula>
    </cfRule>
  </conditionalFormatting>
  <conditionalFormatting sqref="K456">
    <cfRule type="cellIs" priority="1101" operator="equal">
      <formula>"Nuevo"</formula>
    </cfRule>
  </conditionalFormatting>
  <conditionalFormatting sqref="L456">
    <cfRule type="cellIs" priority="1102" operator="equal">
      <formula>"Mercado Envíos gratis"</formula>
    </cfRule>
  </conditionalFormatting>
  <conditionalFormatting sqref="M456">
    <cfRule type="cellIs" priority="1103" operator="equal">
      <formula>"Clásica"</formula>
    </cfRule>
  </conditionalFormatting>
  <conditionalFormatting sqref="O456">
    <cfRule type="cellIs" priority="1104" operator="equal">
      <formula>"Activa"</formula>
    </cfRule>
  </conditionalFormatting>
  <conditionalFormatting sqref="J457">
    <cfRule type="cellIs" priority="1105" operator="equal">
      <formula>"$"</formula>
    </cfRule>
  </conditionalFormatting>
  <conditionalFormatting sqref="K457">
    <cfRule type="cellIs" priority="1106" operator="equal">
      <formula>"Nuevo"</formula>
    </cfRule>
  </conditionalFormatting>
  <conditionalFormatting sqref="L457">
    <cfRule type="cellIs" priority="1107" operator="equal">
      <formula>"Mercado Envíos gratis"</formula>
    </cfRule>
  </conditionalFormatting>
  <conditionalFormatting sqref="M457">
    <cfRule type="cellIs" priority="1108" operator="equal">
      <formula>"Clásica"</formula>
    </cfRule>
  </conditionalFormatting>
  <conditionalFormatting sqref="O457">
    <cfRule type="cellIs" priority="1109" operator="equal">
      <formula>"Activa"</formula>
    </cfRule>
  </conditionalFormatting>
  <conditionalFormatting sqref="J458">
    <cfRule type="cellIs" priority="1110" operator="equal">
      <formula>"$"</formula>
    </cfRule>
  </conditionalFormatting>
  <conditionalFormatting sqref="K458">
    <cfRule type="cellIs" priority="1111" operator="equal">
      <formula>"Nuevo"</formula>
    </cfRule>
  </conditionalFormatting>
  <conditionalFormatting sqref="L458">
    <cfRule type="cellIs" priority="1112" operator="equal">
      <formula>"Mercado Envíos gratis"</formula>
    </cfRule>
  </conditionalFormatting>
  <conditionalFormatting sqref="M458">
    <cfRule type="cellIs" priority="1113" operator="equal">
      <formula>"Clásica"</formula>
    </cfRule>
  </conditionalFormatting>
  <conditionalFormatting sqref="O458">
    <cfRule type="cellIs" priority="1114" operator="equal">
      <formula>"Activa"</formula>
    </cfRule>
  </conditionalFormatting>
  <conditionalFormatting sqref="J459">
    <cfRule type="cellIs" priority="1115" operator="equal">
      <formula>"$"</formula>
    </cfRule>
  </conditionalFormatting>
  <conditionalFormatting sqref="K459">
    <cfRule type="cellIs" priority="1116" operator="equal">
      <formula>"Nuevo"</formula>
    </cfRule>
  </conditionalFormatting>
  <conditionalFormatting sqref="L459">
    <cfRule type="cellIs" priority="1117" operator="equal">
      <formula>"Mercado Envíos gratis"</formula>
    </cfRule>
  </conditionalFormatting>
  <conditionalFormatting sqref="M459">
    <cfRule type="cellIs" priority="1118" operator="equal">
      <formula>"Clásica"</formula>
    </cfRule>
  </conditionalFormatting>
  <conditionalFormatting sqref="O459">
    <cfRule type="cellIs" priority="1119" operator="equal">
      <formula>"Activa"</formula>
    </cfRule>
  </conditionalFormatting>
  <conditionalFormatting sqref="J460">
    <cfRule type="cellIs" priority="1120" operator="equal">
      <formula>"$"</formula>
    </cfRule>
  </conditionalFormatting>
  <conditionalFormatting sqref="K460">
    <cfRule type="cellIs" priority="1121" operator="equal">
      <formula>"Nuevo"</formula>
    </cfRule>
  </conditionalFormatting>
  <conditionalFormatting sqref="L460">
    <cfRule type="cellIs" priority="1122" operator="equal">
      <formula>"Mercado Envíos a cargo del comprador"</formula>
    </cfRule>
  </conditionalFormatting>
  <conditionalFormatting sqref="M460">
    <cfRule type="cellIs" priority="1123" operator="equal">
      <formula>"Clásica"</formula>
    </cfRule>
  </conditionalFormatting>
  <conditionalFormatting sqref="O460">
    <cfRule type="cellIs" priority="1124" operator="equal">
      <formula>"Activa"</formula>
    </cfRule>
  </conditionalFormatting>
  <conditionalFormatting sqref="J461">
    <cfRule type="cellIs" priority="1125" operator="equal">
      <formula>"$"</formula>
    </cfRule>
  </conditionalFormatting>
  <conditionalFormatting sqref="K461">
    <cfRule type="cellIs" priority="1126" operator="equal">
      <formula>"Nuevo"</formula>
    </cfRule>
  </conditionalFormatting>
  <conditionalFormatting sqref="L461">
    <cfRule type="cellIs" priority="1127" operator="equal">
      <formula>"Mercado Envíos gratis"</formula>
    </cfRule>
  </conditionalFormatting>
  <conditionalFormatting sqref="M461">
    <cfRule type="cellIs" priority="1128" operator="equal">
      <formula>"Clásica"</formula>
    </cfRule>
  </conditionalFormatting>
  <conditionalFormatting sqref="O461">
    <cfRule type="cellIs" priority="1129" operator="equal">
      <formula>"Activa"</formula>
    </cfRule>
  </conditionalFormatting>
  <conditionalFormatting sqref="J462">
    <cfRule type="cellIs" priority="1130" operator="equal">
      <formula>"$"</formula>
    </cfRule>
  </conditionalFormatting>
  <conditionalFormatting sqref="K462">
    <cfRule type="cellIs" priority="1131" operator="equal">
      <formula>"Nuevo"</formula>
    </cfRule>
  </conditionalFormatting>
  <conditionalFormatting sqref="L462">
    <cfRule type="cellIs" priority="1132" operator="equal">
      <formula>"Mercado Envíos gratis"</formula>
    </cfRule>
  </conditionalFormatting>
  <conditionalFormatting sqref="M462">
    <cfRule type="cellIs" priority="1133" operator="equal">
      <formula>"Clásica"</formula>
    </cfRule>
  </conditionalFormatting>
  <conditionalFormatting sqref="O462">
    <cfRule type="cellIs" priority="1134" operator="equal">
      <formula>"Activa"</formula>
    </cfRule>
  </conditionalFormatting>
  <conditionalFormatting sqref="J463">
    <cfRule type="cellIs" priority="1135" operator="equal">
      <formula>"$"</formula>
    </cfRule>
  </conditionalFormatting>
  <conditionalFormatting sqref="K463">
    <cfRule type="cellIs" priority="1136" operator="equal">
      <formula>"Nuevo"</formula>
    </cfRule>
  </conditionalFormatting>
  <conditionalFormatting sqref="L463">
    <cfRule type="cellIs" priority="1137" operator="equal">
      <formula>"Mercado Envíos gratis"</formula>
    </cfRule>
  </conditionalFormatting>
  <conditionalFormatting sqref="M463">
    <cfRule type="cellIs" priority="1138" operator="equal">
      <formula>"Clásica"</formula>
    </cfRule>
  </conditionalFormatting>
  <conditionalFormatting sqref="O463">
    <cfRule type="cellIs" priority="1139" operator="equal">
      <formula>"Activa"</formula>
    </cfRule>
  </conditionalFormatting>
  <conditionalFormatting sqref="J464">
    <cfRule type="cellIs" priority="1140" operator="equal">
      <formula>"$"</formula>
    </cfRule>
  </conditionalFormatting>
  <conditionalFormatting sqref="K464">
    <cfRule type="cellIs" priority="1141" operator="equal">
      <formula>"Nuevo"</formula>
    </cfRule>
  </conditionalFormatting>
  <conditionalFormatting sqref="L464">
    <cfRule type="cellIs" priority="1142" operator="equal">
      <formula>"Mercado Envíos gratis"</formula>
    </cfRule>
  </conditionalFormatting>
  <conditionalFormatting sqref="M464">
    <cfRule type="cellIs" priority="1143" operator="equal">
      <formula>"Clásica"</formula>
    </cfRule>
  </conditionalFormatting>
  <conditionalFormatting sqref="O464">
    <cfRule type="cellIs" priority="1144" operator="equal">
      <formula>"Activa"</formula>
    </cfRule>
  </conditionalFormatting>
  <conditionalFormatting sqref="J465">
    <cfRule type="cellIs" priority="1145" operator="equal">
      <formula>"$"</formula>
    </cfRule>
  </conditionalFormatting>
  <conditionalFormatting sqref="K465">
    <cfRule type="cellIs" priority="1146" operator="equal">
      <formula>"Nuevo"</formula>
    </cfRule>
  </conditionalFormatting>
  <conditionalFormatting sqref="L465">
    <cfRule type="cellIs" priority="1147" operator="equal">
      <formula>"Mercado Envíos gratis"</formula>
    </cfRule>
  </conditionalFormatting>
  <conditionalFormatting sqref="M465">
    <cfRule type="cellIs" priority="1148" operator="equal">
      <formula>"Clásica"</formula>
    </cfRule>
  </conditionalFormatting>
  <conditionalFormatting sqref="O465">
    <cfRule type="cellIs" priority="1149" operator="equal">
      <formula>"Activa"</formula>
    </cfRule>
  </conditionalFormatting>
  <conditionalFormatting sqref="J466">
    <cfRule type="cellIs" priority="1150" operator="equal">
      <formula>"$"</formula>
    </cfRule>
  </conditionalFormatting>
  <conditionalFormatting sqref="K466">
    <cfRule type="cellIs" priority="1151" operator="equal">
      <formula>"Nuevo"</formula>
    </cfRule>
  </conditionalFormatting>
  <conditionalFormatting sqref="L466">
    <cfRule type="cellIs" priority="1152" operator="equal">
      <formula>"Mercado Envíos gratis"</formula>
    </cfRule>
  </conditionalFormatting>
  <conditionalFormatting sqref="M466">
    <cfRule type="cellIs" priority="1153" operator="equal">
      <formula>"Clásica"</formula>
    </cfRule>
  </conditionalFormatting>
  <conditionalFormatting sqref="O466">
    <cfRule type="cellIs" priority="1154" operator="equal">
      <formula>"Activa"</formula>
    </cfRule>
  </conditionalFormatting>
  <conditionalFormatting sqref="J467">
    <cfRule type="cellIs" priority="1155" operator="equal">
      <formula>"$"</formula>
    </cfRule>
  </conditionalFormatting>
  <conditionalFormatting sqref="K467">
    <cfRule type="cellIs" priority="1156" operator="equal">
      <formula>"Nuevo"</formula>
    </cfRule>
  </conditionalFormatting>
  <conditionalFormatting sqref="L467">
    <cfRule type="cellIs" priority="1157" operator="equal">
      <formula>"Mercado Envíos gratis"</formula>
    </cfRule>
  </conditionalFormatting>
  <conditionalFormatting sqref="M467">
    <cfRule type="cellIs" priority="1158" operator="equal">
      <formula>"Clásica"</formula>
    </cfRule>
  </conditionalFormatting>
  <conditionalFormatting sqref="O467">
    <cfRule type="cellIs" priority="1159" operator="equal">
      <formula>"Activa"</formula>
    </cfRule>
  </conditionalFormatting>
  <conditionalFormatting sqref="J470">
    <cfRule type="cellIs" priority="1160" operator="equal">
      <formula>"$"</formula>
    </cfRule>
  </conditionalFormatting>
  <conditionalFormatting sqref="K470">
    <cfRule type="cellIs" priority="1161" operator="equal">
      <formula>"Nuevo"</formula>
    </cfRule>
  </conditionalFormatting>
  <conditionalFormatting sqref="L470">
    <cfRule type="cellIs" priority="1162" operator="equal">
      <formula>"Mercado Envíos gratis"</formula>
    </cfRule>
  </conditionalFormatting>
  <conditionalFormatting sqref="M470">
    <cfRule type="cellIs" priority="1163" operator="equal">
      <formula>"Clásica"</formula>
    </cfRule>
  </conditionalFormatting>
  <conditionalFormatting sqref="O470">
    <cfRule type="cellIs" priority="1164" operator="equal">
      <formula>"Activa"</formula>
    </cfRule>
  </conditionalFormatting>
  <conditionalFormatting sqref="J471">
    <cfRule type="cellIs" priority="1165" operator="equal">
      <formula>"$"</formula>
    </cfRule>
  </conditionalFormatting>
  <conditionalFormatting sqref="K471">
    <cfRule type="cellIs" priority="1166" operator="equal">
      <formula>"Nuevo"</formula>
    </cfRule>
  </conditionalFormatting>
  <conditionalFormatting sqref="L471">
    <cfRule type="cellIs" priority="1167" operator="equal">
      <formula>"Mercado Envíos gratis"</formula>
    </cfRule>
  </conditionalFormatting>
  <conditionalFormatting sqref="M471">
    <cfRule type="cellIs" priority="1168" operator="equal">
      <formula>"Clásica"</formula>
    </cfRule>
  </conditionalFormatting>
  <conditionalFormatting sqref="O471">
    <cfRule type="cellIs" priority="1169" operator="equal">
      <formula>"Activa"</formula>
    </cfRule>
  </conditionalFormatting>
  <conditionalFormatting sqref="J472">
    <cfRule type="cellIs" priority="1170" operator="equal">
      <formula>"$"</formula>
    </cfRule>
  </conditionalFormatting>
  <conditionalFormatting sqref="K472">
    <cfRule type="cellIs" priority="1171" operator="equal">
      <formula>"Nuevo"</formula>
    </cfRule>
  </conditionalFormatting>
  <conditionalFormatting sqref="L472">
    <cfRule type="cellIs" priority="1172" operator="equal">
      <formula>"Mercado Envíos gratis"</formula>
    </cfRule>
  </conditionalFormatting>
  <conditionalFormatting sqref="M472">
    <cfRule type="cellIs" priority="1173" operator="equal">
      <formula>"Clásica"</formula>
    </cfRule>
  </conditionalFormatting>
  <conditionalFormatting sqref="O472">
    <cfRule type="cellIs" priority="1174" operator="equal">
      <formula>"Activa"</formula>
    </cfRule>
  </conditionalFormatting>
  <conditionalFormatting sqref="J473">
    <cfRule type="cellIs" priority="1175" operator="equal">
      <formula>"$"</formula>
    </cfRule>
  </conditionalFormatting>
  <conditionalFormatting sqref="K473">
    <cfRule type="cellIs" priority="1176" operator="equal">
      <formula>"Nuevo"</formula>
    </cfRule>
  </conditionalFormatting>
  <conditionalFormatting sqref="L473">
    <cfRule type="cellIs" priority="1177" operator="equal">
      <formula>"Mercado Envíos gratis"</formula>
    </cfRule>
  </conditionalFormatting>
  <conditionalFormatting sqref="M473">
    <cfRule type="cellIs" priority="1178" operator="equal">
      <formula>"Clásica"</formula>
    </cfRule>
  </conditionalFormatting>
  <conditionalFormatting sqref="O473">
    <cfRule type="cellIs" priority="1179" operator="equal">
      <formula>"Activa"</formula>
    </cfRule>
  </conditionalFormatting>
  <conditionalFormatting sqref="J477">
    <cfRule type="cellIs" priority="1180" operator="equal">
      <formula>"$"</formula>
    </cfRule>
  </conditionalFormatting>
  <conditionalFormatting sqref="K477">
    <cfRule type="cellIs" priority="1181" operator="equal">
      <formula>"Nuevo"</formula>
    </cfRule>
  </conditionalFormatting>
  <conditionalFormatting sqref="L477">
    <cfRule type="cellIs" priority="1182" operator="equal">
      <formula>"Mercado Envíos gratis"</formula>
    </cfRule>
  </conditionalFormatting>
  <conditionalFormatting sqref="M477">
    <cfRule type="cellIs" priority="1183" operator="equal">
      <formula>"Clásica"</formula>
    </cfRule>
  </conditionalFormatting>
  <conditionalFormatting sqref="O477">
    <cfRule type="cellIs" priority="1184" operator="equal">
      <formula>"Activa"</formula>
    </cfRule>
  </conditionalFormatting>
  <conditionalFormatting sqref="J478">
    <cfRule type="cellIs" priority="1185" operator="equal">
      <formula>"$"</formula>
    </cfRule>
  </conditionalFormatting>
  <conditionalFormatting sqref="K478">
    <cfRule type="cellIs" priority="1186" operator="equal">
      <formula>"Nuevo"</formula>
    </cfRule>
  </conditionalFormatting>
  <conditionalFormatting sqref="L478">
    <cfRule type="cellIs" priority="1187" operator="equal">
      <formula>"Mercado Envíos gratis"</formula>
    </cfRule>
  </conditionalFormatting>
  <conditionalFormatting sqref="M478">
    <cfRule type="cellIs" priority="1188" operator="equal">
      <formula>"Clásica"</formula>
    </cfRule>
  </conditionalFormatting>
  <conditionalFormatting sqref="O478">
    <cfRule type="cellIs" priority="1189" operator="equal">
      <formula>"Activa"</formula>
    </cfRule>
  </conditionalFormatting>
  <conditionalFormatting sqref="J479">
    <cfRule type="cellIs" priority="1190" operator="equal">
      <formula>"$"</formula>
    </cfRule>
  </conditionalFormatting>
  <conditionalFormatting sqref="L479">
    <cfRule type="cellIs" priority="1191" operator="equal">
      <formula>"Mercado Envíos gratis"</formula>
    </cfRule>
  </conditionalFormatting>
  <conditionalFormatting sqref="M479">
    <cfRule type="cellIs" priority="1192" operator="equal">
      <formula>"Clásica"</formula>
    </cfRule>
  </conditionalFormatting>
  <conditionalFormatting sqref="O479">
    <cfRule type="cellIs" priority="1193" operator="equal">
      <formula>"Activa"</formula>
    </cfRule>
  </conditionalFormatting>
  <conditionalFormatting sqref="J480">
    <cfRule type="cellIs" priority="1194" operator="equal">
      <formula>"$"</formula>
    </cfRule>
  </conditionalFormatting>
  <conditionalFormatting sqref="L480">
    <cfRule type="cellIs" priority="1195" operator="equal">
      <formula>"Mercado Envíos a cargo del comprador"</formula>
    </cfRule>
  </conditionalFormatting>
  <conditionalFormatting sqref="M480">
    <cfRule type="cellIs" priority="1196" operator="equal">
      <formula>"Clásica"</formula>
    </cfRule>
  </conditionalFormatting>
  <conditionalFormatting sqref="O480">
    <cfRule type="cellIs" priority="1197" operator="equal">
      <formula>"Activa"</formula>
    </cfRule>
  </conditionalFormatting>
  <conditionalFormatting sqref="J481">
    <cfRule type="cellIs" priority="1198" operator="equal">
      <formula>"$"</formula>
    </cfRule>
  </conditionalFormatting>
  <conditionalFormatting sqref="K481">
    <cfRule type="cellIs" priority="1199" operator="equal">
      <formula>"Nuevo"</formula>
    </cfRule>
  </conditionalFormatting>
  <conditionalFormatting sqref="L481">
    <cfRule type="cellIs" priority="1200" operator="equal">
      <formula>"Mercado Envíos gratis"</formula>
    </cfRule>
  </conditionalFormatting>
  <conditionalFormatting sqref="M481">
    <cfRule type="cellIs" priority="1201" operator="equal">
      <formula>"Clásica"</formula>
    </cfRule>
  </conditionalFormatting>
  <conditionalFormatting sqref="O481">
    <cfRule type="cellIs" priority="1202" operator="equal">
      <formula>"Activa"</formula>
    </cfRule>
  </conditionalFormatting>
  <conditionalFormatting sqref="J484">
    <cfRule type="cellIs" priority="1203" operator="equal">
      <formula>"$"</formula>
    </cfRule>
  </conditionalFormatting>
  <conditionalFormatting sqref="K484">
    <cfRule type="cellIs" priority="1204" operator="equal">
      <formula>"Nuevo"</formula>
    </cfRule>
  </conditionalFormatting>
  <conditionalFormatting sqref="L484">
    <cfRule type="cellIs" priority="1205" operator="equal">
      <formula>"Mercado Envíos gratis"</formula>
    </cfRule>
  </conditionalFormatting>
  <conditionalFormatting sqref="M484">
    <cfRule type="cellIs" priority="1206" operator="equal">
      <formula>"Clásica"</formula>
    </cfRule>
  </conditionalFormatting>
  <conditionalFormatting sqref="O484">
    <cfRule type="cellIs" priority="1207" operator="equal">
      <formula>"Activa"</formula>
    </cfRule>
  </conditionalFormatting>
  <conditionalFormatting sqref="J485">
    <cfRule type="cellIs" priority="1208" operator="equal">
      <formula>"$"</formula>
    </cfRule>
  </conditionalFormatting>
  <conditionalFormatting sqref="K485">
    <cfRule type="cellIs" priority="1209" operator="equal">
      <formula>"Nuevo"</formula>
    </cfRule>
  </conditionalFormatting>
  <conditionalFormatting sqref="L485">
    <cfRule type="cellIs" priority="1210" operator="equal">
      <formula>"Mercado Envíos a cargo del comprador"</formula>
    </cfRule>
  </conditionalFormatting>
  <conditionalFormatting sqref="M485">
    <cfRule type="cellIs" priority="1211" operator="equal">
      <formula>"Clásica"</formula>
    </cfRule>
  </conditionalFormatting>
  <conditionalFormatting sqref="O485">
    <cfRule type="cellIs" priority="1212" operator="equal">
      <formula>"Activa"</formula>
    </cfRule>
  </conditionalFormatting>
  <conditionalFormatting sqref="J486">
    <cfRule type="cellIs" priority="1213" operator="equal">
      <formula>"$"</formula>
    </cfRule>
  </conditionalFormatting>
  <conditionalFormatting sqref="K486">
    <cfRule type="cellIs" priority="1214" operator="equal">
      <formula>"Nuevo"</formula>
    </cfRule>
  </conditionalFormatting>
  <conditionalFormatting sqref="L486">
    <cfRule type="cellIs" priority="1215" operator="equal">
      <formula>"Mercado Envíos a cargo del comprador"</formula>
    </cfRule>
  </conditionalFormatting>
  <conditionalFormatting sqref="M486">
    <cfRule type="cellIs" priority="1216" operator="equal">
      <formula>"Clásica"</formula>
    </cfRule>
  </conditionalFormatting>
  <conditionalFormatting sqref="O486">
    <cfRule type="cellIs" priority="1217" operator="equal">
      <formula>"Activa"</formula>
    </cfRule>
  </conditionalFormatting>
  <conditionalFormatting sqref="J487">
    <cfRule type="cellIs" priority="1218" operator="equal">
      <formula>"$"</formula>
    </cfRule>
  </conditionalFormatting>
  <conditionalFormatting sqref="K487">
    <cfRule type="cellIs" priority="1219" operator="equal">
      <formula>"Nuevo"</formula>
    </cfRule>
  </conditionalFormatting>
  <conditionalFormatting sqref="L487">
    <cfRule type="cellIs" priority="1220" operator="equal">
      <formula>"Mercado Envíos gratis"</formula>
    </cfRule>
  </conditionalFormatting>
  <conditionalFormatting sqref="M487">
    <cfRule type="cellIs" priority="1221" operator="equal">
      <formula>"Clásica"</formula>
    </cfRule>
  </conditionalFormatting>
  <conditionalFormatting sqref="O487">
    <cfRule type="cellIs" priority="1222" operator="equal">
      <formula>"Activa"</formula>
    </cfRule>
  </conditionalFormatting>
  <conditionalFormatting sqref="J488">
    <cfRule type="cellIs" priority="1223" operator="equal">
      <formula>"$"</formula>
    </cfRule>
  </conditionalFormatting>
  <conditionalFormatting sqref="K488">
    <cfRule type="cellIs" priority="1224" operator="equal">
      <formula>"Nuevo"</formula>
    </cfRule>
  </conditionalFormatting>
  <conditionalFormatting sqref="L488">
    <cfRule type="cellIs" priority="1225" operator="equal">
      <formula>"Mercado Envíos gratis"</formula>
    </cfRule>
  </conditionalFormatting>
  <conditionalFormatting sqref="M488">
    <cfRule type="cellIs" priority="1226" operator="equal">
      <formula>"Clásica"</formula>
    </cfRule>
  </conditionalFormatting>
  <conditionalFormatting sqref="O488">
    <cfRule type="cellIs" priority="1227" operator="equal">
      <formula>"Activa"</formula>
    </cfRule>
  </conditionalFormatting>
  <conditionalFormatting sqref="J489">
    <cfRule type="cellIs" priority="1228" operator="equal">
      <formula>"$"</formula>
    </cfRule>
  </conditionalFormatting>
  <conditionalFormatting sqref="K489">
    <cfRule type="cellIs" priority="1229" operator="equal">
      <formula>"Nuevo"</formula>
    </cfRule>
  </conditionalFormatting>
  <conditionalFormatting sqref="L489">
    <cfRule type="cellIs" priority="1230" operator="equal">
      <formula>"Mercado Envíos a cargo del comprador"</formula>
    </cfRule>
  </conditionalFormatting>
  <conditionalFormatting sqref="M489">
    <cfRule type="cellIs" priority="1231" operator="equal">
      <formula>"Clásica"</formula>
    </cfRule>
  </conditionalFormatting>
  <conditionalFormatting sqref="O489">
    <cfRule type="cellIs" priority="1232" operator="equal">
      <formula>"Activa"</formula>
    </cfRule>
  </conditionalFormatting>
  <conditionalFormatting sqref="J490">
    <cfRule type="cellIs" priority="1233" operator="equal">
      <formula>"$"</formula>
    </cfRule>
  </conditionalFormatting>
  <conditionalFormatting sqref="K490">
    <cfRule type="cellIs" priority="1234" operator="equal">
      <formula>"Nuevo"</formula>
    </cfRule>
  </conditionalFormatting>
  <conditionalFormatting sqref="L490">
    <cfRule type="cellIs" priority="1235" operator="equal">
      <formula>"Mercado Envíos gratis"</formula>
    </cfRule>
  </conditionalFormatting>
  <conditionalFormatting sqref="M490">
    <cfRule type="cellIs" priority="1236" operator="equal">
      <formula>"Clásica"</formula>
    </cfRule>
  </conditionalFormatting>
  <conditionalFormatting sqref="O490">
    <cfRule type="cellIs" priority="1237" operator="equal">
      <formula>"Activa"</formula>
    </cfRule>
  </conditionalFormatting>
  <conditionalFormatting sqref="J491">
    <cfRule type="cellIs" priority="1238" operator="equal">
      <formula>"$"</formula>
    </cfRule>
  </conditionalFormatting>
  <conditionalFormatting sqref="L491">
    <cfRule type="cellIs" priority="1239" operator="equal">
      <formula>"Mercado Envíos gratis"</formula>
    </cfRule>
  </conditionalFormatting>
  <conditionalFormatting sqref="M491">
    <cfRule type="cellIs" priority="1240" operator="equal">
      <formula>"Clásica"</formula>
    </cfRule>
  </conditionalFormatting>
  <conditionalFormatting sqref="O491">
    <cfRule type="cellIs" priority="1241" operator="equal">
      <formula>"Activa"</formula>
    </cfRule>
  </conditionalFormatting>
  <conditionalFormatting sqref="J492">
    <cfRule type="cellIs" priority="1242" operator="equal">
      <formula>"$"</formula>
    </cfRule>
  </conditionalFormatting>
  <conditionalFormatting sqref="K492">
    <cfRule type="cellIs" priority="1243" operator="equal">
      <formula>"Nuevo"</formula>
    </cfRule>
  </conditionalFormatting>
  <conditionalFormatting sqref="L492">
    <cfRule type="cellIs" priority="1244" operator="equal">
      <formula>"Mercado Envíos a cargo del comprador"</formula>
    </cfRule>
  </conditionalFormatting>
  <conditionalFormatting sqref="M492">
    <cfRule type="cellIs" priority="1245" operator="equal">
      <formula>"Clásica"</formula>
    </cfRule>
  </conditionalFormatting>
  <conditionalFormatting sqref="O492">
    <cfRule type="cellIs" priority="1246" operator="equal">
      <formula>"Activa"</formula>
    </cfRule>
  </conditionalFormatting>
  <conditionalFormatting sqref="J493">
    <cfRule type="cellIs" priority="1247" operator="equal">
      <formula>"$"</formula>
    </cfRule>
  </conditionalFormatting>
  <conditionalFormatting sqref="K493">
    <cfRule type="cellIs" priority="1248" operator="equal">
      <formula>"Nuevo"</formula>
    </cfRule>
  </conditionalFormatting>
  <conditionalFormatting sqref="L493">
    <cfRule type="cellIs" priority="1249" operator="equal">
      <formula>"Mercado Envíos gratis"</formula>
    </cfRule>
  </conditionalFormatting>
  <conditionalFormatting sqref="M493">
    <cfRule type="cellIs" priority="1250" operator="equal">
      <formula>"Clásica"</formula>
    </cfRule>
  </conditionalFormatting>
  <conditionalFormatting sqref="O493">
    <cfRule type="cellIs" priority="1251" operator="equal">
      <formula>"Activa"</formula>
    </cfRule>
  </conditionalFormatting>
  <conditionalFormatting sqref="J494">
    <cfRule type="cellIs" priority="1252" operator="equal">
      <formula>"$"</formula>
    </cfRule>
  </conditionalFormatting>
  <conditionalFormatting sqref="K494">
    <cfRule type="cellIs" priority="1253" operator="equal">
      <formula>"Nuevo"</formula>
    </cfRule>
  </conditionalFormatting>
  <conditionalFormatting sqref="L494">
    <cfRule type="cellIs" priority="1254" operator="equal">
      <formula>"Mercado Envíos gratis"</formula>
    </cfRule>
  </conditionalFormatting>
  <conditionalFormatting sqref="M494">
    <cfRule type="cellIs" priority="1255" operator="equal">
      <formula>"Clásica"</formula>
    </cfRule>
  </conditionalFormatting>
  <conditionalFormatting sqref="O494">
    <cfRule type="cellIs" priority="1256" operator="equal">
      <formula>"Activa"</formula>
    </cfRule>
  </conditionalFormatting>
  <conditionalFormatting sqref="J495">
    <cfRule type="cellIs" priority="1257" operator="equal">
      <formula>"$"</formula>
    </cfRule>
  </conditionalFormatting>
  <conditionalFormatting sqref="L495">
    <cfRule type="cellIs" priority="1258" operator="equal">
      <formula>"Mercado Envíos gratis"</formula>
    </cfRule>
  </conditionalFormatting>
  <conditionalFormatting sqref="M495">
    <cfRule type="cellIs" priority="1259" operator="equal">
      <formula>"Clásica"</formula>
    </cfRule>
  </conditionalFormatting>
  <conditionalFormatting sqref="O495">
    <cfRule type="cellIs" priority="1260" operator="equal">
      <formula>"Activa"</formula>
    </cfRule>
  </conditionalFormatting>
  <conditionalFormatting sqref="J496">
    <cfRule type="cellIs" priority="1261" operator="equal">
      <formula>"$"</formula>
    </cfRule>
  </conditionalFormatting>
  <conditionalFormatting sqref="K496">
    <cfRule type="cellIs" priority="1262" operator="equal">
      <formula>"Nuevo"</formula>
    </cfRule>
  </conditionalFormatting>
  <conditionalFormatting sqref="M496">
    <cfRule type="cellIs" priority="1263" operator="equal">
      <formula>"Clásica"</formula>
    </cfRule>
  </conditionalFormatting>
  <conditionalFormatting sqref="O496">
    <cfRule type="cellIs" priority="1264" operator="equal">
      <formula>"Activa"</formula>
    </cfRule>
  </conditionalFormatting>
  <conditionalFormatting sqref="J497">
    <cfRule type="cellIs" priority="1265" operator="equal">
      <formula>"$"</formula>
    </cfRule>
  </conditionalFormatting>
  <conditionalFormatting sqref="K497">
    <cfRule type="cellIs" priority="1266" operator="equal">
      <formula>"Nuevo"</formula>
    </cfRule>
  </conditionalFormatting>
  <conditionalFormatting sqref="L497">
    <cfRule type="cellIs" priority="1267" operator="equal">
      <formula>"Mercado Envíos gratis"</formula>
    </cfRule>
  </conditionalFormatting>
  <conditionalFormatting sqref="M497">
    <cfRule type="cellIs" priority="1268" operator="equal">
      <formula>"Clásica"</formula>
    </cfRule>
  </conditionalFormatting>
  <conditionalFormatting sqref="O497">
    <cfRule type="cellIs" priority="1269" operator="equal">
      <formula>"Activa"</formula>
    </cfRule>
  </conditionalFormatting>
  <conditionalFormatting sqref="J498">
    <cfRule type="cellIs" priority="1270" operator="equal">
      <formula>"$"</formula>
    </cfRule>
  </conditionalFormatting>
  <conditionalFormatting sqref="K498">
    <cfRule type="cellIs" priority="1271" operator="equal">
      <formula>"Nuevo"</formula>
    </cfRule>
  </conditionalFormatting>
  <conditionalFormatting sqref="L498">
    <cfRule type="cellIs" priority="1272" operator="equal">
      <formula>"Mercado Envíos gratis"</formula>
    </cfRule>
  </conditionalFormatting>
  <conditionalFormatting sqref="M498">
    <cfRule type="cellIs" priority="1273" operator="equal">
      <formula>"Clásica"</formula>
    </cfRule>
  </conditionalFormatting>
  <conditionalFormatting sqref="O498">
    <cfRule type="cellIs" priority="1274" operator="equal">
      <formula>"Activa"</formula>
    </cfRule>
  </conditionalFormatting>
  <conditionalFormatting sqref="J499">
    <cfRule type="cellIs" priority="1275" operator="equal">
      <formula>"$"</formula>
    </cfRule>
  </conditionalFormatting>
  <conditionalFormatting sqref="K499">
    <cfRule type="cellIs" priority="1276" operator="equal">
      <formula>"Nuevo"</formula>
    </cfRule>
  </conditionalFormatting>
  <conditionalFormatting sqref="L499">
    <cfRule type="cellIs" priority="1277" operator="equal">
      <formula>"Mercado Envíos gratis"</formula>
    </cfRule>
  </conditionalFormatting>
  <conditionalFormatting sqref="M499">
    <cfRule type="cellIs" priority="1278" operator="equal">
      <formula>"Clásica"</formula>
    </cfRule>
  </conditionalFormatting>
  <conditionalFormatting sqref="O499">
    <cfRule type="cellIs" priority="1279" operator="equal">
      <formula>"Activa"</formula>
    </cfRule>
  </conditionalFormatting>
  <conditionalFormatting sqref="J500">
    <cfRule type="cellIs" priority="1280" operator="equal">
      <formula>"$"</formula>
    </cfRule>
  </conditionalFormatting>
  <conditionalFormatting sqref="K500">
    <cfRule type="cellIs" priority="1281" operator="equal">
      <formula>"Nuevo"</formula>
    </cfRule>
  </conditionalFormatting>
  <conditionalFormatting sqref="L500">
    <cfRule type="cellIs" priority="1282" operator="equal">
      <formula>"Mercado Envíos gratis"</formula>
    </cfRule>
  </conditionalFormatting>
  <conditionalFormatting sqref="M500">
    <cfRule type="cellIs" priority="1283" operator="equal">
      <formula>"Clásica"</formula>
    </cfRule>
  </conditionalFormatting>
  <conditionalFormatting sqref="O500">
    <cfRule type="cellIs" priority="1284" operator="equal">
      <formula>"Activa"</formula>
    </cfRule>
  </conditionalFormatting>
  <conditionalFormatting sqref="J501">
    <cfRule type="cellIs" priority="1285" operator="equal">
      <formula>"$"</formula>
    </cfRule>
  </conditionalFormatting>
  <conditionalFormatting sqref="K501">
    <cfRule type="cellIs" priority="1286" operator="equal">
      <formula>"Nuevo"</formula>
    </cfRule>
  </conditionalFormatting>
  <conditionalFormatting sqref="L501">
    <cfRule type="cellIs" priority="1287" operator="equal">
      <formula>"Mercado Envíos gratis"</formula>
    </cfRule>
  </conditionalFormatting>
  <conditionalFormatting sqref="M501">
    <cfRule type="cellIs" priority="1288" operator="equal">
      <formula>"Clásica"</formula>
    </cfRule>
  </conditionalFormatting>
  <conditionalFormatting sqref="O501">
    <cfRule type="cellIs" priority="1289" operator="equal">
      <formula>"Activa"</formula>
    </cfRule>
  </conditionalFormatting>
  <conditionalFormatting sqref="J502">
    <cfRule type="cellIs" priority="1290" operator="equal">
      <formula>"$"</formula>
    </cfRule>
  </conditionalFormatting>
  <conditionalFormatting sqref="K502">
    <cfRule type="cellIs" priority="1291" operator="equal">
      <formula>"Nuevo"</formula>
    </cfRule>
  </conditionalFormatting>
  <conditionalFormatting sqref="L502">
    <cfRule type="cellIs" priority="1292" operator="equal">
      <formula>"Mercado Envíos gratis"</formula>
    </cfRule>
  </conditionalFormatting>
  <conditionalFormatting sqref="M502">
    <cfRule type="cellIs" priority="1293" operator="equal">
      <formula>"Clásica"</formula>
    </cfRule>
  </conditionalFormatting>
  <conditionalFormatting sqref="O502">
    <cfRule type="cellIs" priority="1294" operator="equal">
      <formula>"Activa"</formula>
    </cfRule>
  </conditionalFormatting>
  <conditionalFormatting sqref="J503">
    <cfRule type="cellIs" priority="1295" operator="equal">
      <formula>"$"</formula>
    </cfRule>
  </conditionalFormatting>
  <conditionalFormatting sqref="K503">
    <cfRule type="cellIs" priority="1296" operator="equal">
      <formula>"Nuevo"</formula>
    </cfRule>
  </conditionalFormatting>
  <conditionalFormatting sqref="L503">
    <cfRule type="cellIs" priority="1297" operator="equal">
      <formula>"Mercado Envíos gratis"</formula>
    </cfRule>
  </conditionalFormatting>
  <conditionalFormatting sqref="M503">
    <cfRule type="cellIs" priority="1298" operator="equal">
      <formula>"Clásica"</formula>
    </cfRule>
  </conditionalFormatting>
  <conditionalFormatting sqref="O503">
    <cfRule type="cellIs" priority="1299" operator="equal">
      <formula>"Activa"</formula>
    </cfRule>
  </conditionalFormatting>
  <conditionalFormatting sqref="J504">
    <cfRule type="cellIs" priority="1300" operator="equal">
      <formula>"$"</formula>
    </cfRule>
  </conditionalFormatting>
  <conditionalFormatting sqref="K504">
    <cfRule type="cellIs" priority="1301" operator="equal">
      <formula>"Nuevo"</formula>
    </cfRule>
  </conditionalFormatting>
  <conditionalFormatting sqref="L504">
    <cfRule type="cellIs" priority="1302" operator="equal">
      <formula>"Mercado Envíos gratis"</formula>
    </cfRule>
  </conditionalFormatting>
  <conditionalFormatting sqref="M504">
    <cfRule type="cellIs" priority="1303" operator="equal">
      <formula>"Clásica"</formula>
    </cfRule>
  </conditionalFormatting>
  <conditionalFormatting sqref="O504">
    <cfRule type="cellIs" priority="1304" operator="equal">
      <formula>"Activa"</formula>
    </cfRule>
  </conditionalFormatting>
  <conditionalFormatting sqref="J507">
    <cfRule type="cellIs" priority="1305" operator="equal">
      <formula>"$"</formula>
    </cfRule>
  </conditionalFormatting>
  <conditionalFormatting sqref="K507">
    <cfRule type="cellIs" priority="1306" operator="equal">
      <formula>"Nuevo"</formula>
    </cfRule>
  </conditionalFormatting>
  <conditionalFormatting sqref="L507">
    <cfRule type="cellIs" priority="1307" operator="equal">
      <formula>"Mercado Envíos gratis"</formula>
    </cfRule>
  </conditionalFormatting>
  <conditionalFormatting sqref="M507">
    <cfRule type="cellIs" priority="1308" operator="equal">
      <formula>"Clásica"</formula>
    </cfRule>
  </conditionalFormatting>
  <conditionalFormatting sqref="O507">
    <cfRule type="cellIs" priority="1309" operator="equal">
      <formula>"Activa"</formula>
    </cfRule>
  </conditionalFormatting>
  <conditionalFormatting sqref="J508">
    <cfRule type="cellIs" priority="1310" operator="equal">
      <formula>"$"</formula>
    </cfRule>
  </conditionalFormatting>
  <conditionalFormatting sqref="K508">
    <cfRule type="cellIs" priority="1311" operator="equal">
      <formula>"Nuevo"</formula>
    </cfRule>
  </conditionalFormatting>
  <conditionalFormatting sqref="L508">
    <cfRule type="cellIs" priority="1312" operator="equal">
      <formula>"Mercado Envíos gratis"</formula>
    </cfRule>
  </conditionalFormatting>
  <conditionalFormatting sqref="M508">
    <cfRule type="cellIs" priority="1313" operator="equal">
      <formula>"Clásica"</formula>
    </cfRule>
  </conditionalFormatting>
  <conditionalFormatting sqref="O508">
    <cfRule type="cellIs" priority="1314" operator="equal">
      <formula>"Activa"</formula>
    </cfRule>
  </conditionalFormatting>
  <conditionalFormatting sqref="J509">
    <cfRule type="cellIs" priority="1315" operator="equal">
      <formula>"$"</formula>
    </cfRule>
  </conditionalFormatting>
  <conditionalFormatting sqref="K509">
    <cfRule type="cellIs" priority="1316" operator="equal">
      <formula>"Nuevo"</formula>
    </cfRule>
  </conditionalFormatting>
  <conditionalFormatting sqref="L509">
    <cfRule type="cellIs" priority="1317" operator="equal">
      <formula>"Mercado Envíos gratis"</formula>
    </cfRule>
  </conditionalFormatting>
  <conditionalFormatting sqref="M509">
    <cfRule type="cellIs" priority="1318" operator="equal">
      <formula>"Premium"</formula>
    </cfRule>
  </conditionalFormatting>
  <conditionalFormatting sqref="O509">
    <cfRule type="cellIs" priority="1319" operator="equal">
      <formula>"Activa"</formula>
    </cfRule>
  </conditionalFormatting>
  <conditionalFormatting sqref="J510">
    <cfRule type="cellIs" priority="1320" operator="equal">
      <formula>"$"</formula>
    </cfRule>
  </conditionalFormatting>
  <conditionalFormatting sqref="K510">
    <cfRule type="cellIs" priority="1321" operator="equal">
      <formula>"Nuevo"</formula>
    </cfRule>
  </conditionalFormatting>
  <conditionalFormatting sqref="L510">
    <cfRule type="cellIs" priority="1322" operator="equal">
      <formula>"Mercado Envíos gratis"</formula>
    </cfRule>
  </conditionalFormatting>
  <conditionalFormatting sqref="M510">
    <cfRule type="cellIs" priority="1323" operator="equal">
      <formula>"Clásica"</formula>
    </cfRule>
  </conditionalFormatting>
  <conditionalFormatting sqref="O510">
    <cfRule type="cellIs" priority="1324" operator="equal">
      <formula>"Activa"</formula>
    </cfRule>
  </conditionalFormatting>
  <conditionalFormatting sqref="J511">
    <cfRule type="cellIs" priority="1325" operator="equal">
      <formula>"$"</formula>
    </cfRule>
  </conditionalFormatting>
  <conditionalFormatting sqref="K511">
    <cfRule type="cellIs" priority="1326" operator="equal">
      <formula>"Nuevo"</formula>
    </cfRule>
  </conditionalFormatting>
  <conditionalFormatting sqref="L511">
    <cfRule type="cellIs" priority="1327" operator="equal">
      <formula>"Mercado Envíos gratis"</formula>
    </cfRule>
  </conditionalFormatting>
  <conditionalFormatting sqref="M511">
    <cfRule type="cellIs" priority="1328" operator="equal">
      <formula>"Clásica"</formula>
    </cfRule>
  </conditionalFormatting>
  <conditionalFormatting sqref="O511">
    <cfRule type="cellIs" priority="1329" operator="equal">
      <formula>"Activa"</formula>
    </cfRule>
  </conditionalFormatting>
  <conditionalFormatting sqref="J512">
    <cfRule type="cellIs" priority="1330" operator="equal">
      <formula>"$"</formula>
    </cfRule>
  </conditionalFormatting>
  <conditionalFormatting sqref="K512">
    <cfRule type="cellIs" priority="1331" operator="equal">
      <formula>"Nuevo"</formula>
    </cfRule>
  </conditionalFormatting>
  <conditionalFormatting sqref="L512">
    <cfRule type="cellIs" priority="1332" operator="equal">
      <formula>"Mercado Envíos gratis"</formula>
    </cfRule>
  </conditionalFormatting>
  <conditionalFormatting sqref="M512">
    <cfRule type="cellIs" priority="1333" operator="equal">
      <formula>"Clásica"</formula>
    </cfRule>
  </conditionalFormatting>
  <conditionalFormatting sqref="O512">
    <cfRule type="cellIs" priority="1334" operator="equal">
      <formula>"Activa"</formula>
    </cfRule>
  </conditionalFormatting>
  <conditionalFormatting sqref="J513">
    <cfRule type="cellIs" priority="1335" operator="equal">
      <formula>"$"</formula>
    </cfRule>
  </conditionalFormatting>
  <conditionalFormatting sqref="K513">
    <cfRule type="cellIs" priority="1336" operator="equal">
      <formula>"Nuevo"</formula>
    </cfRule>
  </conditionalFormatting>
  <conditionalFormatting sqref="L513">
    <cfRule type="cellIs" priority="1337" operator="equal">
      <formula>"Mercado Envíos gratis"</formula>
    </cfRule>
  </conditionalFormatting>
  <conditionalFormatting sqref="M513">
    <cfRule type="cellIs" priority="1338" operator="equal">
      <formula>"Clásica"</formula>
    </cfRule>
  </conditionalFormatting>
  <conditionalFormatting sqref="O513">
    <cfRule type="cellIs" priority="1339" operator="equal">
      <formula>"Activa"</formula>
    </cfRule>
  </conditionalFormatting>
  <conditionalFormatting sqref="J514">
    <cfRule type="cellIs" priority="1340" operator="equal">
      <formula>"$"</formula>
    </cfRule>
  </conditionalFormatting>
  <conditionalFormatting sqref="K514">
    <cfRule type="cellIs" priority="1341" operator="equal">
      <formula>"Nuevo"</formula>
    </cfRule>
  </conditionalFormatting>
  <conditionalFormatting sqref="L514">
    <cfRule type="cellIs" priority="1342" operator="equal">
      <formula>"Mercado Envíos gratis"</formula>
    </cfRule>
  </conditionalFormatting>
  <conditionalFormatting sqref="M514">
    <cfRule type="cellIs" priority="1343" operator="equal">
      <formula>"Clásica"</formula>
    </cfRule>
  </conditionalFormatting>
  <conditionalFormatting sqref="O514">
    <cfRule type="cellIs" priority="1344" operator="equal">
      <formula>"Activa"</formula>
    </cfRule>
  </conditionalFormatting>
  <conditionalFormatting sqref="J515">
    <cfRule type="cellIs" priority="1345" operator="equal">
      <formula>"$"</formula>
    </cfRule>
  </conditionalFormatting>
  <conditionalFormatting sqref="K515">
    <cfRule type="cellIs" priority="1346" operator="equal">
      <formula>"Nuevo"</formula>
    </cfRule>
  </conditionalFormatting>
  <conditionalFormatting sqref="L515">
    <cfRule type="cellIs" priority="1347" operator="equal">
      <formula>"Mercado Envíos gratis"</formula>
    </cfRule>
  </conditionalFormatting>
  <conditionalFormatting sqref="M515">
    <cfRule type="cellIs" priority="1348" operator="equal">
      <formula>"Clásica"</formula>
    </cfRule>
  </conditionalFormatting>
  <conditionalFormatting sqref="O515">
    <cfRule type="cellIs" priority="1349" operator="equal">
      <formula>"Activa"</formula>
    </cfRule>
  </conditionalFormatting>
  <conditionalFormatting sqref="J516">
    <cfRule type="cellIs" priority="1350" operator="equal">
      <formula>"$"</formula>
    </cfRule>
  </conditionalFormatting>
  <conditionalFormatting sqref="K516">
    <cfRule type="cellIs" priority="1351" operator="equal">
      <formula>"Nuevo"</formula>
    </cfRule>
  </conditionalFormatting>
  <conditionalFormatting sqref="L516">
    <cfRule type="cellIs" priority="1352" operator="equal">
      <formula>"Mercado Envíos gratis"</formula>
    </cfRule>
  </conditionalFormatting>
  <conditionalFormatting sqref="M516">
    <cfRule type="cellIs" priority="1353" operator="equal">
      <formula>"Clásica"</formula>
    </cfRule>
  </conditionalFormatting>
  <conditionalFormatting sqref="O516">
    <cfRule type="cellIs" priority="1354" operator="equal">
      <formula>"Activa"</formula>
    </cfRule>
  </conditionalFormatting>
  <conditionalFormatting sqref="J517">
    <cfRule type="cellIs" priority="1355" operator="equal">
      <formula>"$"</formula>
    </cfRule>
  </conditionalFormatting>
  <conditionalFormatting sqref="K517">
    <cfRule type="cellIs" priority="1356" operator="equal">
      <formula>"Nuevo"</formula>
    </cfRule>
  </conditionalFormatting>
  <conditionalFormatting sqref="L517">
    <cfRule type="cellIs" priority="1357" operator="equal">
      <formula>"Mercado Envíos gratis"</formula>
    </cfRule>
  </conditionalFormatting>
  <conditionalFormatting sqref="M517">
    <cfRule type="cellIs" priority="1358" operator="equal">
      <formula>"Clásica"</formula>
    </cfRule>
  </conditionalFormatting>
  <conditionalFormatting sqref="O517">
    <cfRule type="cellIs" priority="1359" operator="equal">
      <formula>"Activa"</formula>
    </cfRule>
  </conditionalFormatting>
  <conditionalFormatting sqref="J518">
    <cfRule type="cellIs" priority="1360" operator="equal">
      <formula>"$"</formula>
    </cfRule>
  </conditionalFormatting>
  <conditionalFormatting sqref="K518">
    <cfRule type="cellIs" priority="1361" operator="equal">
      <formula>"Nuevo"</formula>
    </cfRule>
  </conditionalFormatting>
  <conditionalFormatting sqref="L518">
    <cfRule type="cellIs" priority="1362" operator="equal">
      <formula>"Mercado Envíos gratis"</formula>
    </cfRule>
  </conditionalFormatting>
  <conditionalFormatting sqref="M518">
    <cfRule type="cellIs" priority="1363" operator="equal">
      <formula>"Clásica"</formula>
    </cfRule>
  </conditionalFormatting>
  <conditionalFormatting sqref="O518">
    <cfRule type="cellIs" priority="1364" operator="equal">
      <formula>"Activa"</formula>
    </cfRule>
  </conditionalFormatting>
  <conditionalFormatting sqref="J522">
    <cfRule type="cellIs" priority="1365" operator="equal">
      <formula>"$"</formula>
    </cfRule>
  </conditionalFormatting>
  <conditionalFormatting sqref="K522">
    <cfRule type="cellIs" priority="1366" operator="equal">
      <formula>"Nuevo"</formula>
    </cfRule>
  </conditionalFormatting>
  <conditionalFormatting sqref="L522">
    <cfRule type="cellIs" priority="1367" operator="equal">
      <formula>"Mercado Envíos gratis"</formula>
    </cfRule>
  </conditionalFormatting>
  <conditionalFormatting sqref="M522">
    <cfRule type="cellIs" priority="1368" operator="equal">
      <formula>"Clásica"</formula>
    </cfRule>
  </conditionalFormatting>
  <conditionalFormatting sqref="O522">
    <cfRule type="cellIs" priority="1369" operator="equal">
      <formula>"Activa"</formula>
    </cfRule>
  </conditionalFormatting>
  <conditionalFormatting sqref="J523">
    <cfRule type="cellIs" priority="1370" operator="equal">
      <formula>"$"</formula>
    </cfRule>
  </conditionalFormatting>
  <conditionalFormatting sqref="K523">
    <cfRule type="cellIs" priority="1371" operator="equal">
      <formula>"Nuevo"</formula>
    </cfRule>
  </conditionalFormatting>
  <conditionalFormatting sqref="L523">
    <cfRule type="cellIs" priority="1372" operator="equal">
      <formula>"Mercado Envíos gratis"</formula>
    </cfRule>
  </conditionalFormatting>
  <conditionalFormatting sqref="M523">
    <cfRule type="cellIs" priority="1373" operator="equal">
      <formula>"Clásica"</formula>
    </cfRule>
  </conditionalFormatting>
  <conditionalFormatting sqref="O523">
    <cfRule type="cellIs" priority="1374" operator="equal">
      <formula>"Activa"</formula>
    </cfRule>
  </conditionalFormatting>
  <conditionalFormatting sqref="J524">
    <cfRule type="cellIs" priority="1375" operator="equal">
      <formula>"$"</formula>
    </cfRule>
  </conditionalFormatting>
  <conditionalFormatting sqref="K524">
    <cfRule type="cellIs" priority="1376" operator="equal">
      <formula>"Nuevo"</formula>
    </cfRule>
  </conditionalFormatting>
  <conditionalFormatting sqref="L524">
    <cfRule type="cellIs" priority="1377" operator="equal">
      <formula>"Mercado Envíos gratis"</formula>
    </cfRule>
  </conditionalFormatting>
  <conditionalFormatting sqref="M524">
    <cfRule type="cellIs" priority="1378" operator="equal">
      <formula>"Clásica"</formula>
    </cfRule>
  </conditionalFormatting>
  <conditionalFormatting sqref="O524">
    <cfRule type="cellIs" priority="1379" operator="equal">
      <formula>"Activa"</formula>
    </cfRule>
  </conditionalFormatting>
  <conditionalFormatting sqref="J525">
    <cfRule type="cellIs" priority="1380" operator="equal">
      <formula>"$"</formula>
    </cfRule>
  </conditionalFormatting>
  <conditionalFormatting sqref="K525">
    <cfRule type="cellIs" priority="1381" operator="equal">
      <formula>"Nuevo"</formula>
    </cfRule>
  </conditionalFormatting>
  <conditionalFormatting sqref="L525">
    <cfRule type="cellIs" priority="1382" operator="equal">
      <formula>"Mercado Envíos gratis"</formula>
    </cfRule>
  </conditionalFormatting>
  <conditionalFormatting sqref="M525">
    <cfRule type="cellIs" priority="1383" operator="equal">
      <formula>"Clásica"</formula>
    </cfRule>
  </conditionalFormatting>
  <conditionalFormatting sqref="O525">
    <cfRule type="cellIs" priority="1384" operator="equal">
      <formula>"Activa"</formula>
    </cfRule>
  </conditionalFormatting>
  <conditionalFormatting sqref="J526">
    <cfRule type="cellIs" priority="1385" operator="equal">
      <formula>"$"</formula>
    </cfRule>
  </conditionalFormatting>
  <conditionalFormatting sqref="K526">
    <cfRule type="cellIs" priority="1386" operator="equal">
      <formula>"Nuevo"</formula>
    </cfRule>
  </conditionalFormatting>
  <conditionalFormatting sqref="L526">
    <cfRule type="cellIs" priority="1387" operator="equal">
      <formula>"Mercado Envíos gratis"</formula>
    </cfRule>
  </conditionalFormatting>
  <conditionalFormatting sqref="M526">
    <cfRule type="cellIs" priority="1388" operator="equal">
      <formula>"Clásica"</formula>
    </cfRule>
  </conditionalFormatting>
  <conditionalFormatting sqref="O526">
    <cfRule type="cellIs" priority="1389" operator="equal">
      <formula>"Activa"</formula>
    </cfRule>
  </conditionalFormatting>
  <conditionalFormatting sqref="J527">
    <cfRule type="cellIs" priority="1390" operator="equal">
      <formula>"$"</formula>
    </cfRule>
  </conditionalFormatting>
  <conditionalFormatting sqref="K527">
    <cfRule type="cellIs" priority="1391" operator="equal">
      <formula>"Nuevo"</formula>
    </cfRule>
  </conditionalFormatting>
  <conditionalFormatting sqref="L527">
    <cfRule type="cellIs" priority="1392" operator="equal">
      <formula>"Mercado Envíos gratis"</formula>
    </cfRule>
  </conditionalFormatting>
  <conditionalFormatting sqref="M527">
    <cfRule type="cellIs" priority="1393" operator="equal">
      <formula>"Clásica"</formula>
    </cfRule>
  </conditionalFormatting>
  <conditionalFormatting sqref="O527">
    <cfRule type="cellIs" priority="1394" operator="equal">
      <formula>"Activa"</formula>
    </cfRule>
  </conditionalFormatting>
  <conditionalFormatting sqref="J528">
    <cfRule type="cellIs" priority="1395" operator="equal">
      <formula>"$"</formula>
    </cfRule>
  </conditionalFormatting>
  <conditionalFormatting sqref="K528">
    <cfRule type="cellIs" priority="1396" operator="equal">
      <formula>"Nuevo"</formula>
    </cfRule>
  </conditionalFormatting>
  <conditionalFormatting sqref="L528">
    <cfRule type="cellIs" priority="1397" operator="equal">
      <formula>"Mercado Envíos gratis"</formula>
    </cfRule>
  </conditionalFormatting>
  <conditionalFormatting sqref="M528">
    <cfRule type="cellIs" priority="1398" operator="equal">
      <formula>"Clásica"</formula>
    </cfRule>
  </conditionalFormatting>
  <conditionalFormatting sqref="O528">
    <cfRule type="cellIs" priority="1399" operator="equal">
      <formula>"Activa"</formula>
    </cfRule>
  </conditionalFormatting>
  <conditionalFormatting sqref="J529">
    <cfRule type="cellIs" priority="1400" operator="equal">
      <formula>"$"</formula>
    </cfRule>
  </conditionalFormatting>
  <conditionalFormatting sqref="K529">
    <cfRule type="cellIs" priority="1401" operator="equal">
      <formula>"Nuevo"</formula>
    </cfRule>
  </conditionalFormatting>
  <conditionalFormatting sqref="L529">
    <cfRule type="cellIs" priority="1402" operator="equal">
      <formula>"Mercado Envíos gratis"</formula>
    </cfRule>
  </conditionalFormatting>
  <conditionalFormatting sqref="M529">
    <cfRule type="cellIs" priority="1403" operator="equal">
      <formula>"Clásica"</formula>
    </cfRule>
  </conditionalFormatting>
  <conditionalFormatting sqref="O529">
    <cfRule type="cellIs" priority="1404" operator="equal">
      <formula>"Activa"</formula>
    </cfRule>
  </conditionalFormatting>
  <conditionalFormatting sqref="J530">
    <cfRule type="cellIs" priority="1405" operator="equal">
      <formula>"$"</formula>
    </cfRule>
  </conditionalFormatting>
  <conditionalFormatting sqref="K530">
    <cfRule type="cellIs" priority="1406" operator="equal">
      <formula>"Nuevo"</formula>
    </cfRule>
  </conditionalFormatting>
  <conditionalFormatting sqref="L530">
    <cfRule type="cellIs" priority="1407" operator="equal">
      <formula>"Mercado Envíos gratis"</formula>
    </cfRule>
  </conditionalFormatting>
  <conditionalFormatting sqref="M530">
    <cfRule type="cellIs" priority="1408" operator="equal">
      <formula>"Clásica"</formula>
    </cfRule>
  </conditionalFormatting>
  <conditionalFormatting sqref="O530">
    <cfRule type="cellIs" priority="1409" operator="equal">
      <formula>"Activa"</formula>
    </cfRule>
  </conditionalFormatting>
  <conditionalFormatting sqref="J531">
    <cfRule type="cellIs" priority="1410" operator="equal">
      <formula>"$"</formula>
    </cfRule>
  </conditionalFormatting>
  <conditionalFormatting sqref="K531">
    <cfRule type="cellIs" priority="1411" operator="equal">
      <formula>"Nuevo"</formula>
    </cfRule>
  </conditionalFormatting>
  <conditionalFormatting sqref="L531">
    <cfRule type="cellIs" priority="1412" operator="equal">
      <formula>"Mercado Envíos gratis"</formula>
    </cfRule>
  </conditionalFormatting>
  <conditionalFormatting sqref="M531">
    <cfRule type="cellIs" priority="1413" operator="equal">
      <formula>"Clásica"</formula>
    </cfRule>
  </conditionalFormatting>
  <conditionalFormatting sqref="O531">
    <cfRule type="cellIs" priority="1414" operator="equal">
      <formula>"Activa"</formula>
    </cfRule>
  </conditionalFormatting>
  <conditionalFormatting sqref="J532">
    <cfRule type="cellIs" priority="1415" operator="equal">
      <formula>"$"</formula>
    </cfRule>
  </conditionalFormatting>
  <conditionalFormatting sqref="K532">
    <cfRule type="cellIs" priority="1416" operator="equal">
      <formula>"Nuevo"</formula>
    </cfRule>
  </conditionalFormatting>
  <conditionalFormatting sqref="L532">
    <cfRule type="cellIs" priority="1417" operator="equal">
      <formula>"Mercado Envíos gratis"</formula>
    </cfRule>
  </conditionalFormatting>
  <conditionalFormatting sqref="M532">
    <cfRule type="cellIs" priority="1418" operator="equal">
      <formula>"Clásica"</formula>
    </cfRule>
  </conditionalFormatting>
  <conditionalFormatting sqref="O532">
    <cfRule type="cellIs" priority="1419" operator="equal">
      <formula>"Activa"</formula>
    </cfRule>
  </conditionalFormatting>
  <conditionalFormatting sqref="J533">
    <cfRule type="cellIs" priority="1420" operator="equal">
      <formula>"$"</formula>
    </cfRule>
  </conditionalFormatting>
  <conditionalFormatting sqref="K533">
    <cfRule type="cellIs" priority="1421" operator="equal">
      <formula>"Nuevo"</formula>
    </cfRule>
  </conditionalFormatting>
  <conditionalFormatting sqref="L533">
    <cfRule type="cellIs" priority="1422" operator="equal">
      <formula>"Mercado Envíos gratis"</formula>
    </cfRule>
  </conditionalFormatting>
  <conditionalFormatting sqref="M533">
    <cfRule type="cellIs" priority="1423" operator="equal">
      <formula>"Clásica"</formula>
    </cfRule>
  </conditionalFormatting>
  <conditionalFormatting sqref="O533">
    <cfRule type="cellIs" priority="1424" operator="equal">
      <formula>"Activa"</formula>
    </cfRule>
  </conditionalFormatting>
  <conditionalFormatting sqref="J534">
    <cfRule type="cellIs" priority="1425" operator="equal">
      <formula>"$"</formula>
    </cfRule>
  </conditionalFormatting>
  <conditionalFormatting sqref="K534">
    <cfRule type="cellIs" priority="1426" operator="equal">
      <formula>"Nuevo"</formula>
    </cfRule>
  </conditionalFormatting>
  <conditionalFormatting sqref="L534">
    <cfRule type="cellIs" priority="1427" operator="equal">
      <formula>"Mercado Envíos gratis"</formula>
    </cfRule>
  </conditionalFormatting>
  <conditionalFormatting sqref="M534">
    <cfRule type="cellIs" priority="1428" operator="equal">
      <formula>"Clásica"</formula>
    </cfRule>
  </conditionalFormatting>
  <conditionalFormatting sqref="O534">
    <cfRule type="cellIs" priority="1429" operator="equal">
      <formula>"Activa"</formula>
    </cfRule>
  </conditionalFormatting>
  <conditionalFormatting sqref="J535">
    <cfRule type="cellIs" priority="1430" operator="equal">
      <formula>"$"</formula>
    </cfRule>
  </conditionalFormatting>
  <conditionalFormatting sqref="K535">
    <cfRule type="cellIs" priority="1431" operator="equal">
      <formula>"Nuevo"</formula>
    </cfRule>
  </conditionalFormatting>
  <conditionalFormatting sqref="L535">
    <cfRule type="cellIs" priority="1432" operator="equal">
      <formula>"Mercado Envíos gratis"</formula>
    </cfRule>
  </conditionalFormatting>
  <conditionalFormatting sqref="M535">
    <cfRule type="cellIs" priority="1433" operator="equal">
      <formula>"Clásica"</formula>
    </cfRule>
  </conditionalFormatting>
  <conditionalFormatting sqref="O535">
    <cfRule type="cellIs" priority="1434" operator="equal">
      <formula>"Activa"</formula>
    </cfRule>
  </conditionalFormatting>
  <conditionalFormatting sqref="J536">
    <cfRule type="cellIs" priority="1435" operator="equal">
      <formula>"$"</formula>
    </cfRule>
  </conditionalFormatting>
  <conditionalFormatting sqref="K536">
    <cfRule type="cellIs" priority="1436" operator="equal">
      <formula>"Nuevo"</formula>
    </cfRule>
  </conditionalFormatting>
  <conditionalFormatting sqref="L536">
    <cfRule type="cellIs" priority="1437" operator="equal">
      <formula>"Mercado Envíos gratis"</formula>
    </cfRule>
  </conditionalFormatting>
  <conditionalFormatting sqref="M536">
    <cfRule type="cellIs" priority="1438" operator="equal">
      <formula>"Clásica"</formula>
    </cfRule>
  </conditionalFormatting>
  <conditionalFormatting sqref="O536">
    <cfRule type="cellIs" priority="1439" operator="equal">
      <formula>"Activa"</formula>
    </cfRule>
  </conditionalFormatting>
  <conditionalFormatting sqref="J537">
    <cfRule type="cellIs" priority="1440" operator="equal">
      <formula>"$"</formula>
    </cfRule>
  </conditionalFormatting>
  <conditionalFormatting sqref="K537">
    <cfRule type="cellIs" priority="1441" operator="equal">
      <formula>"Nuevo"</formula>
    </cfRule>
  </conditionalFormatting>
  <conditionalFormatting sqref="L537">
    <cfRule type="cellIs" priority="1442" operator="equal">
      <formula>"Mercado Envíos gratis"</formula>
    </cfRule>
  </conditionalFormatting>
  <conditionalFormatting sqref="M537">
    <cfRule type="cellIs" priority="1443" operator="equal">
      <formula>"Clásica"</formula>
    </cfRule>
  </conditionalFormatting>
  <conditionalFormatting sqref="O537">
    <cfRule type="cellIs" priority="1444" operator="equal">
      <formula>"Activa"</formula>
    </cfRule>
  </conditionalFormatting>
  <conditionalFormatting sqref="J538">
    <cfRule type="cellIs" priority="1445" operator="equal">
      <formula>"$"</formula>
    </cfRule>
  </conditionalFormatting>
  <conditionalFormatting sqref="K538">
    <cfRule type="cellIs" priority="1446" operator="equal">
      <formula>"Nuevo"</formula>
    </cfRule>
  </conditionalFormatting>
  <conditionalFormatting sqref="L538">
    <cfRule type="cellIs" priority="1447" operator="equal">
      <formula>"Mercado Envíos gratis"</formula>
    </cfRule>
  </conditionalFormatting>
  <conditionalFormatting sqref="M538">
    <cfRule type="cellIs" priority="1448" operator="equal">
      <formula>"Clásica"</formula>
    </cfRule>
  </conditionalFormatting>
  <conditionalFormatting sqref="O538">
    <cfRule type="cellIs" priority="1449" operator="equal">
      <formula>"Activa"</formula>
    </cfRule>
  </conditionalFormatting>
  <conditionalFormatting sqref="J539">
    <cfRule type="cellIs" priority="1450" operator="equal">
      <formula>"$"</formula>
    </cfRule>
  </conditionalFormatting>
  <conditionalFormatting sqref="K539">
    <cfRule type="cellIs" priority="1451" operator="equal">
      <formula>"Nuevo"</formula>
    </cfRule>
  </conditionalFormatting>
  <conditionalFormatting sqref="L539">
    <cfRule type="cellIs" priority="1452" operator="equal">
      <formula>"Mercado Envíos a cargo del comprador"</formula>
    </cfRule>
  </conditionalFormatting>
  <conditionalFormatting sqref="M539">
    <cfRule type="cellIs" priority="1453" operator="equal">
      <formula>"Clásica"</formula>
    </cfRule>
  </conditionalFormatting>
  <conditionalFormatting sqref="O539">
    <cfRule type="cellIs" priority="1454" operator="equal">
      <formula>"Activa"</formula>
    </cfRule>
  </conditionalFormatting>
  <conditionalFormatting sqref="J540">
    <cfRule type="cellIs" priority="1455" operator="equal">
      <formula>"$"</formula>
    </cfRule>
  </conditionalFormatting>
  <conditionalFormatting sqref="K540">
    <cfRule type="cellIs" priority="1456" operator="equal">
      <formula>"Nuevo"</formula>
    </cfRule>
  </conditionalFormatting>
  <conditionalFormatting sqref="L540">
    <cfRule type="cellIs" priority="1457" operator="equal">
      <formula>"Mercado Envíos a cargo del comprador"</formula>
    </cfRule>
  </conditionalFormatting>
  <conditionalFormatting sqref="M540">
    <cfRule type="cellIs" priority="1458" operator="equal">
      <formula>"Clásica"</formula>
    </cfRule>
  </conditionalFormatting>
  <conditionalFormatting sqref="O540">
    <cfRule type="cellIs" priority="1459" operator="equal">
      <formula>"Activa"</formula>
    </cfRule>
  </conditionalFormatting>
  <conditionalFormatting sqref="J541">
    <cfRule type="cellIs" priority="1460" operator="equal">
      <formula>"$"</formula>
    </cfRule>
  </conditionalFormatting>
  <conditionalFormatting sqref="K541">
    <cfRule type="cellIs" priority="1461" operator="equal">
      <formula>"Nuevo"</formula>
    </cfRule>
  </conditionalFormatting>
  <conditionalFormatting sqref="L541">
    <cfRule type="cellIs" priority="1462" operator="equal">
      <formula>"Mercado Envíos gratis"</formula>
    </cfRule>
  </conditionalFormatting>
  <conditionalFormatting sqref="M541">
    <cfRule type="cellIs" priority="1463" operator="equal">
      <formula>"Clásica"</formula>
    </cfRule>
  </conditionalFormatting>
  <conditionalFormatting sqref="O541">
    <cfRule type="cellIs" priority="1464" operator="equal">
      <formula>"Activa"</formula>
    </cfRule>
  </conditionalFormatting>
  <conditionalFormatting sqref="J542">
    <cfRule type="cellIs" priority="1465" operator="equal">
      <formula>"$"</formula>
    </cfRule>
  </conditionalFormatting>
  <conditionalFormatting sqref="K542">
    <cfRule type="cellIs" priority="1466" operator="equal">
      <formula>"Nuevo"</formula>
    </cfRule>
  </conditionalFormatting>
  <conditionalFormatting sqref="L542">
    <cfRule type="cellIs" priority="1467" operator="equal">
      <formula>"Mercado Envíos gratis"</formula>
    </cfRule>
  </conditionalFormatting>
  <conditionalFormatting sqref="M542">
    <cfRule type="cellIs" priority="1468" operator="equal">
      <formula>"Clásica"</formula>
    </cfRule>
  </conditionalFormatting>
  <conditionalFormatting sqref="O542">
    <cfRule type="cellIs" priority="1469" operator="equal">
      <formula>"Activa"</formula>
    </cfRule>
  </conditionalFormatting>
  <conditionalFormatting sqref="J543">
    <cfRule type="cellIs" priority="1470" operator="equal">
      <formula>"$"</formula>
    </cfRule>
  </conditionalFormatting>
  <conditionalFormatting sqref="K543">
    <cfRule type="cellIs" priority="1471" operator="equal">
      <formula>"Nuevo"</formula>
    </cfRule>
  </conditionalFormatting>
  <conditionalFormatting sqref="L543">
    <cfRule type="cellIs" priority="1472" operator="equal">
      <formula>"Mercado Envíos gratis"</formula>
    </cfRule>
  </conditionalFormatting>
  <conditionalFormatting sqref="M543">
    <cfRule type="cellIs" priority="1473" operator="equal">
      <formula>"Clásica"</formula>
    </cfRule>
  </conditionalFormatting>
  <conditionalFormatting sqref="O543">
    <cfRule type="cellIs" priority="1474" operator="equal">
      <formula>"Activa"</formula>
    </cfRule>
  </conditionalFormatting>
  <conditionalFormatting sqref="J544">
    <cfRule type="cellIs" priority="1475" operator="equal">
      <formula>"$"</formula>
    </cfRule>
  </conditionalFormatting>
  <conditionalFormatting sqref="K544">
    <cfRule type="cellIs" priority="1476" operator="equal">
      <formula>"Nuevo"</formula>
    </cfRule>
  </conditionalFormatting>
  <conditionalFormatting sqref="L544">
    <cfRule type="cellIs" priority="1477" operator="equal">
      <formula>"Mercado Envíos gratis"</formula>
    </cfRule>
  </conditionalFormatting>
  <conditionalFormatting sqref="M544">
    <cfRule type="cellIs" priority="1478" operator="equal">
      <formula>"Clásica"</formula>
    </cfRule>
  </conditionalFormatting>
  <conditionalFormatting sqref="O544">
    <cfRule type="cellIs" priority="1479" operator="equal">
      <formula>"Activa"</formula>
    </cfRule>
  </conditionalFormatting>
  <conditionalFormatting sqref="J545">
    <cfRule type="cellIs" priority="1480" operator="equal">
      <formula>"$"</formula>
    </cfRule>
  </conditionalFormatting>
  <conditionalFormatting sqref="K545">
    <cfRule type="cellIs" priority="1481" operator="equal">
      <formula>"Nuevo"</formula>
    </cfRule>
  </conditionalFormatting>
  <conditionalFormatting sqref="M545">
    <cfRule type="cellIs" priority="1482" operator="equal">
      <formula>"Clásica"</formula>
    </cfRule>
  </conditionalFormatting>
  <conditionalFormatting sqref="O545">
    <cfRule type="cellIs" priority="1483" operator="equal">
      <formula>"Activa"</formula>
    </cfRule>
  </conditionalFormatting>
  <conditionalFormatting sqref="J548">
    <cfRule type="cellIs" priority="1484" operator="equal">
      <formula>"$"</formula>
    </cfRule>
  </conditionalFormatting>
  <conditionalFormatting sqref="K548">
    <cfRule type="cellIs" priority="1485" operator="equal">
      <formula>"Nuevo"</formula>
    </cfRule>
  </conditionalFormatting>
  <conditionalFormatting sqref="L548">
    <cfRule type="cellIs" priority="1486" operator="equal">
      <formula>"Mercado Envíos gratis"</formula>
    </cfRule>
  </conditionalFormatting>
  <conditionalFormatting sqref="M548">
    <cfRule type="cellIs" priority="1487" operator="equal">
      <formula>"Clásica"</formula>
    </cfRule>
  </conditionalFormatting>
  <conditionalFormatting sqref="O548">
    <cfRule type="cellIs" priority="1488" operator="equal">
      <formula>"Activa"</formula>
    </cfRule>
  </conditionalFormatting>
  <conditionalFormatting sqref="J549">
    <cfRule type="cellIs" priority="1489" operator="equal">
      <formula>"$"</formula>
    </cfRule>
  </conditionalFormatting>
  <conditionalFormatting sqref="K549">
    <cfRule type="cellIs" priority="1490" operator="equal">
      <formula>"Nuevo"</formula>
    </cfRule>
  </conditionalFormatting>
  <conditionalFormatting sqref="L549">
    <cfRule type="cellIs" priority="1491" operator="equal">
      <formula>"Mercado Envíos gratis"</formula>
    </cfRule>
  </conditionalFormatting>
  <conditionalFormatting sqref="M549">
    <cfRule type="cellIs" priority="1492" operator="equal">
      <formula>"Clásica"</formula>
    </cfRule>
  </conditionalFormatting>
  <conditionalFormatting sqref="O549">
    <cfRule type="cellIs" priority="1493" operator="equal">
      <formula>"Activa"</formula>
    </cfRule>
  </conditionalFormatting>
  <conditionalFormatting sqref="J550">
    <cfRule type="cellIs" priority="1494" operator="equal">
      <formula>"$"</formula>
    </cfRule>
  </conditionalFormatting>
  <conditionalFormatting sqref="K550">
    <cfRule type="cellIs" priority="1495" operator="equal">
      <formula>"Nuevo"</formula>
    </cfRule>
  </conditionalFormatting>
  <conditionalFormatting sqref="L550">
    <cfRule type="cellIs" priority="1496" operator="equal">
      <formula>"Mercado Envíos gratis"</formula>
    </cfRule>
  </conditionalFormatting>
  <conditionalFormatting sqref="M550">
    <cfRule type="cellIs" priority="1497" operator="equal">
      <formula>"Clásica"</formula>
    </cfRule>
  </conditionalFormatting>
  <conditionalFormatting sqref="O550">
    <cfRule type="cellIs" priority="1498" operator="equal">
      <formula>"Activa"</formula>
    </cfRule>
  </conditionalFormatting>
  <conditionalFormatting sqref="J551">
    <cfRule type="cellIs" priority="1499" operator="equal">
      <formula>"$"</formula>
    </cfRule>
  </conditionalFormatting>
  <conditionalFormatting sqref="K551">
    <cfRule type="cellIs" priority="1500" operator="equal">
      <formula>"Nuevo"</formula>
    </cfRule>
  </conditionalFormatting>
  <conditionalFormatting sqref="L551">
    <cfRule type="cellIs" priority="1501" operator="equal">
      <formula>"Mercado Envíos gratis"</formula>
    </cfRule>
  </conditionalFormatting>
  <conditionalFormatting sqref="M551">
    <cfRule type="cellIs" priority="1502" operator="equal">
      <formula>"Clásica"</formula>
    </cfRule>
  </conditionalFormatting>
  <conditionalFormatting sqref="O551">
    <cfRule type="cellIs" priority="1503" operator="equal">
      <formula>"Activa"</formula>
    </cfRule>
  </conditionalFormatting>
  <conditionalFormatting sqref="J552">
    <cfRule type="cellIs" priority="1504" operator="equal">
      <formula>"$"</formula>
    </cfRule>
  </conditionalFormatting>
  <conditionalFormatting sqref="K552">
    <cfRule type="cellIs" priority="1505" operator="equal">
      <formula>"Nuevo"</formula>
    </cfRule>
  </conditionalFormatting>
  <conditionalFormatting sqref="L552">
    <cfRule type="cellIs" priority="1506" operator="equal">
      <formula>"Mercado Envíos a cargo del comprador"</formula>
    </cfRule>
  </conditionalFormatting>
  <conditionalFormatting sqref="M552">
    <cfRule type="cellIs" priority="1507" operator="equal">
      <formula>"Clásica"</formula>
    </cfRule>
  </conditionalFormatting>
  <conditionalFormatting sqref="O552">
    <cfRule type="cellIs" priority="1508" operator="equal">
      <formula>"Activa"</formula>
    </cfRule>
  </conditionalFormatting>
  <conditionalFormatting sqref="J553">
    <cfRule type="cellIs" priority="1509" operator="equal">
      <formula>"$"</formula>
    </cfRule>
  </conditionalFormatting>
  <conditionalFormatting sqref="K553">
    <cfRule type="cellIs" priority="1510" operator="equal">
      <formula>"Nuevo"</formula>
    </cfRule>
  </conditionalFormatting>
  <conditionalFormatting sqref="L553">
    <cfRule type="cellIs" priority="1511" operator="equal">
      <formula>"Mercado Envíos gratis"</formula>
    </cfRule>
  </conditionalFormatting>
  <conditionalFormatting sqref="M553">
    <cfRule type="cellIs" priority="1512" operator="equal">
      <formula>"Clásica"</formula>
    </cfRule>
  </conditionalFormatting>
  <conditionalFormatting sqref="O553">
    <cfRule type="cellIs" priority="1513" operator="equal">
      <formula>"Activa"</formula>
    </cfRule>
  </conditionalFormatting>
  <conditionalFormatting sqref="J554">
    <cfRule type="cellIs" priority="1514" operator="equal">
      <formula>"$"</formula>
    </cfRule>
  </conditionalFormatting>
  <conditionalFormatting sqref="K554">
    <cfRule type="cellIs" priority="1515" operator="equal">
      <formula>"Nuevo"</formula>
    </cfRule>
  </conditionalFormatting>
  <conditionalFormatting sqref="L554">
    <cfRule type="cellIs" priority="1516" operator="equal">
      <formula>"Mercado Envíos gratis"</formula>
    </cfRule>
  </conditionalFormatting>
  <conditionalFormatting sqref="M554">
    <cfRule type="cellIs" priority="1517" operator="equal">
      <formula>"Clásica"</formula>
    </cfRule>
  </conditionalFormatting>
  <conditionalFormatting sqref="O554">
    <cfRule type="cellIs" priority="1518" operator="equal">
      <formula>"Activa"</formula>
    </cfRule>
  </conditionalFormatting>
  <conditionalFormatting sqref="J555">
    <cfRule type="cellIs" priority="1519" operator="equal">
      <formula>"$"</formula>
    </cfRule>
  </conditionalFormatting>
  <conditionalFormatting sqref="K555">
    <cfRule type="cellIs" priority="1520" operator="equal">
      <formula>"Nuevo"</formula>
    </cfRule>
  </conditionalFormatting>
  <conditionalFormatting sqref="L555">
    <cfRule type="cellIs" priority="1521" operator="equal">
      <formula>"Mercado Envíos gratis"</formula>
    </cfRule>
  </conditionalFormatting>
  <conditionalFormatting sqref="M555">
    <cfRule type="cellIs" priority="1522" operator="equal">
      <formula>"Clásica"</formula>
    </cfRule>
  </conditionalFormatting>
  <conditionalFormatting sqref="O555">
    <cfRule type="cellIs" priority="1523" operator="equal">
      <formula>"Activa"</formula>
    </cfRule>
  </conditionalFormatting>
  <conditionalFormatting sqref="J556">
    <cfRule type="cellIs" priority="1524" operator="equal">
      <formula>"$"</formula>
    </cfRule>
  </conditionalFormatting>
  <conditionalFormatting sqref="K556">
    <cfRule type="cellIs" priority="1525" operator="equal">
      <formula>"Nuevo"</formula>
    </cfRule>
  </conditionalFormatting>
  <conditionalFormatting sqref="L556">
    <cfRule type="cellIs" priority="1526" operator="equal">
      <formula>"Mercado Envíos gratis"</formula>
    </cfRule>
  </conditionalFormatting>
  <conditionalFormatting sqref="M556">
    <cfRule type="cellIs" priority="1527" operator="equal">
      <formula>"Clásica"</formula>
    </cfRule>
  </conditionalFormatting>
  <conditionalFormatting sqref="O556">
    <cfRule type="cellIs" priority="1528" operator="equal">
      <formula>"Activa"</formula>
    </cfRule>
  </conditionalFormatting>
  <conditionalFormatting sqref="J557">
    <cfRule type="cellIs" priority="1529" operator="equal">
      <formula>"$"</formula>
    </cfRule>
  </conditionalFormatting>
  <conditionalFormatting sqref="K557">
    <cfRule type="cellIs" priority="1530" operator="equal">
      <formula>"Nuevo"</formula>
    </cfRule>
  </conditionalFormatting>
  <conditionalFormatting sqref="L557">
    <cfRule type="cellIs" priority="1531" operator="equal">
      <formula>"Mercado Envíos gratis"</formula>
    </cfRule>
  </conditionalFormatting>
  <conditionalFormatting sqref="M557">
    <cfRule type="cellIs" priority="1532" operator="equal">
      <formula>"Clásica"</formula>
    </cfRule>
  </conditionalFormatting>
  <conditionalFormatting sqref="O557">
    <cfRule type="cellIs" priority="1533" operator="equal">
      <formula>"Activa"</formula>
    </cfRule>
  </conditionalFormatting>
  <conditionalFormatting sqref="J558">
    <cfRule type="cellIs" priority="1534" operator="equal">
      <formula>"$"</formula>
    </cfRule>
  </conditionalFormatting>
  <conditionalFormatting sqref="K558">
    <cfRule type="cellIs" priority="1535" operator="equal">
      <formula>"Nuevo"</formula>
    </cfRule>
  </conditionalFormatting>
  <conditionalFormatting sqref="M558">
    <cfRule type="cellIs" priority="1536" operator="equal">
      <formula>"Clásica"</formula>
    </cfRule>
  </conditionalFormatting>
  <conditionalFormatting sqref="O558">
    <cfRule type="cellIs" priority="1537" operator="equal">
      <formula>"Activa"</formula>
    </cfRule>
  </conditionalFormatting>
  <conditionalFormatting sqref="J559">
    <cfRule type="cellIs" priority="1538" operator="equal">
      <formula>"$"</formula>
    </cfRule>
  </conditionalFormatting>
  <conditionalFormatting sqref="K559">
    <cfRule type="cellIs" priority="1539" operator="equal">
      <formula>"Nuevo"</formula>
    </cfRule>
  </conditionalFormatting>
  <conditionalFormatting sqref="L559">
    <cfRule type="cellIs" priority="1540" operator="equal">
      <formula>"Mercado Envíos gratis"</formula>
    </cfRule>
  </conditionalFormatting>
  <conditionalFormatting sqref="M559">
    <cfRule type="cellIs" priority="1541" operator="equal">
      <formula>"Clásica"</formula>
    </cfRule>
  </conditionalFormatting>
  <conditionalFormatting sqref="O559">
    <cfRule type="cellIs" priority="1542" operator="equal">
      <formula>"Activa"</formula>
    </cfRule>
  </conditionalFormatting>
  <conditionalFormatting sqref="J560">
    <cfRule type="cellIs" priority="1543" operator="equal">
      <formula>"$"</formula>
    </cfRule>
  </conditionalFormatting>
  <conditionalFormatting sqref="K560">
    <cfRule type="cellIs" priority="1544" operator="equal">
      <formula>"Nuevo"</formula>
    </cfRule>
  </conditionalFormatting>
  <conditionalFormatting sqref="L560">
    <cfRule type="cellIs" priority="1545" operator="equal">
      <formula>"Mercado Envíos gratis"</formula>
    </cfRule>
  </conditionalFormatting>
  <conditionalFormatting sqref="M560">
    <cfRule type="cellIs" priority="1546" operator="equal">
      <formula>"Clásica"</formula>
    </cfRule>
  </conditionalFormatting>
  <conditionalFormatting sqref="O560">
    <cfRule type="cellIs" priority="1547" operator="equal">
      <formula>"Activa"</formula>
    </cfRule>
  </conditionalFormatting>
  <conditionalFormatting sqref="J561">
    <cfRule type="cellIs" priority="1548" operator="equal">
      <formula>"$"</formula>
    </cfRule>
  </conditionalFormatting>
  <conditionalFormatting sqref="K561">
    <cfRule type="cellIs" priority="1549" operator="equal">
      <formula>"Nuevo"</formula>
    </cfRule>
  </conditionalFormatting>
  <conditionalFormatting sqref="L561">
    <cfRule type="cellIs" priority="1550" operator="equal">
      <formula>"Mercado Envíos gratis"</formula>
    </cfRule>
  </conditionalFormatting>
  <conditionalFormatting sqref="M561">
    <cfRule type="cellIs" priority="1551" operator="equal">
      <formula>"Clásica"</formula>
    </cfRule>
  </conditionalFormatting>
  <conditionalFormatting sqref="O561">
    <cfRule type="cellIs" priority="1552" operator="equal">
      <formula>"Activa"</formula>
    </cfRule>
  </conditionalFormatting>
  <conditionalFormatting sqref="J562">
    <cfRule type="cellIs" priority="1553" operator="equal">
      <formula>"$"</formula>
    </cfRule>
  </conditionalFormatting>
  <conditionalFormatting sqref="K562">
    <cfRule type="cellIs" priority="1554" operator="equal">
      <formula>"Nuevo"</formula>
    </cfRule>
  </conditionalFormatting>
  <conditionalFormatting sqref="L562">
    <cfRule type="cellIs" priority="1555" operator="equal">
      <formula>"Mercado Envíos a cargo del comprador"</formula>
    </cfRule>
  </conditionalFormatting>
  <conditionalFormatting sqref="M562">
    <cfRule type="cellIs" priority="1556" operator="equal">
      <formula>"Clásica"</formula>
    </cfRule>
  </conditionalFormatting>
  <conditionalFormatting sqref="O562">
    <cfRule type="cellIs" priority="1557" operator="equal">
      <formula>"Activa"</formula>
    </cfRule>
  </conditionalFormatting>
  <conditionalFormatting sqref="J563">
    <cfRule type="cellIs" priority="1558" operator="equal">
      <formula>"$"</formula>
    </cfRule>
  </conditionalFormatting>
  <conditionalFormatting sqref="L563">
    <cfRule type="cellIs" priority="1559" operator="equal">
      <formula>"Mercado Envíos gratis"</formula>
    </cfRule>
  </conditionalFormatting>
  <conditionalFormatting sqref="M563">
    <cfRule type="cellIs" priority="1560" operator="equal">
      <formula>"Clásica"</formula>
    </cfRule>
  </conditionalFormatting>
  <conditionalFormatting sqref="O563">
    <cfRule type="cellIs" priority="1561" operator="equal">
      <formula>"Activa"</formula>
    </cfRule>
  </conditionalFormatting>
  <conditionalFormatting sqref="J564">
    <cfRule type="cellIs" priority="1562" operator="equal">
      <formula>"$"</formula>
    </cfRule>
  </conditionalFormatting>
  <conditionalFormatting sqref="K564">
    <cfRule type="cellIs" priority="1563" operator="equal">
      <formula>"Nuevo"</formula>
    </cfRule>
  </conditionalFormatting>
  <conditionalFormatting sqref="L564">
    <cfRule type="cellIs" priority="1564" operator="equal">
      <formula>"Mercado Envíos gratis"</formula>
    </cfRule>
  </conditionalFormatting>
  <conditionalFormatting sqref="M564">
    <cfRule type="cellIs" priority="1565" operator="equal">
      <formula>"Clásica"</formula>
    </cfRule>
  </conditionalFormatting>
  <conditionalFormatting sqref="O564">
    <cfRule type="cellIs" priority="1566" operator="equal">
      <formula>"Activa"</formula>
    </cfRule>
  </conditionalFormatting>
  <conditionalFormatting sqref="J565">
    <cfRule type="cellIs" priority="1567" operator="equal">
      <formula>"$"</formula>
    </cfRule>
  </conditionalFormatting>
  <conditionalFormatting sqref="K565">
    <cfRule type="cellIs" priority="1568" operator="equal">
      <formula>"Nuevo"</formula>
    </cfRule>
  </conditionalFormatting>
  <conditionalFormatting sqref="L565">
    <cfRule type="cellIs" priority="1569" operator="equal">
      <formula>"Mercado Envíos gratis"</formula>
    </cfRule>
  </conditionalFormatting>
  <conditionalFormatting sqref="M565">
    <cfRule type="cellIs" priority="1570" operator="equal">
      <formula>"Clásica"</formula>
    </cfRule>
  </conditionalFormatting>
  <conditionalFormatting sqref="O565">
    <cfRule type="cellIs" priority="1571" operator="equal">
      <formula>"Activa"</formula>
    </cfRule>
  </conditionalFormatting>
  <conditionalFormatting sqref="J566">
    <cfRule type="cellIs" priority="1572" operator="equal">
      <formula>"$"</formula>
    </cfRule>
  </conditionalFormatting>
  <conditionalFormatting sqref="K566">
    <cfRule type="cellIs" priority="1573" operator="equal">
      <formula>"Nuevo"</formula>
    </cfRule>
  </conditionalFormatting>
  <conditionalFormatting sqref="L566">
    <cfRule type="cellIs" priority="1574" operator="equal">
      <formula>"Mercado Envíos gratis"</formula>
    </cfRule>
  </conditionalFormatting>
  <conditionalFormatting sqref="M566">
    <cfRule type="cellIs" priority="1575" operator="equal">
      <formula>"Clásica"</formula>
    </cfRule>
  </conditionalFormatting>
  <conditionalFormatting sqref="O566">
    <cfRule type="cellIs" priority="1576" operator="equal">
      <formula>"Activa"</formula>
    </cfRule>
  </conditionalFormatting>
  <conditionalFormatting sqref="J567">
    <cfRule type="cellIs" priority="1577" operator="equal">
      <formula>"$"</formula>
    </cfRule>
  </conditionalFormatting>
  <conditionalFormatting sqref="K567">
    <cfRule type="cellIs" priority="1578" operator="equal">
      <formula>"Nuevo"</formula>
    </cfRule>
  </conditionalFormatting>
  <conditionalFormatting sqref="L567">
    <cfRule type="cellIs" priority="1579" operator="equal">
      <formula>"Mercado Envíos a cargo del comprador"</formula>
    </cfRule>
  </conditionalFormatting>
  <conditionalFormatting sqref="M567">
    <cfRule type="cellIs" priority="1580" operator="equal">
      <formula>"Clásica"</formula>
    </cfRule>
  </conditionalFormatting>
  <conditionalFormatting sqref="O567">
    <cfRule type="cellIs" priority="1581" operator="equal">
      <formula>"Activa"</formula>
    </cfRule>
  </conditionalFormatting>
  <conditionalFormatting sqref="J568">
    <cfRule type="cellIs" priority="1582" operator="equal">
      <formula>"$"</formula>
    </cfRule>
  </conditionalFormatting>
  <conditionalFormatting sqref="K568">
    <cfRule type="cellIs" priority="1583" operator="equal">
      <formula>"Nuevo"</formula>
    </cfRule>
  </conditionalFormatting>
  <conditionalFormatting sqref="L568">
    <cfRule type="cellIs" priority="1584" operator="equal">
      <formula>"Mercado Envíos a cargo del comprador"</formula>
    </cfRule>
  </conditionalFormatting>
  <conditionalFormatting sqref="M568">
    <cfRule type="cellIs" priority="1585" operator="equal">
      <formula>"Clásica"</formula>
    </cfRule>
  </conditionalFormatting>
  <conditionalFormatting sqref="O568">
    <cfRule type="cellIs" priority="1586" operator="equal">
      <formula>"Activa"</formula>
    </cfRule>
  </conditionalFormatting>
  <conditionalFormatting sqref="J569">
    <cfRule type="cellIs" priority="1587" operator="equal">
      <formula>"$"</formula>
    </cfRule>
  </conditionalFormatting>
  <conditionalFormatting sqref="K569">
    <cfRule type="cellIs" priority="1588" operator="equal">
      <formula>"Nuevo"</formula>
    </cfRule>
  </conditionalFormatting>
  <conditionalFormatting sqref="L569">
    <cfRule type="cellIs" priority="1589" operator="equal">
      <formula>"Mercado Envíos gratis"</formula>
    </cfRule>
  </conditionalFormatting>
  <conditionalFormatting sqref="M569">
    <cfRule type="cellIs" priority="1590" operator="equal">
      <formula>"Clásica"</formula>
    </cfRule>
  </conditionalFormatting>
  <conditionalFormatting sqref="O569">
    <cfRule type="cellIs" priority="1591" operator="equal">
      <formula>"Activa"</formula>
    </cfRule>
  </conditionalFormatting>
  <conditionalFormatting sqref="J570">
    <cfRule type="cellIs" priority="1592" operator="equal">
      <formula>"$"</formula>
    </cfRule>
  </conditionalFormatting>
  <conditionalFormatting sqref="K570">
    <cfRule type="cellIs" priority="1593" operator="equal">
      <formula>"Nuevo"</formula>
    </cfRule>
  </conditionalFormatting>
  <conditionalFormatting sqref="L570">
    <cfRule type="cellIs" priority="1594" operator="equal">
      <formula>"Mercado Envíos gratis"</formula>
    </cfRule>
  </conditionalFormatting>
  <conditionalFormatting sqref="M570">
    <cfRule type="cellIs" priority="1595" operator="equal">
      <formula>"Clásica"</formula>
    </cfRule>
  </conditionalFormatting>
  <conditionalFormatting sqref="O570">
    <cfRule type="cellIs" priority="1596" operator="equal">
      <formula>"Activa"</formula>
    </cfRule>
  </conditionalFormatting>
  <conditionalFormatting sqref="J571">
    <cfRule type="cellIs" priority="1597" operator="equal">
      <formula>"$"</formula>
    </cfRule>
  </conditionalFormatting>
  <conditionalFormatting sqref="K571">
    <cfRule type="cellIs" priority="1598" operator="equal">
      <formula>"Nuevo"</formula>
    </cfRule>
  </conditionalFormatting>
  <conditionalFormatting sqref="L571">
    <cfRule type="cellIs" priority="1599" operator="equal">
      <formula>"Mercado Envíos a cargo del comprador"</formula>
    </cfRule>
  </conditionalFormatting>
  <conditionalFormatting sqref="M571">
    <cfRule type="cellIs" priority="1600" operator="equal">
      <formula>"Clásica"</formula>
    </cfRule>
  </conditionalFormatting>
  <conditionalFormatting sqref="O571">
    <cfRule type="cellIs" priority="1601" operator="equal">
      <formula>"Inactiva"</formula>
    </cfRule>
  </conditionalFormatting>
  <conditionalFormatting sqref="J572">
    <cfRule type="cellIs" priority="1602" operator="equal">
      <formula>"$"</formula>
    </cfRule>
  </conditionalFormatting>
  <conditionalFormatting sqref="K572">
    <cfRule type="cellIs" priority="1603" operator="equal">
      <formula>"Nuevo"</formula>
    </cfRule>
  </conditionalFormatting>
  <conditionalFormatting sqref="L572">
    <cfRule type="cellIs" priority="1604" operator="equal">
      <formula>"Mercado Envíos gratis"</formula>
    </cfRule>
  </conditionalFormatting>
  <conditionalFormatting sqref="M572">
    <cfRule type="cellIs" priority="1605" operator="equal">
      <formula>"Clásica"</formula>
    </cfRule>
  </conditionalFormatting>
  <conditionalFormatting sqref="O572">
    <cfRule type="cellIs" priority="1606" operator="equal">
      <formula>"Inactiva"</formula>
    </cfRule>
  </conditionalFormatting>
  <conditionalFormatting sqref="J573">
    <cfRule type="cellIs" priority="1607" operator="equal">
      <formula>"$"</formula>
    </cfRule>
  </conditionalFormatting>
  <conditionalFormatting sqref="K573">
    <cfRule type="cellIs" priority="1608" operator="equal">
      <formula>"Nuevo"</formula>
    </cfRule>
  </conditionalFormatting>
  <conditionalFormatting sqref="L573">
    <cfRule type="cellIs" priority="1609" operator="equal">
      <formula>"Mercado Envíos gratis"</formula>
    </cfRule>
  </conditionalFormatting>
  <conditionalFormatting sqref="M573">
    <cfRule type="cellIs" priority="1610" operator="equal">
      <formula>"Clásica"</formula>
    </cfRule>
  </conditionalFormatting>
  <conditionalFormatting sqref="O573">
    <cfRule type="cellIs" priority="1611" operator="equal">
      <formula>"Inactiva"</formula>
    </cfRule>
  </conditionalFormatting>
  <conditionalFormatting sqref="J574">
    <cfRule type="cellIs" priority="1612" operator="equal">
      <formula>"$"</formula>
    </cfRule>
  </conditionalFormatting>
  <conditionalFormatting sqref="K574">
    <cfRule type="cellIs" priority="1613" operator="equal">
      <formula>"Nuevo"</formula>
    </cfRule>
  </conditionalFormatting>
  <conditionalFormatting sqref="L574">
    <cfRule type="cellIs" priority="1614" operator="equal">
      <formula>"Mercado Envíos gratis"</formula>
    </cfRule>
  </conditionalFormatting>
  <conditionalFormatting sqref="M574">
    <cfRule type="cellIs" priority="1615" operator="equal">
      <formula>"Clásica"</formula>
    </cfRule>
  </conditionalFormatting>
  <conditionalFormatting sqref="O574">
    <cfRule type="cellIs" priority="1616" operator="equal">
      <formula>"Inactiva"</formula>
    </cfRule>
  </conditionalFormatting>
  <conditionalFormatting sqref="J575">
    <cfRule type="cellIs" priority="1617" operator="equal">
      <formula>"$"</formula>
    </cfRule>
  </conditionalFormatting>
  <conditionalFormatting sqref="K575">
    <cfRule type="cellIs" priority="1618" operator="equal">
      <formula>"Nuevo"</formula>
    </cfRule>
  </conditionalFormatting>
  <conditionalFormatting sqref="L575">
    <cfRule type="cellIs" priority="1619" operator="equal">
      <formula>"Mercado Envíos gratis"</formula>
    </cfRule>
  </conditionalFormatting>
  <conditionalFormatting sqref="M575">
    <cfRule type="cellIs" priority="1620" operator="equal">
      <formula>"Clásica"</formula>
    </cfRule>
  </conditionalFormatting>
  <conditionalFormatting sqref="O575">
    <cfRule type="cellIs" priority="1621" operator="equal">
      <formula>"Inactiva"</formula>
    </cfRule>
  </conditionalFormatting>
  <conditionalFormatting sqref="J576">
    <cfRule type="cellIs" priority="1622" operator="equal">
      <formula>"$"</formula>
    </cfRule>
  </conditionalFormatting>
  <conditionalFormatting sqref="K576">
    <cfRule type="cellIs" priority="1623" operator="equal">
      <formula>"Nuevo"</formula>
    </cfRule>
  </conditionalFormatting>
  <conditionalFormatting sqref="L576">
    <cfRule type="cellIs" priority="1624" operator="equal">
      <formula>"Mercado Envíos a cargo del comprador"</formula>
    </cfRule>
  </conditionalFormatting>
  <conditionalFormatting sqref="M576">
    <cfRule type="cellIs" priority="1625" operator="equal">
      <formula>"Clásica"</formula>
    </cfRule>
  </conditionalFormatting>
  <conditionalFormatting sqref="O576">
    <cfRule type="cellIs" priority="1626" operator="equal">
      <formula>"Inactiva"</formula>
    </cfRule>
  </conditionalFormatting>
  <conditionalFormatting sqref="J580">
    <cfRule type="cellIs" priority="1627" operator="equal">
      <formula>"$"</formula>
    </cfRule>
  </conditionalFormatting>
  <conditionalFormatting sqref="K580">
    <cfRule type="cellIs" priority="1628" operator="equal">
      <formula>"Nuevo"</formula>
    </cfRule>
  </conditionalFormatting>
  <conditionalFormatting sqref="L580">
    <cfRule type="cellIs" priority="1629" operator="equal">
      <formula>"Mercado Envíos gratis"</formula>
    </cfRule>
  </conditionalFormatting>
  <conditionalFormatting sqref="M580">
    <cfRule type="cellIs" priority="1630" operator="equal">
      <formula>"Clásica"</formula>
    </cfRule>
  </conditionalFormatting>
  <conditionalFormatting sqref="O580">
    <cfRule type="cellIs" priority="1631" operator="equal">
      <formula>"Inactiva"</formula>
    </cfRule>
  </conditionalFormatting>
  <conditionalFormatting sqref="J581">
    <cfRule type="cellIs" priority="1632" operator="equal">
      <formula>"$"</formula>
    </cfRule>
  </conditionalFormatting>
  <conditionalFormatting sqref="K581">
    <cfRule type="cellIs" priority="1633" operator="equal">
      <formula>"Nuevo"</formula>
    </cfRule>
  </conditionalFormatting>
  <conditionalFormatting sqref="L581">
    <cfRule type="cellIs" priority="1634" operator="equal">
      <formula>"Mercado Envíos gratis"</formula>
    </cfRule>
  </conditionalFormatting>
  <conditionalFormatting sqref="M581">
    <cfRule type="cellIs" priority="1635" operator="equal">
      <formula>"Clásica"</formula>
    </cfRule>
  </conditionalFormatting>
  <conditionalFormatting sqref="O581">
    <cfRule type="cellIs" priority="1636" operator="equal">
      <formula>"Inactiva"</formula>
    </cfRule>
  </conditionalFormatting>
  <conditionalFormatting sqref="J585">
    <cfRule type="cellIs" priority="1637" operator="equal">
      <formula>"$"</formula>
    </cfRule>
  </conditionalFormatting>
  <conditionalFormatting sqref="K585">
    <cfRule type="cellIs" priority="1638" operator="equal">
      <formula>"Nuevo"</formula>
    </cfRule>
  </conditionalFormatting>
  <conditionalFormatting sqref="L585">
    <cfRule type="cellIs" priority="1639" operator="equal">
      <formula>"Mercado Envíos a cargo del comprador"</formula>
    </cfRule>
  </conditionalFormatting>
  <conditionalFormatting sqref="M585">
    <cfRule type="cellIs" priority="1640" operator="equal">
      <formula>"Clásica"</formula>
    </cfRule>
  </conditionalFormatting>
  <conditionalFormatting sqref="O585">
    <cfRule type="cellIs" priority="1641" operator="equal">
      <formula>"Inactiva"</formula>
    </cfRule>
  </conditionalFormatting>
  <conditionalFormatting sqref="J586">
    <cfRule type="cellIs" priority="1642" operator="equal">
      <formula>"$"</formula>
    </cfRule>
  </conditionalFormatting>
  <conditionalFormatting sqref="L586">
    <cfRule type="cellIs" priority="1643" operator="equal">
      <formula>"Mercado Envíos gratis"</formula>
    </cfRule>
  </conditionalFormatting>
  <conditionalFormatting sqref="M586">
    <cfRule type="cellIs" priority="1644" operator="equal">
      <formula>"Clásica"</formula>
    </cfRule>
  </conditionalFormatting>
  <conditionalFormatting sqref="O586">
    <cfRule type="cellIs" priority="1645" operator="equal">
      <formula>"Inactiva"</formula>
    </cfRule>
  </conditionalFormatting>
  <conditionalFormatting sqref="J587">
    <cfRule type="cellIs" priority="1646" operator="equal">
      <formula>"$"</formula>
    </cfRule>
  </conditionalFormatting>
  <conditionalFormatting sqref="K587">
    <cfRule type="cellIs" priority="1647" operator="equal">
      <formula>"Nuevo"</formula>
    </cfRule>
  </conditionalFormatting>
  <conditionalFormatting sqref="L587">
    <cfRule type="cellIs" priority="1648" operator="equal">
      <formula>"Mercado Envíos gratis"</formula>
    </cfRule>
  </conditionalFormatting>
  <conditionalFormatting sqref="M587">
    <cfRule type="cellIs" priority="1649" operator="equal">
      <formula>"Clásica"</formula>
    </cfRule>
  </conditionalFormatting>
  <conditionalFormatting sqref="O587">
    <cfRule type="cellIs" priority="1650" operator="equal">
      <formula>"Inactiva"</formula>
    </cfRule>
  </conditionalFormatting>
  <conditionalFormatting sqref="J588">
    <cfRule type="cellIs" priority="1651" operator="equal">
      <formula>"$"</formula>
    </cfRule>
  </conditionalFormatting>
  <conditionalFormatting sqref="K588">
    <cfRule type="cellIs" priority="1652" operator="equal">
      <formula>"Nuevo"</formula>
    </cfRule>
  </conditionalFormatting>
  <conditionalFormatting sqref="L588">
    <cfRule type="cellIs" priority="1653" operator="equal">
      <formula>"Mercado Envíos a cargo del comprador"</formula>
    </cfRule>
  </conditionalFormatting>
  <conditionalFormatting sqref="M588">
    <cfRule type="cellIs" priority="1654" operator="equal">
      <formula>"Clásica"</formula>
    </cfRule>
  </conditionalFormatting>
  <conditionalFormatting sqref="O588">
    <cfRule type="cellIs" priority="1655" operator="equal">
      <formula>"Inactiva"</formula>
    </cfRule>
  </conditionalFormatting>
  <conditionalFormatting sqref="J593">
    <cfRule type="cellIs" priority="1656" operator="equal">
      <formula>"$"</formula>
    </cfRule>
  </conditionalFormatting>
  <conditionalFormatting sqref="K593">
    <cfRule type="cellIs" priority="1657" operator="equal">
      <formula>"Nuevo"</formula>
    </cfRule>
  </conditionalFormatting>
  <conditionalFormatting sqref="L593">
    <cfRule type="cellIs" priority="1658" operator="equal">
      <formula>"Mercado Envíos a cargo del comprador"</formula>
    </cfRule>
  </conditionalFormatting>
  <conditionalFormatting sqref="M593">
    <cfRule type="cellIs" priority="1659" operator="equal">
      <formula>"Clásica"</formula>
    </cfRule>
  </conditionalFormatting>
  <conditionalFormatting sqref="O593">
    <cfRule type="cellIs" priority="1660" operator="equal">
      <formula>"Inactiva"</formula>
    </cfRule>
  </conditionalFormatting>
  <conditionalFormatting sqref="J594">
    <cfRule type="cellIs" priority="1661" operator="equal">
      <formula>"$"</formula>
    </cfRule>
  </conditionalFormatting>
  <conditionalFormatting sqref="K594">
    <cfRule type="cellIs" priority="1662" operator="equal">
      <formula>"Nuevo"</formula>
    </cfRule>
  </conditionalFormatting>
  <conditionalFormatting sqref="L594">
    <cfRule type="cellIs" priority="1663" operator="equal">
      <formula>"Mercado Envíos gratis"</formula>
    </cfRule>
  </conditionalFormatting>
  <conditionalFormatting sqref="M594">
    <cfRule type="cellIs" priority="1664" operator="equal">
      <formula>"Clásica"</formula>
    </cfRule>
  </conditionalFormatting>
  <conditionalFormatting sqref="O594">
    <cfRule type="cellIs" priority="1665" operator="equal">
      <formula>"Inactiva"</formula>
    </cfRule>
  </conditionalFormatting>
  <conditionalFormatting sqref="J595">
    <cfRule type="cellIs" priority="1666" operator="equal">
      <formula>"$"</formula>
    </cfRule>
  </conditionalFormatting>
  <conditionalFormatting sqref="K595">
    <cfRule type="cellIs" priority="1667" operator="equal">
      <formula>"Nuevo"</formula>
    </cfRule>
  </conditionalFormatting>
  <conditionalFormatting sqref="L595">
    <cfRule type="cellIs" priority="1668" operator="equal">
      <formula>"Mercado Envíos gratis"</formula>
    </cfRule>
  </conditionalFormatting>
  <conditionalFormatting sqref="M595">
    <cfRule type="cellIs" priority="1669" operator="equal">
      <formula>"Clásica"</formula>
    </cfRule>
  </conditionalFormatting>
  <conditionalFormatting sqref="O595">
    <cfRule type="cellIs" priority="1670" operator="equal">
      <formula>"Inactiva"</formula>
    </cfRule>
  </conditionalFormatting>
  <conditionalFormatting sqref="J596">
    <cfRule type="cellIs" priority="1671" operator="equal">
      <formula>"$"</formula>
    </cfRule>
  </conditionalFormatting>
  <conditionalFormatting sqref="K596">
    <cfRule type="cellIs" priority="1672" operator="equal">
      <formula>"Nuevo"</formula>
    </cfRule>
  </conditionalFormatting>
  <conditionalFormatting sqref="L596">
    <cfRule type="cellIs" priority="1673" operator="equal">
      <formula>"Mercado Envíos gratis"</formula>
    </cfRule>
  </conditionalFormatting>
  <conditionalFormatting sqref="M596">
    <cfRule type="cellIs" priority="1674" operator="equal">
      <formula>"Clásica"</formula>
    </cfRule>
  </conditionalFormatting>
  <conditionalFormatting sqref="O596">
    <cfRule type="cellIs" priority="1675" operator="equal">
      <formula>"Inactiva"</formula>
    </cfRule>
  </conditionalFormatting>
  <conditionalFormatting sqref="J597">
    <cfRule type="cellIs" priority="1676" operator="equal">
      <formula>"$"</formula>
    </cfRule>
  </conditionalFormatting>
  <conditionalFormatting sqref="K597">
    <cfRule type="cellIs" priority="1677" operator="equal">
      <formula>"Nuevo"</formula>
    </cfRule>
  </conditionalFormatting>
  <conditionalFormatting sqref="L597">
    <cfRule type="cellIs" priority="1678" operator="equal">
      <formula>"Mercado Envíos gratis"</formula>
    </cfRule>
  </conditionalFormatting>
  <conditionalFormatting sqref="M597">
    <cfRule type="cellIs" priority="1679" operator="equal">
      <formula>"Clásica"</formula>
    </cfRule>
  </conditionalFormatting>
  <conditionalFormatting sqref="O597">
    <cfRule type="cellIs" priority="1680" operator="equal">
      <formula>"Inactiva"</formula>
    </cfRule>
  </conditionalFormatting>
  <conditionalFormatting sqref="J602">
    <cfRule type="cellIs" priority="1681" operator="equal">
      <formula>"$"</formula>
    </cfRule>
  </conditionalFormatting>
  <conditionalFormatting sqref="K602">
    <cfRule type="cellIs" priority="1682" operator="equal">
      <formula>"Nuevo"</formula>
    </cfRule>
  </conditionalFormatting>
  <conditionalFormatting sqref="L602">
    <cfRule type="cellIs" priority="1683" operator="equal">
      <formula>"Mercado Envíos a cargo del comprador"</formula>
    </cfRule>
  </conditionalFormatting>
  <conditionalFormatting sqref="M602">
    <cfRule type="cellIs" priority="1684" operator="equal">
      <formula>"Premium"</formula>
    </cfRule>
  </conditionalFormatting>
  <conditionalFormatting sqref="O602">
    <cfRule type="cellIs" priority="1685" operator="equal">
      <formula>"Inactiva"</formula>
    </cfRule>
  </conditionalFormatting>
  <conditionalFormatting sqref="J603">
    <cfRule type="cellIs" priority="1686" operator="equal">
      <formula>"$"</formula>
    </cfRule>
  </conditionalFormatting>
  <conditionalFormatting sqref="K603">
    <cfRule type="cellIs" priority="1687" operator="equal">
      <formula>"Nuevo"</formula>
    </cfRule>
  </conditionalFormatting>
  <conditionalFormatting sqref="L603">
    <cfRule type="cellIs" priority="1688" operator="equal">
      <formula>"Mercado Envíos gratis"</formula>
    </cfRule>
  </conditionalFormatting>
  <conditionalFormatting sqref="M603">
    <cfRule type="cellIs" priority="1689" operator="equal">
      <formula>"Clásica"</formula>
    </cfRule>
  </conditionalFormatting>
  <conditionalFormatting sqref="O603">
    <cfRule type="cellIs" priority="1690" operator="equal">
      <formula>"Inactiva"</formula>
    </cfRule>
  </conditionalFormatting>
  <conditionalFormatting sqref="J607">
    <cfRule type="cellIs" priority="1691" operator="equal">
      <formula>"$"</formula>
    </cfRule>
  </conditionalFormatting>
  <conditionalFormatting sqref="K607">
    <cfRule type="cellIs" priority="1692" operator="equal">
      <formula>"Nuevo"</formula>
    </cfRule>
  </conditionalFormatting>
  <conditionalFormatting sqref="L607">
    <cfRule type="cellIs" priority="1693" operator="equal">
      <formula>"Mercado Envíos gratis"</formula>
    </cfRule>
  </conditionalFormatting>
  <conditionalFormatting sqref="M607">
    <cfRule type="cellIs" priority="1694" operator="equal">
      <formula>"Clásica"</formula>
    </cfRule>
  </conditionalFormatting>
  <conditionalFormatting sqref="O607">
    <cfRule type="cellIs" priority="1695" operator="equal">
      <formula>"Inactiva"</formula>
    </cfRule>
  </conditionalFormatting>
  <conditionalFormatting sqref="J612">
    <cfRule type="cellIs" priority="1696" operator="equal">
      <formula>"$"</formula>
    </cfRule>
  </conditionalFormatting>
  <conditionalFormatting sqref="K612">
    <cfRule type="cellIs" priority="1697" operator="equal">
      <formula>"Nuevo"</formula>
    </cfRule>
  </conditionalFormatting>
  <conditionalFormatting sqref="L612">
    <cfRule type="cellIs" priority="1698" operator="equal">
      <formula>"Mercado Envíos gratis"</formula>
    </cfRule>
  </conditionalFormatting>
  <conditionalFormatting sqref="M612">
    <cfRule type="cellIs" priority="1699" operator="equal">
      <formula>"Clásica"</formula>
    </cfRule>
  </conditionalFormatting>
  <conditionalFormatting sqref="O612">
    <cfRule type="cellIs" priority="1700" operator="equal">
      <formula>"Inactiva"</formula>
    </cfRule>
  </conditionalFormatting>
  <conditionalFormatting sqref="J615">
    <cfRule type="cellIs" priority="1701" operator="equal">
      <formula>"$"</formula>
    </cfRule>
  </conditionalFormatting>
  <conditionalFormatting sqref="K615">
    <cfRule type="cellIs" priority="1702" operator="equal">
      <formula>"Nuevo"</formula>
    </cfRule>
  </conditionalFormatting>
  <conditionalFormatting sqref="L615">
    <cfRule type="cellIs" priority="1703" operator="equal">
      <formula>"Mercado Envíos gratis"</formula>
    </cfRule>
  </conditionalFormatting>
  <conditionalFormatting sqref="M615">
    <cfRule type="cellIs" priority="1704" operator="equal">
      <formula>"Clásica"</formula>
    </cfRule>
  </conditionalFormatting>
  <conditionalFormatting sqref="O615">
    <cfRule type="cellIs" priority="1705" operator="equal">
      <formula>"Inactiva"</formula>
    </cfRule>
  </conditionalFormatting>
  <conditionalFormatting sqref="J616">
    <cfRule type="cellIs" priority="1706" operator="equal">
      <formula>"$"</formula>
    </cfRule>
  </conditionalFormatting>
  <conditionalFormatting sqref="K616">
    <cfRule type="cellIs" priority="1707" operator="equal">
      <formula>"Nuevo"</formula>
    </cfRule>
  </conditionalFormatting>
  <conditionalFormatting sqref="L616">
    <cfRule type="cellIs" priority="1708" operator="equal">
      <formula>"Mercado Envíos gratis"</formula>
    </cfRule>
  </conditionalFormatting>
  <conditionalFormatting sqref="M616">
    <cfRule type="cellIs" priority="1709" operator="equal">
      <formula>"Clásica"</formula>
    </cfRule>
  </conditionalFormatting>
  <conditionalFormatting sqref="O616">
    <cfRule type="cellIs" priority="1710" operator="equal">
      <formula>"Inactiva"</formula>
    </cfRule>
  </conditionalFormatting>
  <conditionalFormatting sqref="J620">
    <cfRule type="cellIs" priority="1711" operator="equal">
      <formula>"$"</formula>
    </cfRule>
  </conditionalFormatting>
  <conditionalFormatting sqref="K620">
    <cfRule type="cellIs" priority="1712" operator="equal">
      <formula>"Nuevo"</formula>
    </cfRule>
  </conditionalFormatting>
  <conditionalFormatting sqref="L620">
    <cfRule type="cellIs" priority="1713" operator="equal">
      <formula>"Mercado Envíos a cargo del comprador"</formula>
    </cfRule>
  </conditionalFormatting>
  <conditionalFormatting sqref="M620">
    <cfRule type="cellIs" priority="1714" operator="equal">
      <formula>"Clásica"</formula>
    </cfRule>
  </conditionalFormatting>
  <conditionalFormatting sqref="O620">
    <cfRule type="cellIs" priority="1715" operator="equal">
      <formula>"Inactiva"</formula>
    </cfRule>
  </conditionalFormatting>
  <conditionalFormatting sqref="J621">
    <cfRule type="cellIs" priority="1716" operator="equal">
      <formula>"$"</formula>
    </cfRule>
  </conditionalFormatting>
  <conditionalFormatting sqref="K621">
    <cfRule type="cellIs" priority="1717" operator="equal">
      <formula>"Nuevo"</formula>
    </cfRule>
  </conditionalFormatting>
  <conditionalFormatting sqref="L621">
    <cfRule type="cellIs" priority="1718" operator="equal">
      <formula>"Mercado Envíos gratis"</formula>
    </cfRule>
  </conditionalFormatting>
  <conditionalFormatting sqref="M621">
    <cfRule type="cellIs" priority="1719" operator="equal">
      <formula>"Clásica"</formula>
    </cfRule>
  </conditionalFormatting>
  <conditionalFormatting sqref="O621">
    <cfRule type="cellIs" priority="1720" operator="equal">
      <formula>"Inactiva"</formula>
    </cfRule>
  </conditionalFormatting>
  <conditionalFormatting sqref="J622">
    <cfRule type="cellIs" priority="1721" operator="equal">
      <formula>"$"</formula>
    </cfRule>
  </conditionalFormatting>
  <conditionalFormatting sqref="K622">
    <cfRule type="cellIs" priority="1722" operator="equal">
      <formula>"Nuevo"</formula>
    </cfRule>
  </conditionalFormatting>
  <conditionalFormatting sqref="L622">
    <cfRule type="cellIs" priority="1723" operator="equal">
      <formula>"Mercado Envíos gratis"</formula>
    </cfRule>
  </conditionalFormatting>
  <conditionalFormatting sqref="M622">
    <cfRule type="cellIs" priority="1724" operator="equal">
      <formula>"Clásica"</formula>
    </cfRule>
  </conditionalFormatting>
  <conditionalFormatting sqref="O622">
    <cfRule type="cellIs" priority="1725" operator="equal">
      <formula>"Inactiva"</formula>
    </cfRule>
  </conditionalFormatting>
  <conditionalFormatting sqref="J625">
    <cfRule type="cellIs" priority="1726" operator="equal">
      <formula>"$"</formula>
    </cfRule>
  </conditionalFormatting>
  <conditionalFormatting sqref="K625">
    <cfRule type="cellIs" priority="1727" operator="equal">
      <formula>"Nuevo"</formula>
    </cfRule>
  </conditionalFormatting>
  <conditionalFormatting sqref="L625">
    <cfRule type="cellIs" priority="1728" operator="equal">
      <formula>"Mercado Envíos a cargo del comprador"</formula>
    </cfRule>
  </conditionalFormatting>
  <conditionalFormatting sqref="M625">
    <cfRule type="cellIs" priority="1729" operator="equal">
      <formula>"Premium"</formula>
    </cfRule>
  </conditionalFormatting>
  <conditionalFormatting sqref="O625">
    <cfRule type="cellIs" priority="1730" operator="equal">
      <formula>"Inactiva"</formula>
    </cfRule>
  </conditionalFormatting>
  <conditionalFormatting sqref="J626">
    <cfRule type="cellIs" priority="1731" operator="equal">
      <formula>"$"</formula>
    </cfRule>
  </conditionalFormatting>
  <conditionalFormatting sqref="L626">
    <cfRule type="cellIs" priority="1732" operator="equal">
      <formula>"Mercado Envíos gratis"</formula>
    </cfRule>
  </conditionalFormatting>
  <conditionalFormatting sqref="M626">
    <cfRule type="cellIs" priority="1733" operator="equal">
      <formula>"Clásica"</formula>
    </cfRule>
  </conditionalFormatting>
  <conditionalFormatting sqref="O626">
    <cfRule type="cellIs" priority="1734" operator="equal">
      <formula>"Inactiva"</formula>
    </cfRule>
  </conditionalFormatting>
  <conditionalFormatting sqref="J627">
    <cfRule type="cellIs" priority="1735" operator="equal">
      <formula>"$"</formula>
    </cfRule>
  </conditionalFormatting>
  <conditionalFormatting sqref="K627">
    <cfRule type="cellIs" priority="1736" operator="equal">
      <formula>"Nuevo"</formula>
    </cfRule>
  </conditionalFormatting>
  <conditionalFormatting sqref="L627">
    <cfRule type="cellIs" priority="1737" operator="equal">
      <formula>"Mercado Envíos gratis"</formula>
    </cfRule>
  </conditionalFormatting>
  <conditionalFormatting sqref="M627">
    <cfRule type="cellIs" priority="1738" operator="equal">
      <formula>"Clásica"</formula>
    </cfRule>
  </conditionalFormatting>
  <conditionalFormatting sqref="O627">
    <cfRule type="cellIs" priority="1739" operator="equal">
      <formula>"Inactiva"</formula>
    </cfRule>
  </conditionalFormatting>
  <conditionalFormatting sqref="J628">
    <cfRule type="cellIs" priority="1740" operator="equal">
      <formula>"$"</formula>
    </cfRule>
  </conditionalFormatting>
  <conditionalFormatting sqref="K628">
    <cfRule type="cellIs" priority="1741" operator="equal">
      <formula>"Nuevo"</formula>
    </cfRule>
  </conditionalFormatting>
  <conditionalFormatting sqref="L628">
    <cfRule type="cellIs" priority="1742" operator="equal">
      <formula>"Mercado Envíos gratis"</formula>
    </cfRule>
  </conditionalFormatting>
  <conditionalFormatting sqref="M628">
    <cfRule type="cellIs" priority="1743" operator="equal">
      <formula>"Clásica"</formula>
    </cfRule>
  </conditionalFormatting>
  <conditionalFormatting sqref="O628">
    <cfRule type="cellIs" priority="1744" operator="equal">
      <formula>"Inactiva"</formula>
    </cfRule>
  </conditionalFormatting>
  <conditionalFormatting sqref="J629">
    <cfRule type="cellIs" priority="1745" operator="equal">
      <formula>"$"</formula>
    </cfRule>
  </conditionalFormatting>
  <conditionalFormatting sqref="K629">
    <cfRule type="cellIs" priority="1746" operator="equal">
      <formula>"Nuevo"</formula>
    </cfRule>
  </conditionalFormatting>
  <conditionalFormatting sqref="L629">
    <cfRule type="cellIs" priority="1747" operator="equal">
      <formula>"Mercado Envíos a cargo del comprador"</formula>
    </cfRule>
  </conditionalFormatting>
  <conditionalFormatting sqref="M629">
    <cfRule type="cellIs" priority="1748" operator="equal">
      <formula>"Premium"</formula>
    </cfRule>
  </conditionalFormatting>
  <conditionalFormatting sqref="O629">
    <cfRule type="cellIs" priority="1749" operator="equal">
      <formula>"Inactiva"</formula>
    </cfRule>
  </conditionalFormatting>
  <conditionalFormatting sqref="J633">
    <cfRule type="cellIs" priority="1750" operator="equal">
      <formula>"$"</formula>
    </cfRule>
  </conditionalFormatting>
  <conditionalFormatting sqref="K633">
    <cfRule type="cellIs" priority="1751" operator="equal">
      <formula>"Nuevo"</formula>
    </cfRule>
  </conditionalFormatting>
  <conditionalFormatting sqref="L633">
    <cfRule type="cellIs" priority="1752" operator="equal">
      <formula>"Mercado Envíos gratis"</formula>
    </cfRule>
  </conditionalFormatting>
  <conditionalFormatting sqref="M633">
    <cfRule type="cellIs" priority="1753" operator="equal">
      <formula>"Clásica"</formula>
    </cfRule>
  </conditionalFormatting>
  <conditionalFormatting sqref="O633">
    <cfRule type="cellIs" priority="1754" operator="equal">
      <formula>"Inactiva"</formula>
    </cfRule>
  </conditionalFormatting>
  <conditionalFormatting sqref="J634">
    <cfRule type="cellIs" priority="1755" operator="equal">
      <formula>"$"</formula>
    </cfRule>
  </conditionalFormatting>
  <conditionalFormatting sqref="K634">
    <cfRule type="cellIs" priority="1756" operator="equal">
      <formula>"Nuevo"</formula>
    </cfRule>
  </conditionalFormatting>
  <conditionalFormatting sqref="L634">
    <cfRule type="cellIs" priority="1757" operator="equal">
      <formula>"Mercado Envíos gratis"</formula>
    </cfRule>
  </conditionalFormatting>
  <conditionalFormatting sqref="M634">
    <cfRule type="cellIs" priority="1758" operator="equal">
      <formula>"Clásica"</formula>
    </cfRule>
  </conditionalFormatting>
  <conditionalFormatting sqref="O634">
    <cfRule type="cellIs" priority="1759" operator="equal">
      <formula>"Inactiva"</formula>
    </cfRule>
  </conditionalFormatting>
  <conditionalFormatting sqref="J635">
    <cfRule type="cellIs" priority="1760" operator="equal">
      <formula>"$"</formula>
    </cfRule>
  </conditionalFormatting>
  <conditionalFormatting sqref="K635">
    <cfRule type="cellIs" priority="1761" operator="equal">
      <formula>"Nuevo"</formula>
    </cfRule>
  </conditionalFormatting>
  <conditionalFormatting sqref="L635">
    <cfRule type="cellIs" priority="1762" operator="equal">
      <formula>"Mercado Envíos a cargo del comprador"</formula>
    </cfRule>
  </conditionalFormatting>
  <conditionalFormatting sqref="M635">
    <cfRule type="cellIs" priority="1763" operator="equal">
      <formula>"Premium"</formula>
    </cfRule>
  </conditionalFormatting>
  <conditionalFormatting sqref="O635">
    <cfRule type="cellIs" priority="1764" operator="equal">
      <formula>"Inactiva"</formula>
    </cfRule>
  </conditionalFormatting>
  <conditionalFormatting sqref="J636">
    <cfRule type="cellIs" priority="1765" operator="equal">
      <formula>"$"</formula>
    </cfRule>
  </conditionalFormatting>
  <conditionalFormatting sqref="K636">
    <cfRule type="cellIs" priority="1766" operator="equal">
      <formula>"Nuevo"</formula>
    </cfRule>
  </conditionalFormatting>
  <conditionalFormatting sqref="L636">
    <cfRule type="cellIs" priority="1767" operator="equal">
      <formula>"Mercado Envíos a cargo del comprador"</formula>
    </cfRule>
  </conditionalFormatting>
  <conditionalFormatting sqref="M636">
    <cfRule type="cellIs" priority="1768" operator="equal">
      <formula>"Premium"</formula>
    </cfRule>
  </conditionalFormatting>
  <conditionalFormatting sqref="O636">
    <cfRule type="cellIs" priority="1769" operator="equal">
      <formula>"Inactiva"</formula>
    </cfRule>
  </conditionalFormatting>
  <conditionalFormatting sqref="J641">
    <cfRule type="cellIs" priority="1770" operator="equal">
      <formula>"$"</formula>
    </cfRule>
  </conditionalFormatting>
  <conditionalFormatting sqref="K641">
    <cfRule type="cellIs" priority="1771" operator="equal">
      <formula>"Nuevo"</formula>
    </cfRule>
  </conditionalFormatting>
  <conditionalFormatting sqref="L641">
    <cfRule type="cellIs" priority="1772" operator="equal">
      <formula>"Mercado Envíos gratis"</formula>
    </cfRule>
  </conditionalFormatting>
  <conditionalFormatting sqref="M641">
    <cfRule type="cellIs" priority="1773" operator="equal">
      <formula>"Clásica"</formula>
    </cfRule>
  </conditionalFormatting>
  <conditionalFormatting sqref="O641">
    <cfRule type="cellIs" priority="1774" operator="equal">
      <formula>"Inactiva"</formula>
    </cfRule>
  </conditionalFormatting>
  <conditionalFormatting sqref="J644">
    <cfRule type="cellIs" priority="1775" operator="equal">
      <formula>"$"</formula>
    </cfRule>
  </conditionalFormatting>
  <conditionalFormatting sqref="K644">
    <cfRule type="cellIs" priority="1776" operator="equal">
      <formula>"Nuevo"</formula>
    </cfRule>
  </conditionalFormatting>
  <conditionalFormatting sqref="L644">
    <cfRule type="cellIs" priority="1777" operator="equal">
      <formula>"Mercado Envíos gratis"</formula>
    </cfRule>
  </conditionalFormatting>
  <conditionalFormatting sqref="M644">
    <cfRule type="cellIs" priority="1778" operator="equal">
      <formula>"Clásica"</formula>
    </cfRule>
  </conditionalFormatting>
  <conditionalFormatting sqref="O644">
    <cfRule type="cellIs" priority="1779" operator="equal">
      <formula>"Inactiva"</formula>
    </cfRule>
  </conditionalFormatting>
  <conditionalFormatting sqref="J645">
    <cfRule type="cellIs" priority="1780" operator="equal">
      <formula>"$"</formula>
    </cfRule>
  </conditionalFormatting>
  <conditionalFormatting sqref="K645">
    <cfRule type="cellIs" priority="1781" operator="equal">
      <formula>"Nuevo"</formula>
    </cfRule>
  </conditionalFormatting>
  <conditionalFormatting sqref="L645">
    <cfRule type="cellIs" priority="1782" operator="equal">
      <formula>"Mercado Envíos a cargo del comprador"</formula>
    </cfRule>
  </conditionalFormatting>
  <conditionalFormatting sqref="M645">
    <cfRule type="cellIs" priority="1783" operator="equal">
      <formula>"Premium"</formula>
    </cfRule>
  </conditionalFormatting>
  <conditionalFormatting sqref="O645">
    <cfRule type="cellIs" priority="1784" operator="equal">
      <formula>"Inactiva"</formula>
    </cfRule>
  </conditionalFormatting>
  <conditionalFormatting sqref="J649">
    <cfRule type="cellIs" priority="1785" operator="equal">
      <formula>"$"</formula>
    </cfRule>
  </conditionalFormatting>
  <conditionalFormatting sqref="K649">
    <cfRule type="cellIs" priority="1786" operator="equal">
      <formula>"Nuevo"</formula>
    </cfRule>
  </conditionalFormatting>
  <conditionalFormatting sqref="L649">
    <cfRule type="cellIs" priority="1787" operator="equal">
      <formula>"Mercado Envíos gratis"</formula>
    </cfRule>
  </conditionalFormatting>
  <conditionalFormatting sqref="M649">
    <cfRule type="cellIs" priority="1788" operator="equal">
      <formula>"Clásica"</formula>
    </cfRule>
  </conditionalFormatting>
  <conditionalFormatting sqref="O649">
    <cfRule type="cellIs" priority="1789" operator="equal">
      <formula>"Inactiva"</formula>
    </cfRule>
  </conditionalFormatting>
  <conditionalFormatting sqref="J652">
    <cfRule type="cellIs" priority="1790" operator="equal">
      <formula>"$"</formula>
    </cfRule>
  </conditionalFormatting>
  <conditionalFormatting sqref="K652">
    <cfRule type="cellIs" priority="1791" operator="equal">
      <formula>"Nuevo"</formula>
    </cfRule>
  </conditionalFormatting>
  <conditionalFormatting sqref="L652">
    <cfRule type="cellIs" priority="1792" operator="equal">
      <formula>"Mercado Envíos gratis"</formula>
    </cfRule>
  </conditionalFormatting>
  <conditionalFormatting sqref="M652">
    <cfRule type="cellIs" priority="1793" operator="equal">
      <formula>"Clásica"</formula>
    </cfRule>
  </conditionalFormatting>
  <conditionalFormatting sqref="O652">
    <cfRule type="cellIs" priority="1794" operator="equal">
      <formula>"Inactiva"</formula>
    </cfRule>
  </conditionalFormatting>
  <conditionalFormatting sqref="J657">
    <cfRule type="cellIs" priority="1795" operator="equal">
      <formula>"$"</formula>
    </cfRule>
  </conditionalFormatting>
  <conditionalFormatting sqref="K657">
    <cfRule type="cellIs" priority="1796" operator="equal">
      <formula>"Nuevo"</formula>
    </cfRule>
  </conditionalFormatting>
  <conditionalFormatting sqref="L657">
    <cfRule type="cellIs" priority="1797" operator="equal">
      <formula>"Mercado Envíos a cargo del comprador"</formula>
    </cfRule>
  </conditionalFormatting>
  <conditionalFormatting sqref="M657">
    <cfRule type="cellIs" priority="1798" operator="equal">
      <formula>"Clásica"</formula>
    </cfRule>
  </conditionalFormatting>
  <conditionalFormatting sqref="O657">
    <cfRule type="cellIs" priority="1799" operator="equal">
      <formula>"Inactiva"</formula>
    </cfRule>
  </conditionalFormatting>
  <conditionalFormatting sqref="J658">
    <cfRule type="cellIs" priority="1800" operator="equal">
      <formula>"$"</formula>
    </cfRule>
  </conditionalFormatting>
  <conditionalFormatting sqref="K658">
    <cfRule type="cellIs" priority="1801" operator="equal">
      <formula>"Nuevo"</formula>
    </cfRule>
  </conditionalFormatting>
  <conditionalFormatting sqref="L658">
    <cfRule type="cellIs" priority="1802" operator="equal">
      <formula>"Mercado Envíos gratis"</formula>
    </cfRule>
  </conditionalFormatting>
  <conditionalFormatting sqref="M658">
    <cfRule type="cellIs" priority="1803" operator="equal">
      <formula>"Clásica"</formula>
    </cfRule>
  </conditionalFormatting>
  <conditionalFormatting sqref="O658">
    <cfRule type="cellIs" priority="1804" operator="equal">
      <formula>"Inactiva"</formula>
    </cfRule>
  </conditionalFormatting>
  <conditionalFormatting sqref="J659">
    <cfRule type="cellIs" priority="1805" operator="equal">
      <formula>"$"</formula>
    </cfRule>
  </conditionalFormatting>
  <conditionalFormatting sqref="K659">
    <cfRule type="cellIs" priority="1806" operator="equal">
      <formula>"Nuevo"</formula>
    </cfRule>
  </conditionalFormatting>
  <conditionalFormatting sqref="L659">
    <cfRule type="cellIs" priority="1807" operator="equal">
      <formula>"Mercado Envíos gratis"</formula>
    </cfRule>
  </conditionalFormatting>
  <conditionalFormatting sqref="M659">
    <cfRule type="cellIs" priority="1808" operator="equal">
      <formula>"Premium"</formula>
    </cfRule>
  </conditionalFormatting>
  <conditionalFormatting sqref="O659">
    <cfRule type="cellIs" priority="1809" operator="equal">
      <formula>"Inactiva"</formula>
    </cfRule>
  </conditionalFormatting>
  <conditionalFormatting sqref="J664">
    <cfRule type="cellIs" priority="1810" operator="equal">
      <formula>"$"</formula>
    </cfRule>
  </conditionalFormatting>
  <conditionalFormatting sqref="K664">
    <cfRule type="cellIs" priority="1811" operator="equal">
      <formula>"Nuevo"</formula>
    </cfRule>
  </conditionalFormatting>
  <conditionalFormatting sqref="L664">
    <cfRule type="cellIs" priority="1812" operator="equal">
      <formula>"Mercado Envíos gratis"</formula>
    </cfRule>
  </conditionalFormatting>
  <conditionalFormatting sqref="M664">
    <cfRule type="cellIs" priority="1813" operator="equal">
      <formula>"Clásica"</formula>
    </cfRule>
  </conditionalFormatting>
  <conditionalFormatting sqref="O664">
    <cfRule type="cellIs" priority="1814" operator="equal">
      <formula>"Inactiva"</formula>
    </cfRule>
  </conditionalFormatting>
  <conditionalFormatting sqref="J668">
    <cfRule type="cellIs" priority="1815" operator="equal">
      <formula>"$"</formula>
    </cfRule>
  </conditionalFormatting>
  <conditionalFormatting sqref="K668">
    <cfRule type="cellIs" priority="1816" operator="equal">
      <formula>"Nuevo"</formula>
    </cfRule>
  </conditionalFormatting>
  <conditionalFormatting sqref="L668">
    <cfRule type="cellIs" priority="1817" operator="equal">
      <formula>"Mercado Envíos gratis"</formula>
    </cfRule>
  </conditionalFormatting>
  <conditionalFormatting sqref="M668">
    <cfRule type="cellIs" priority="1818" operator="equal">
      <formula>"Clásica"</formula>
    </cfRule>
  </conditionalFormatting>
  <conditionalFormatting sqref="O668">
    <cfRule type="cellIs" priority="1819" operator="equal">
      <formula>"Inactiva"</formula>
    </cfRule>
  </conditionalFormatting>
  <conditionalFormatting sqref="J669">
    <cfRule type="cellIs" priority="1820" operator="equal">
      <formula>"$"</formula>
    </cfRule>
  </conditionalFormatting>
  <conditionalFormatting sqref="K669">
    <cfRule type="cellIs" priority="1821" operator="equal">
      <formula>"Nuevo"</formula>
    </cfRule>
  </conditionalFormatting>
  <conditionalFormatting sqref="L669">
    <cfRule type="cellIs" priority="1822" operator="equal">
      <formula>"Mercado Envíos gratis"</formula>
    </cfRule>
  </conditionalFormatting>
  <conditionalFormatting sqref="M669">
    <cfRule type="cellIs" priority="1823" operator="equal">
      <formula>"Clásica"</formula>
    </cfRule>
  </conditionalFormatting>
  <conditionalFormatting sqref="O669">
    <cfRule type="cellIs" priority="1824" operator="equal">
      <formula>"Inactiva"</formula>
    </cfRule>
  </conditionalFormatting>
  <conditionalFormatting sqref="J670">
    <cfRule type="cellIs" priority="1825" operator="equal">
      <formula>"$"</formula>
    </cfRule>
  </conditionalFormatting>
  <conditionalFormatting sqref="K670">
    <cfRule type="cellIs" priority="1826" operator="equal">
      <formula>"Nuevo"</formula>
    </cfRule>
  </conditionalFormatting>
  <conditionalFormatting sqref="L670">
    <cfRule type="cellIs" priority="1827" operator="equal">
      <formula>"Mercado Envíos gratis"</formula>
    </cfRule>
  </conditionalFormatting>
  <conditionalFormatting sqref="M670">
    <cfRule type="cellIs" priority="1828" operator="equal">
      <formula>"Clásica"</formula>
    </cfRule>
  </conditionalFormatting>
  <conditionalFormatting sqref="O670">
    <cfRule type="cellIs" priority="1829" operator="equal">
      <formula>"Inactiva"</formula>
    </cfRule>
  </conditionalFormatting>
  <conditionalFormatting sqref="J675">
    <cfRule type="cellIs" priority="1830" operator="equal">
      <formula>"$"</formula>
    </cfRule>
  </conditionalFormatting>
  <conditionalFormatting sqref="K675">
    <cfRule type="cellIs" priority="1831" operator="equal">
      <formula>"Nuevo"</formula>
    </cfRule>
  </conditionalFormatting>
  <conditionalFormatting sqref="L675">
    <cfRule type="cellIs" priority="1832" operator="equal">
      <formula>"Mercado Envíos a cargo del comprador"</formula>
    </cfRule>
  </conditionalFormatting>
  <conditionalFormatting sqref="M675">
    <cfRule type="cellIs" priority="1833" operator="equal">
      <formula>"Clásica"</formula>
    </cfRule>
  </conditionalFormatting>
  <conditionalFormatting sqref="O675">
    <cfRule type="cellIs" priority="1834" operator="equal">
      <formula>"Inactiva"</formula>
    </cfRule>
  </conditionalFormatting>
  <conditionalFormatting sqref="J676">
    <cfRule type="cellIs" priority="1835" operator="equal">
      <formula>"$"</formula>
    </cfRule>
  </conditionalFormatting>
  <conditionalFormatting sqref="K676">
    <cfRule type="cellIs" priority="1836" operator="equal">
      <formula>"Nuevo"</formula>
    </cfRule>
  </conditionalFormatting>
  <conditionalFormatting sqref="L676">
    <cfRule type="cellIs" priority="1837" operator="equal">
      <formula>"Mercado Envíos gratis"</formula>
    </cfRule>
  </conditionalFormatting>
  <conditionalFormatting sqref="M676">
    <cfRule type="cellIs" priority="1838" operator="equal">
      <formula>"Premium"</formula>
    </cfRule>
  </conditionalFormatting>
  <conditionalFormatting sqref="O676">
    <cfRule type="cellIs" priority="1839" operator="equal">
      <formula>"Inactiva"</formula>
    </cfRule>
  </conditionalFormatting>
  <conditionalFormatting sqref="J679">
    <cfRule type="cellIs" priority="1840" operator="equal">
      <formula>"$"</formula>
    </cfRule>
  </conditionalFormatting>
  <conditionalFormatting sqref="K679">
    <cfRule type="cellIs" priority="1841" operator="equal">
      <formula>"Nuevo"</formula>
    </cfRule>
  </conditionalFormatting>
  <conditionalFormatting sqref="L679">
    <cfRule type="cellIs" priority="1842" operator="equal">
      <formula>"Mercado Envíos gratis"</formula>
    </cfRule>
  </conditionalFormatting>
  <conditionalFormatting sqref="M679">
    <cfRule type="cellIs" priority="1843" operator="equal">
      <formula>"Clásica"</formula>
    </cfRule>
  </conditionalFormatting>
  <conditionalFormatting sqref="O679">
    <cfRule type="cellIs" priority="1844" operator="equal">
      <formula>"Inactiva"</formula>
    </cfRule>
  </conditionalFormatting>
  <conditionalFormatting sqref="J680">
    <cfRule type="cellIs" priority="1845" operator="equal">
      <formula>"$"</formula>
    </cfRule>
  </conditionalFormatting>
  <conditionalFormatting sqref="K680">
    <cfRule type="cellIs" priority="1846" operator="equal">
      <formula>"Nuevo"</formula>
    </cfRule>
  </conditionalFormatting>
  <conditionalFormatting sqref="L680">
    <cfRule type="cellIs" priority="1847" operator="equal">
      <formula>"Mercado Envíos a cargo del comprador"</formula>
    </cfRule>
  </conditionalFormatting>
  <conditionalFormatting sqref="M680">
    <cfRule type="cellIs" priority="1848" operator="equal">
      <formula>"Clásica"</formula>
    </cfRule>
  </conditionalFormatting>
  <conditionalFormatting sqref="O680">
    <cfRule type="cellIs" priority="1849" operator="equal">
      <formula>"Inactiva"</formula>
    </cfRule>
  </conditionalFormatting>
  <conditionalFormatting sqref="J686">
    <cfRule type="cellIs" priority="1850" operator="equal">
      <formula>"$"</formula>
    </cfRule>
  </conditionalFormatting>
  <conditionalFormatting sqref="K686">
    <cfRule type="cellIs" priority="1851" operator="equal">
      <formula>"Nuevo"</formula>
    </cfRule>
  </conditionalFormatting>
  <conditionalFormatting sqref="L686">
    <cfRule type="cellIs" priority="1852" operator="equal">
      <formula>"Mercado Envíos gratis"</formula>
    </cfRule>
  </conditionalFormatting>
  <conditionalFormatting sqref="M686">
    <cfRule type="cellIs" priority="1853" operator="equal">
      <formula>"Clásica"</formula>
    </cfRule>
  </conditionalFormatting>
  <conditionalFormatting sqref="O686">
    <cfRule type="cellIs" priority="1854" operator="equal">
      <formula>"Inactiva"</formula>
    </cfRule>
  </conditionalFormatting>
  <conditionalFormatting sqref="J687">
    <cfRule type="cellIs" priority="1855" operator="equal">
      <formula>"$"</formula>
    </cfRule>
  </conditionalFormatting>
  <conditionalFormatting sqref="K687">
    <cfRule type="cellIs" priority="1856" operator="equal">
      <formula>"Nuevo"</formula>
    </cfRule>
  </conditionalFormatting>
  <conditionalFormatting sqref="L687">
    <cfRule type="cellIs" priority="1857" operator="equal">
      <formula>"Mercado Envíos gratis"</formula>
    </cfRule>
  </conditionalFormatting>
  <conditionalFormatting sqref="M687">
    <cfRule type="cellIs" priority="1858" operator="equal">
      <formula>"Clásica"</formula>
    </cfRule>
  </conditionalFormatting>
  <conditionalFormatting sqref="O687">
    <cfRule type="cellIs" priority="1859" operator="equal">
      <formula>"Inactiva"</formula>
    </cfRule>
  </conditionalFormatting>
  <conditionalFormatting sqref="J690">
    <cfRule type="cellIs" priority="1860" operator="equal">
      <formula>"$"</formula>
    </cfRule>
  </conditionalFormatting>
  <conditionalFormatting sqref="K690">
    <cfRule type="cellIs" priority="1861" operator="equal">
      <formula>"Nuevo"</formula>
    </cfRule>
  </conditionalFormatting>
  <conditionalFormatting sqref="L690">
    <cfRule type="cellIs" priority="1862" operator="equal">
      <formula>"Mercado Envíos gratis"</formula>
    </cfRule>
  </conditionalFormatting>
  <conditionalFormatting sqref="M690">
    <cfRule type="cellIs" priority="1863" operator="equal">
      <formula>"Clásica"</formula>
    </cfRule>
  </conditionalFormatting>
  <conditionalFormatting sqref="O690">
    <cfRule type="cellIs" priority="1864" operator="equal">
      <formula>"Inactiva"</formula>
    </cfRule>
  </conditionalFormatting>
  <conditionalFormatting sqref="J691">
    <cfRule type="cellIs" priority="1865" operator="equal">
      <formula>"$"</formula>
    </cfRule>
  </conditionalFormatting>
  <conditionalFormatting sqref="K691">
    <cfRule type="cellIs" priority="1866" operator="equal">
      <formula>"Nuevo"</formula>
    </cfRule>
  </conditionalFormatting>
  <conditionalFormatting sqref="L691">
    <cfRule type="cellIs" priority="1867" operator="equal">
      <formula>"Mercado Envíos gratis"</formula>
    </cfRule>
  </conditionalFormatting>
  <conditionalFormatting sqref="M691">
    <cfRule type="cellIs" priority="1868" operator="equal">
      <formula>"Clásica"</formula>
    </cfRule>
  </conditionalFormatting>
  <conditionalFormatting sqref="O691">
    <cfRule type="cellIs" priority="1869" operator="equal">
      <formula>"Inactiva"</formula>
    </cfRule>
  </conditionalFormatting>
  <conditionalFormatting sqref="J692">
    <cfRule type="cellIs" priority="1870" operator="equal">
      <formula>"$"</formula>
    </cfRule>
  </conditionalFormatting>
  <conditionalFormatting sqref="K692">
    <cfRule type="cellIs" priority="1871" operator="equal">
      <formula>"Nuevo"</formula>
    </cfRule>
  </conditionalFormatting>
  <conditionalFormatting sqref="L692">
    <cfRule type="cellIs" priority="1872" operator="equal">
      <formula>"Mercado Envíos gratis"</formula>
    </cfRule>
  </conditionalFormatting>
  <conditionalFormatting sqref="M692">
    <cfRule type="cellIs" priority="1873" operator="equal">
      <formula>"Clásica"</formula>
    </cfRule>
  </conditionalFormatting>
  <conditionalFormatting sqref="O692">
    <cfRule type="cellIs" priority="1874" operator="equal">
      <formula>"Inactiva"</formula>
    </cfRule>
  </conditionalFormatting>
  <conditionalFormatting sqref="J695">
    <cfRule type="cellIs" priority="1875" operator="equal">
      <formula>"$"</formula>
    </cfRule>
  </conditionalFormatting>
  <conditionalFormatting sqref="K695">
    <cfRule type="cellIs" priority="1876" operator="equal">
      <formula>"Nuevo"</formula>
    </cfRule>
  </conditionalFormatting>
  <conditionalFormatting sqref="L695">
    <cfRule type="cellIs" priority="1877" operator="equal">
      <formula>"Mercado Envíos gratis"</formula>
    </cfRule>
  </conditionalFormatting>
  <conditionalFormatting sqref="M695">
    <cfRule type="cellIs" priority="1878" operator="equal">
      <formula>"Clásica"</formula>
    </cfRule>
  </conditionalFormatting>
  <conditionalFormatting sqref="O695">
    <cfRule type="cellIs" priority="1879" operator="equal">
      <formula>"Inactiva"</formula>
    </cfRule>
  </conditionalFormatting>
  <conditionalFormatting sqref="J699">
    <cfRule type="cellIs" priority="1880" operator="equal">
      <formula>"$"</formula>
    </cfRule>
  </conditionalFormatting>
  <conditionalFormatting sqref="K699">
    <cfRule type="cellIs" priority="1881" operator="equal">
      <formula>"Nuevo"</formula>
    </cfRule>
  </conditionalFormatting>
  <conditionalFormatting sqref="L699">
    <cfRule type="cellIs" priority="1882" operator="equal">
      <formula>"Mercado Envíos gratis"</formula>
    </cfRule>
  </conditionalFormatting>
  <conditionalFormatting sqref="M699">
    <cfRule type="cellIs" priority="1883" operator="equal">
      <formula>"Clásica"</formula>
    </cfRule>
  </conditionalFormatting>
  <conditionalFormatting sqref="O699">
    <cfRule type="cellIs" priority="1884" operator="equal">
      <formula>"Inactiva"</formula>
    </cfRule>
  </conditionalFormatting>
  <conditionalFormatting sqref="J700">
    <cfRule type="cellIs" priority="1885" operator="equal">
      <formula>"$"</formula>
    </cfRule>
  </conditionalFormatting>
  <conditionalFormatting sqref="K700">
    <cfRule type="cellIs" priority="1886" operator="equal">
      <formula>"Nuevo"</formula>
    </cfRule>
  </conditionalFormatting>
  <conditionalFormatting sqref="L700">
    <cfRule type="cellIs" priority="1887" operator="equal">
      <formula>"Mercado Envíos a cargo del comprador"</formula>
    </cfRule>
  </conditionalFormatting>
  <conditionalFormatting sqref="M700">
    <cfRule type="cellIs" priority="1888" operator="equal">
      <formula>"Clásica"</formula>
    </cfRule>
  </conditionalFormatting>
  <conditionalFormatting sqref="O700">
    <cfRule type="cellIs" priority="1889" operator="equal">
      <formula>"Inactiva"</formula>
    </cfRule>
  </conditionalFormatting>
  <conditionalFormatting sqref="J701">
    <cfRule type="cellIs" priority="1890" operator="equal">
      <formula>"$"</formula>
    </cfRule>
  </conditionalFormatting>
  <conditionalFormatting sqref="K701">
    <cfRule type="cellIs" priority="1891" operator="equal">
      <formula>"Nuevo"</formula>
    </cfRule>
  </conditionalFormatting>
  <conditionalFormatting sqref="L701">
    <cfRule type="cellIs" priority="1892" operator="equal">
      <formula>"Mercado Envíos a cargo del comprador"</formula>
    </cfRule>
  </conditionalFormatting>
  <conditionalFormatting sqref="M701">
    <cfRule type="cellIs" priority="1893" operator="equal">
      <formula>"Clásica"</formula>
    </cfRule>
  </conditionalFormatting>
  <conditionalFormatting sqref="O701">
    <cfRule type="cellIs" priority="1894" operator="equal">
      <formula>"Inactiva"</formula>
    </cfRule>
  </conditionalFormatting>
  <conditionalFormatting sqref="J702">
    <cfRule type="cellIs" priority="1895" operator="equal">
      <formula>"$"</formula>
    </cfRule>
  </conditionalFormatting>
  <conditionalFormatting sqref="K702">
    <cfRule type="cellIs" priority="1896" operator="equal">
      <formula>"Nuevo"</formula>
    </cfRule>
  </conditionalFormatting>
  <conditionalFormatting sqref="L702">
    <cfRule type="cellIs" priority="1897" operator="equal">
      <formula>"Mercado Envíos a cargo del comprador"</formula>
    </cfRule>
  </conditionalFormatting>
  <conditionalFormatting sqref="M702">
    <cfRule type="cellIs" priority="1898" operator="equal">
      <formula>"Clásica"</formula>
    </cfRule>
  </conditionalFormatting>
  <conditionalFormatting sqref="O702">
    <cfRule type="cellIs" priority="1899" operator="equal">
      <formula>"Inactiva"</formula>
    </cfRule>
  </conditionalFormatting>
  <conditionalFormatting sqref="J706">
    <cfRule type="cellIs" priority="1900" operator="equal">
      <formula>"$"</formula>
    </cfRule>
  </conditionalFormatting>
  <conditionalFormatting sqref="K706">
    <cfRule type="cellIs" priority="1901" operator="equal">
      <formula>"Nuevo"</formula>
    </cfRule>
  </conditionalFormatting>
  <conditionalFormatting sqref="L706">
    <cfRule type="cellIs" priority="1902" operator="equal">
      <formula>"Mercado Envíos gratis"</formula>
    </cfRule>
  </conditionalFormatting>
  <conditionalFormatting sqref="M706">
    <cfRule type="cellIs" priority="1903" operator="equal">
      <formula>"Clásica"</formula>
    </cfRule>
  </conditionalFormatting>
  <conditionalFormatting sqref="O706">
    <cfRule type="cellIs" priority="1904" operator="equal">
      <formula>"Inactiva"</formula>
    </cfRule>
  </conditionalFormatting>
  <conditionalFormatting sqref="J707">
    <cfRule type="cellIs" priority="1905" operator="equal">
      <formula>"$"</formula>
    </cfRule>
  </conditionalFormatting>
  <conditionalFormatting sqref="K707">
    <cfRule type="cellIs" priority="1906" operator="equal">
      <formula>"Nuevo"</formula>
    </cfRule>
  </conditionalFormatting>
  <conditionalFormatting sqref="L707">
    <cfRule type="cellIs" priority="1907" operator="equal">
      <formula>"Mercado Envíos gratis"</formula>
    </cfRule>
  </conditionalFormatting>
  <conditionalFormatting sqref="M707">
    <cfRule type="cellIs" priority="1908" operator="equal">
      <formula>"Clásica"</formula>
    </cfRule>
  </conditionalFormatting>
  <conditionalFormatting sqref="O707">
    <cfRule type="cellIs" priority="1909" operator="equal">
      <formula>"Inactiva"</formula>
    </cfRule>
  </conditionalFormatting>
  <conditionalFormatting sqref="J708">
    <cfRule type="cellIs" priority="1910" operator="equal">
      <formula>"$"</formula>
    </cfRule>
  </conditionalFormatting>
  <conditionalFormatting sqref="K708">
    <cfRule type="cellIs" priority="1911" operator="equal">
      <formula>"Nuevo"</formula>
    </cfRule>
  </conditionalFormatting>
  <conditionalFormatting sqref="L708">
    <cfRule type="cellIs" priority="1912" operator="equal">
      <formula>"Mercado Envíos gratis"</formula>
    </cfRule>
  </conditionalFormatting>
  <conditionalFormatting sqref="M708">
    <cfRule type="cellIs" priority="1913" operator="equal">
      <formula>"Clásica"</formula>
    </cfRule>
  </conditionalFormatting>
  <conditionalFormatting sqref="O708">
    <cfRule type="cellIs" priority="1914" operator="equal">
      <formula>"Inactiva"</formula>
    </cfRule>
  </conditionalFormatting>
  <conditionalFormatting sqref="J709">
    <cfRule type="cellIs" priority="1915" operator="equal">
      <formula>"$"</formula>
    </cfRule>
  </conditionalFormatting>
  <conditionalFormatting sqref="K709">
    <cfRule type="cellIs" priority="1916" operator="equal">
      <formula>"Nuevo"</formula>
    </cfRule>
  </conditionalFormatting>
  <conditionalFormatting sqref="L709">
    <cfRule type="cellIs" priority="1917" operator="equal">
      <formula>"Mercado Envíos gratis"</formula>
    </cfRule>
  </conditionalFormatting>
  <conditionalFormatting sqref="M709">
    <cfRule type="cellIs" priority="1918" operator="equal">
      <formula>"Clásica"</formula>
    </cfRule>
  </conditionalFormatting>
  <conditionalFormatting sqref="O709">
    <cfRule type="cellIs" priority="1919" operator="equal">
      <formula>"Inactiva"</formula>
    </cfRule>
  </conditionalFormatting>
  <conditionalFormatting sqref="J710">
    <cfRule type="cellIs" priority="1920" operator="equal">
      <formula>"$"</formula>
    </cfRule>
  </conditionalFormatting>
  <conditionalFormatting sqref="K710">
    <cfRule type="cellIs" priority="1921" operator="equal">
      <formula>"Nuevo"</formula>
    </cfRule>
  </conditionalFormatting>
  <conditionalFormatting sqref="L710">
    <cfRule type="cellIs" priority="1922" operator="equal">
      <formula>"Mercado Envíos gratis"</formula>
    </cfRule>
  </conditionalFormatting>
  <conditionalFormatting sqref="M710">
    <cfRule type="cellIs" priority="1923" operator="equal">
      <formula>"Clásica"</formula>
    </cfRule>
  </conditionalFormatting>
  <conditionalFormatting sqref="O710">
    <cfRule type="cellIs" priority="1924" operator="equal">
      <formula>"Inactiva"</formula>
    </cfRule>
  </conditionalFormatting>
  <conditionalFormatting sqref="J711">
    <cfRule type="cellIs" priority="1925" operator="equal">
      <formula>"$"</formula>
    </cfRule>
  </conditionalFormatting>
  <conditionalFormatting sqref="K711">
    <cfRule type="cellIs" priority="1926" operator="equal">
      <formula>"Nuevo"</formula>
    </cfRule>
  </conditionalFormatting>
  <conditionalFormatting sqref="L711">
    <cfRule type="cellIs" priority="1927" operator="equal">
      <formula>"Mercado Envíos gratis"</formula>
    </cfRule>
  </conditionalFormatting>
  <conditionalFormatting sqref="M711">
    <cfRule type="cellIs" priority="1928" operator="equal">
      <formula>"Clásica"</formula>
    </cfRule>
  </conditionalFormatting>
  <conditionalFormatting sqref="O711">
    <cfRule type="cellIs" priority="1929" operator="equal">
      <formula>"Inactiva"</formula>
    </cfRule>
  </conditionalFormatting>
  <conditionalFormatting sqref="J714">
    <cfRule type="cellIs" priority="1930" operator="equal">
      <formula>"$"</formula>
    </cfRule>
  </conditionalFormatting>
  <conditionalFormatting sqref="K714">
    <cfRule type="cellIs" priority="1931" operator="equal">
      <formula>"Nuevo"</formula>
    </cfRule>
  </conditionalFormatting>
  <conditionalFormatting sqref="L714">
    <cfRule type="cellIs" priority="1932" operator="equal">
      <formula>"Mercado Envíos gratis"</formula>
    </cfRule>
  </conditionalFormatting>
  <conditionalFormatting sqref="M714">
    <cfRule type="cellIs" priority="1933" operator="equal">
      <formula>"Clásica"</formula>
    </cfRule>
  </conditionalFormatting>
  <conditionalFormatting sqref="O714">
    <cfRule type="cellIs" priority="1934" operator="equal">
      <formula>"Inactiva"</formula>
    </cfRule>
  </conditionalFormatting>
  <conditionalFormatting sqref="J717">
    <cfRule type="cellIs" priority="1935" operator="equal">
      <formula>"$"</formula>
    </cfRule>
  </conditionalFormatting>
  <conditionalFormatting sqref="K717">
    <cfRule type="cellIs" priority="1936" operator="equal">
      <formula>"Nuevo"</formula>
    </cfRule>
  </conditionalFormatting>
  <conditionalFormatting sqref="L717">
    <cfRule type="cellIs" priority="1937" operator="equal">
      <formula>"Mercado Envíos gratis"</formula>
    </cfRule>
  </conditionalFormatting>
  <conditionalFormatting sqref="M717">
    <cfRule type="cellIs" priority="1938" operator="equal">
      <formula>"Clásica"</formula>
    </cfRule>
  </conditionalFormatting>
  <conditionalFormatting sqref="O717">
    <cfRule type="cellIs" priority="1939" operator="equal">
      <formula>"Inactiva"</formula>
    </cfRule>
  </conditionalFormatting>
  <conditionalFormatting sqref="J720">
    <cfRule type="cellIs" priority="1940" operator="equal">
      <formula>"$"</formula>
    </cfRule>
  </conditionalFormatting>
  <conditionalFormatting sqref="K720">
    <cfRule type="cellIs" priority="1941" operator="equal">
      <formula>"Nuevo"</formula>
    </cfRule>
  </conditionalFormatting>
  <conditionalFormatting sqref="L720">
    <cfRule type="cellIs" priority="1942" operator="equal">
      <formula>"Mercado Envíos gratis"</formula>
    </cfRule>
  </conditionalFormatting>
  <conditionalFormatting sqref="M720">
    <cfRule type="cellIs" priority="1943" operator="equal">
      <formula>"Clásica"</formula>
    </cfRule>
  </conditionalFormatting>
  <conditionalFormatting sqref="O720">
    <cfRule type="cellIs" priority="1944" operator="equal">
      <formula>"Inactiva"</formula>
    </cfRule>
  </conditionalFormatting>
  <conditionalFormatting sqref="J721">
    <cfRule type="cellIs" priority="1945" operator="equal">
      <formula>"$"</formula>
    </cfRule>
  </conditionalFormatting>
  <conditionalFormatting sqref="K721">
    <cfRule type="cellIs" priority="1946" operator="equal">
      <formula>"Nuevo"</formula>
    </cfRule>
  </conditionalFormatting>
  <conditionalFormatting sqref="L721">
    <cfRule type="cellIs" priority="1947" operator="equal">
      <formula>"Mercado Envíos gratis"</formula>
    </cfRule>
  </conditionalFormatting>
  <conditionalFormatting sqref="M721">
    <cfRule type="cellIs" priority="1948" operator="equal">
      <formula>"Clásica"</formula>
    </cfRule>
  </conditionalFormatting>
  <conditionalFormatting sqref="O721">
    <cfRule type="cellIs" priority="1949" operator="equal">
      <formula>"Inactiva"</formula>
    </cfRule>
  </conditionalFormatting>
  <conditionalFormatting sqref="J722">
    <cfRule type="cellIs" priority="1950" operator="equal">
      <formula>"$"</formula>
    </cfRule>
  </conditionalFormatting>
  <conditionalFormatting sqref="K722">
    <cfRule type="cellIs" priority="1951" operator="equal">
      <formula>"Nuevo"</formula>
    </cfRule>
  </conditionalFormatting>
  <conditionalFormatting sqref="L722">
    <cfRule type="cellIs" priority="1952" operator="equal">
      <formula>"Mercado Envíos gratis"</formula>
    </cfRule>
  </conditionalFormatting>
  <conditionalFormatting sqref="M722">
    <cfRule type="cellIs" priority="1953" operator="equal">
      <formula>"Clásica"</formula>
    </cfRule>
  </conditionalFormatting>
  <conditionalFormatting sqref="O722">
    <cfRule type="cellIs" priority="1954" operator="equal">
      <formula>"Inactiva"</formula>
    </cfRule>
  </conditionalFormatting>
  <conditionalFormatting sqref="J723">
    <cfRule type="cellIs" priority="1955" operator="equal">
      <formula>"$"</formula>
    </cfRule>
  </conditionalFormatting>
  <conditionalFormatting sqref="K723">
    <cfRule type="cellIs" priority="1956" operator="equal">
      <formula>"Nuevo"</formula>
    </cfRule>
  </conditionalFormatting>
  <conditionalFormatting sqref="L723">
    <cfRule type="cellIs" priority="1957" operator="equal">
      <formula>"Mercado Envíos gratis"</formula>
    </cfRule>
  </conditionalFormatting>
  <conditionalFormatting sqref="M723">
    <cfRule type="cellIs" priority="1958" operator="equal">
      <formula>"Clásica"</formula>
    </cfRule>
  </conditionalFormatting>
  <conditionalFormatting sqref="O723">
    <cfRule type="cellIs" priority="1959" operator="equal">
      <formula>"Inactiva"</formula>
    </cfRule>
  </conditionalFormatting>
  <conditionalFormatting sqref="J726">
    <cfRule type="cellIs" priority="1960" operator="equal">
      <formula>"$"</formula>
    </cfRule>
  </conditionalFormatting>
  <conditionalFormatting sqref="K726">
    <cfRule type="cellIs" priority="1961" operator="equal">
      <formula>"Nuevo"</formula>
    </cfRule>
  </conditionalFormatting>
  <conditionalFormatting sqref="L726">
    <cfRule type="cellIs" priority="1962" operator="equal">
      <formula>"Mercado Envíos gratis"</formula>
    </cfRule>
  </conditionalFormatting>
  <conditionalFormatting sqref="M726">
    <cfRule type="cellIs" priority="1963" operator="equal">
      <formula>"Clásica"</formula>
    </cfRule>
  </conditionalFormatting>
  <conditionalFormatting sqref="O726">
    <cfRule type="cellIs" priority="1964" operator="equal">
      <formula>"Inactiva"</formula>
    </cfRule>
  </conditionalFormatting>
  <conditionalFormatting sqref="J727">
    <cfRule type="cellIs" priority="1965" operator="equal">
      <formula>"$"</formula>
    </cfRule>
  </conditionalFormatting>
  <conditionalFormatting sqref="K727">
    <cfRule type="cellIs" priority="1966" operator="equal">
      <formula>"Nuevo"</formula>
    </cfRule>
  </conditionalFormatting>
  <conditionalFormatting sqref="L727">
    <cfRule type="cellIs" priority="1967" operator="equal">
      <formula>"Mercado Envíos gratis"</formula>
    </cfRule>
  </conditionalFormatting>
  <conditionalFormatting sqref="M727">
    <cfRule type="cellIs" priority="1968" operator="equal">
      <formula>"Clásica"</formula>
    </cfRule>
  </conditionalFormatting>
  <conditionalFormatting sqref="O727">
    <cfRule type="cellIs" priority="1969" operator="equal">
      <formula>"Inactiva"</formula>
    </cfRule>
  </conditionalFormatting>
  <conditionalFormatting sqref="J728">
    <cfRule type="cellIs" priority="1970" operator="equal">
      <formula>"$"</formula>
    </cfRule>
  </conditionalFormatting>
  <conditionalFormatting sqref="K728">
    <cfRule type="cellIs" priority="1971" operator="equal">
      <formula>"Nuevo"</formula>
    </cfRule>
  </conditionalFormatting>
  <conditionalFormatting sqref="L728">
    <cfRule type="cellIs" priority="1972" operator="equal">
      <formula>"Mercado Envíos a cargo del comprador"</formula>
    </cfRule>
  </conditionalFormatting>
  <conditionalFormatting sqref="M728">
    <cfRule type="cellIs" priority="1973" operator="equal">
      <formula>"Premium"</formula>
    </cfRule>
  </conditionalFormatting>
  <conditionalFormatting sqref="O728">
    <cfRule type="cellIs" priority="1974" operator="equal">
      <formula>"Inactiva"</formula>
    </cfRule>
  </conditionalFormatting>
  <conditionalFormatting sqref="J729">
    <cfRule type="cellIs" priority="1975" operator="equal">
      <formula>"$"</formula>
    </cfRule>
  </conditionalFormatting>
  <conditionalFormatting sqref="K729">
    <cfRule type="cellIs" priority="1976" operator="equal">
      <formula>"Nuevo"</formula>
    </cfRule>
  </conditionalFormatting>
  <conditionalFormatting sqref="L729">
    <cfRule type="cellIs" priority="1977" operator="equal">
      <formula>"Mercado Envíos a cargo del comprador"</formula>
    </cfRule>
  </conditionalFormatting>
  <conditionalFormatting sqref="M729">
    <cfRule type="cellIs" priority="1978" operator="equal">
      <formula>"Clásica"</formula>
    </cfRule>
  </conditionalFormatting>
  <conditionalFormatting sqref="O729">
    <cfRule type="cellIs" priority="1979" operator="equal">
      <formula>"Inactiva"</formula>
    </cfRule>
  </conditionalFormatting>
  <conditionalFormatting sqref="J730">
    <cfRule type="cellIs" priority="1980" operator="equal">
      <formula>"$"</formula>
    </cfRule>
  </conditionalFormatting>
  <conditionalFormatting sqref="K730">
    <cfRule type="cellIs" priority="1981" operator="equal">
      <formula>"Nuevo"</formula>
    </cfRule>
  </conditionalFormatting>
  <conditionalFormatting sqref="L730">
    <cfRule type="cellIs" priority="1982" operator="equal">
      <formula>"Mercado Envíos gratis"</formula>
    </cfRule>
  </conditionalFormatting>
  <conditionalFormatting sqref="M730">
    <cfRule type="cellIs" priority="1983" operator="equal">
      <formula>"Clásica"</formula>
    </cfRule>
  </conditionalFormatting>
  <conditionalFormatting sqref="O730">
    <cfRule type="cellIs" priority="1984" operator="equal">
      <formula>"Inactiva"</formula>
    </cfRule>
  </conditionalFormatting>
  <conditionalFormatting sqref="J731">
    <cfRule type="cellIs" priority="1985" operator="equal">
      <formula>"$"</formula>
    </cfRule>
  </conditionalFormatting>
  <conditionalFormatting sqref="K731">
    <cfRule type="cellIs" priority="1986" operator="equal">
      <formula>"Nuevo"</formula>
    </cfRule>
  </conditionalFormatting>
  <conditionalFormatting sqref="L731">
    <cfRule type="cellIs" priority="1987" operator="equal">
      <formula>"Mercado Envíos gratis"</formula>
    </cfRule>
  </conditionalFormatting>
  <conditionalFormatting sqref="M731">
    <cfRule type="cellIs" priority="1988" operator="equal">
      <formula>"Clásica"</formula>
    </cfRule>
  </conditionalFormatting>
  <conditionalFormatting sqref="O731">
    <cfRule type="cellIs" priority="1989" operator="equal">
      <formula>"Inactiva"</formula>
    </cfRule>
  </conditionalFormatting>
  <conditionalFormatting sqref="J732">
    <cfRule type="cellIs" priority="1990" operator="equal">
      <formula>"$"</formula>
    </cfRule>
  </conditionalFormatting>
  <conditionalFormatting sqref="K732">
    <cfRule type="cellIs" priority="1991" operator="equal">
      <formula>"Nuevo"</formula>
    </cfRule>
  </conditionalFormatting>
  <conditionalFormatting sqref="L732">
    <cfRule type="cellIs" priority="1992" operator="equal">
      <formula>"Mercado Envíos gratis"</formula>
    </cfRule>
  </conditionalFormatting>
  <conditionalFormatting sqref="M732">
    <cfRule type="cellIs" priority="1993" operator="equal">
      <formula>"Clásica"</formula>
    </cfRule>
  </conditionalFormatting>
  <conditionalFormatting sqref="O732">
    <cfRule type="cellIs" priority="1994" operator="equal">
      <formula>"Inactiva"</formula>
    </cfRule>
  </conditionalFormatting>
  <conditionalFormatting sqref="J733">
    <cfRule type="cellIs" priority="1995" operator="equal">
      <formula>"$"</formula>
    </cfRule>
  </conditionalFormatting>
  <conditionalFormatting sqref="K733">
    <cfRule type="cellIs" priority="1996" operator="equal">
      <formula>"Nuevo"</formula>
    </cfRule>
  </conditionalFormatting>
  <conditionalFormatting sqref="L733">
    <cfRule type="cellIs" priority="1997" operator="equal">
      <formula>"Mercado Envíos a cargo del comprador"</formula>
    </cfRule>
  </conditionalFormatting>
  <conditionalFormatting sqref="M733">
    <cfRule type="cellIs" priority="1998" operator="equal">
      <formula>"Clásica"</formula>
    </cfRule>
  </conditionalFormatting>
  <conditionalFormatting sqref="O733">
    <cfRule type="cellIs" priority="1999" operator="equal">
      <formula>"Inactiva"</formula>
    </cfRule>
  </conditionalFormatting>
  <conditionalFormatting sqref="J734">
    <cfRule type="cellIs" priority="2000" operator="equal">
      <formula>"$"</formula>
    </cfRule>
  </conditionalFormatting>
  <conditionalFormatting sqref="K734">
    <cfRule type="cellIs" priority="2001" operator="equal">
      <formula>"Nuevo"</formula>
    </cfRule>
  </conditionalFormatting>
  <conditionalFormatting sqref="L734">
    <cfRule type="cellIs" priority="2002" operator="equal">
      <formula>"Mercado Envíos gratis"</formula>
    </cfRule>
  </conditionalFormatting>
  <conditionalFormatting sqref="M734">
    <cfRule type="cellIs" priority="2003" operator="equal">
      <formula>"Clásica"</formula>
    </cfRule>
  </conditionalFormatting>
  <conditionalFormatting sqref="O734">
    <cfRule type="cellIs" priority="2004" operator="equal">
      <formula>"Inactiva"</formula>
    </cfRule>
  </conditionalFormatting>
  <conditionalFormatting sqref="J737">
    <cfRule type="cellIs" priority="2005" operator="equal">
      <formula>"$"</formula>
    </cfRule>
  </conditionalFormatting>
  <conditionalFormatting sqref="K737">
    <cfRule type="cellIs" priority="2006" operator="equal">
      <formula>"Nuevo"</formula>
    </cfRule>
  </conditionalFormatting>
  <conditionalFormatting sqref="L737">
    <cfRule type="cellIs" priority="2007" operator="equal">
      <formula>"Mercado Envíos gratis"</formula>
    </cfRule>
  </conditionalFormatting>
  <conditionalFormatting sqref="M737">
    <cfRule type="cellIs" priority="2008" operator="equal">
      <formula>"Clásica"</formula>
    </cfRule>
  </conditionalFormatting>
  <conditionalFormatting sqref="O737">
    <cfRule type="cellIs" priority="2009" operator="equal">
      <formula>"Inactiva"</formula>
    </cfRule>
  </conditionalFormatting>
  <conditionalFormatting sqref="J738">
    <cfRule type="cellIs" priority="2010" operator="equal">
      <formula>"$"</formula>
    </cfRule>
  </conditionalFormatting>
  <conditionalFormatting sqref="K738">
    <cfRule type="cellIs" priority="2011" operator="equal">
      <formula>"Nuevo"</formula>
    </cfRule>
  </conditionalFormatting>
  <conditionalFormatting sqref="L738">
    <cfRule type="cellIs" priority="2012" operator="equal">
      <formula>"Mercado Envíos a cargo del comprador"</formula>
    </cfRule>
  </conditionalFormatting>
  <conditionalFormatting sqref="M738">
    <cfRule type="cellIs" priority="2013" operator="equal">
      <formula>"Clásica"</formula>
    </cfRule>
  </conditionalFormatting>
  <conditionalFormatting sqref="O738">
    <cfRule type="cellIs" priority="2014" operator="equal">
      <formula>"Inactiva"</formula>
    </cfRule>
  </conditionalFormatting>
  <conditionalFormatting sqref="J739">
    <cfRule type="cellIs" priority="2015" operator="equal">
      <formula>"$"</formula>
    </cfRule>
  </conditionalFormatting>
  <conditionalFormatting sqref="K739">
    <cfRule type="cellIs" priority="2016" operator="equal">
      <formula>"Nuevo"</formula>
    </cfRule>
  </conditionalFormatting>
  <conditionalFormatting sqref="L739">
    <cfRule type="cellIs" priority="2017" operator="equal">
      <formula>"Mercado Envíos gratis"</formula>
    </cfRule>
  </conditionalFormatting>
  <conditionalFormatting sqref="M739">
    <cfRule type="cellIs" priority="2018" operator="equal">
      <formula>"Clásica"</formula>
    </cfRule>
  </conditionalFormatting>
  <conditionalFormatting sqref="O739">
    <cfRule type="cellIs" priority="2019" operator="equal">
      <formula>"Inactiva"</formula>
    </cfRule>
  </conditionalFormatting>
  <conditionalFormatting sqref="J740">
    <cfRule type="cellIs" priority="2020" operator="equal">
      <formula>"$"</formula>
    </cfRule>
  </conditionalFormatting>
  <conditionalFormatting sqref="K740">
    <cfRule type="cellIs" priority="2021" operator="equal">
      <formula>"Nuevo"</formula>
    </cfRule>
  </conditionalFormatting>
  <conditionalFormatting sqref="L740">
    <cfRule type="cellIs" priority="2022" operator="equal">
      <formula>"Mercado Envíos gratis"</formula>
    </cfRule>
  </conditionalFormatting>
  <conditionalFormatting sqref="M740">
    <cfRule type="cellIs" priority="2023" operator="equal">
      <formula>"Clásica"</formula>
    </cfRule>
  </conditionalFormatting>
  <conditionalFormatting sqref="O740">
    <cfRule type="cellIs" priority="2024" operator="equal">
      <formula>"Inactiva"</formula>
    </cfRule>
  </conditionalFormatting>
  <conditionalFormatting sqref="J741">
    <cfRule type="cellIs" priority="2025" operator="equal">
      <formula>"$"</formula>
    </cfRule>
  </conditionalFormatting>
  <conditionalFormatting sqref="K741">
    <cfRule type="cellIs" priority="2026" operator="equal">
      <formula>"Nuevo"</formula>
    </cfRule>
  </conditionalFormatting>
  <conditionalFormatting sqref="L741">
    <cfRule type="cellIs" priority="2027" operator="equal">
      <formula>"Mercado Envíos gratis"</formula>
    </cfRule>
  </conditionalFormatting>
  <conditionalFormatting sqref="M741">
    <cfRule type="cellIs" priority="2028" operator="equal">
      <formula>"Clásica"</formula>
    </cfRule>
  </conditionalFormatting>
  <conditionalFormatting sqref="O741">
    <cfRule type="cellIs" priority="2029" operator="equal">
      <formula>"Inactiva"</formula>
    </cfRule>
  </conditionalFormatting>
  <conditionalFormatting sqref="J742">
    <cfRule type="cellIs" priority="2030" operator="equal">
      <formula>"$"</formula>
    </cfRule>
  </conditionalFormatting>
  <conditionalFormatting sqref="K742">
    <cfRule type="cellIs" priority="2031" operator="equal">
      <formula>"Nuevo"</formula>
    </cfRule>
  </conditionalFormatting>
  <conditionalFormatting sqref="L742">
    <cfRule type="cellIs" priority="2032" operator="equal">
      <formula>"Mercado Envíos gratis"</formula>
    </cfRule>
  </conditionalFormatting>
  <conditionalFormatting sqref="M742">
    <cfRule type="cellIs" priority="2033" operator="equal">
      <formula>"Clásica"</formula>
    </cfRule>
  </conditionalFormatting>
  <conditionalFormatting sqref="O742">
    <cfRule type="cellIs" priority="2034" operator="equal">
      <formula>"Inactiva"</formula>
    </cfRule>
  </conditionalFormatting>
  <conditionalFormatting sqref="J746">
    <cfRule type="cellIs" priority="2035" operator="equal">
      <formula>"$"</formula>
    </cfRule>
  </conditionalFormatting>
  <conditionalFormatting sqref="K746">
    <cfRule type="cellIs" priority="2036" operator="equal">
      <formula>"Nuevo"</formula>
    </cfRule>
  </conditionalFormatting>
  <conditionalFormatting sqref="L746">
    <cfRule type="cellIs" priority="2037" operator="equal">
      <formula>"Mercado Envíos gratis"</formula>
    </cfRule>
  </conditionalFormatting>
  <conditionalFormatting sqref="M746">
    <cfRule type="cellIs" priority="2038" operator="equal">
      <formula>"Clásica"</formula>
    </cfRule>
  </conditionalFormatting>
  <conditionalFormatting sqref="O746">
    <cfRule type="cellIs" priority="2039" operator="equal">
      <formula>"Inactiva"</formula>
    </cfRule>
  </conditionalFormatting>
  <conditionalFormatting sqref="J749">
    <cfRule type="cellIs" priority="2040" operator="equal">
      <formula>"$"</formula>
    </cfRule>
  </conditionalFormatting>
  <conditionalFormatting sqref="K749">
    <cfRule type="cellIs" priority="2041" operator="equal">
      <formula>"Nuevo"</formula>
    </cfRule>
  </conditionalFormatting>
  <conditionalFormatting sqref="L749">
    <cfRule type="cellIs" priority="2042" operator="equal">
      <formula>"Mercado Envíos gratis"</formula>
    </cfRule>
  </conditionalFormatting>
  <conditionalFormatting sqref="M749">
    <cfRule type="cellIs" priority="2043" operator="equal">
      <formula>"Clásica"</formula>
    </cfRule>
  </conditionalFormatting>
  <conditionalFormatting sqref="O749">
    <cfRule type="cellIs" priority="2044" operator="equal">
      <formula>"Inactiva"</formula>
    </cfRule>
  </conditionalFormatting>
  <conditionalFormatting sqref="J750">
    <cfRule type="cellIs" priority="2045" operator="equal">
      <formula>"$"</formula>
    </cfRule>
  </conditionalFormatting>
  <conditionalFormatting sqref="K750">
    <cfRule type="cellIs" priority="2046" operator="equal">
      <formula>"Nuevo"</formula>
    </cfRule>
  </conditionalFormatting>
  <conditionalFormatting sqref="L750">
    <cfRule type="cellIs" priority="2047" operator="equal">
      <formula>"Mercado Envíos a cargo del comprador"</formula>
    </cfRule>
  </conditionalFormatting>
  <conditionalFormatting sqref="M750">
    <cfRule type="cellIs" priority="2048" operator="equal">
      <formula>"Premium"</formula>
    </cfRule>
  </conditionalFormatting>
  <conditionalFormatting sqref="O750">
    <cfRule type="cellIs" priority="2049" operator="equal">
      <formula>"Inactiva"</formula>
    </cfRule>
  </conditionalFormatting>
  <conditionalFormatting sqref="J753">
    <cfRule type="cellIs" priority="2050" operator="equal">
      <formula>"$"</formula>
    </cfRule>
  </conditionalFormatting>
  <conditionalFormatting sqref="K753">
    <cfRule type="cellIs" priority="2051" operator="equal">
      <formula>"Nuevo"</formula>
    </cfRule>
  </conditionalFormatting>
  <conditionalFormatting sqref="L753">
    <cfRule type="cellIs" priority="2052" operator="equal">
      <formula>"Mercado Envíos gratis"</formula>
    </cfRule>
  </conditionalFormatting>
  <conditionalFormatting sqref="M753">
    <cfRule type="cellIs" priority="2053" operator="equal">
      <formula>"Premium"</formula>
    </cfRule>
  </conditionalFormatting>
  <conditionalFormatting sqref="O753">
    <cfRule type="cellIs" priority="2054" operator="equal">
      <formula>"Inactiva"</formula>
    </cfRule>
  </conditionalFormatting>
  <conditionalFormatting sqref="J756">
    <cfRule type="cellIs" priority="2055" operator="equal">
      <formula>"$"</formula>
    </cfRule>
  </conditionalFormatting>
  <conditionalFormatting sqref="K756">
    <cfRule type="cellIs" priority="2056" operator="equal">
      <formula>"Nuevo"</formula>
    </cfRule>
  </conditionalFormatting>
  <conditionalFormatting sqref="L756">
    <cfRule type="cellIs" priority="2057" operator="equal">
      <formula>"Mercado Envíos gratis"</formula>
    </cfRule>
  </conditionalFormatting>
  <conditionalFormatting sqref="M756">
    <cfRule type="cellIs" priority="2058" operator="equal">
      <formula>"Clásica"</formula>
    </cfRule>
  </conditionalFormatting>
  <conditionalFormatting sqref="O756">
    <cfRule type="cellIs" priority="2059" operator="equal">
      <formula>"Inactiva"</formula>
    </cfRule>
  </conditionalFormatting>
  <conditionalFormatting sqref="J760">
    <cfRule type="cellIs" priority="2060" operator="equal">
      <formula>"$"</formula>
    </cfRule>
  </conditionalFormatting>
  <conditionalFormatting sqref="K760">
    <cfRule type="cellIs" priority="2061" operator="equal">
      <formula>"Nuevo"</formula>
    </cfRule>
  </conditionalFormatting>
  <conditionalFormatting sqref="L760">
    <cfRule type="cellIs" priority="2062" operator="equal">
      <formula>"Mercado Envíos gratis"</formula>
    </cfRule>
  </conditionalFormatting>
  <conditionalFormatting sqref="M760">
    <cfRule type="cellIs" priority="2063" operator="equal">
      <formula>"Clásica"</formula>
    </cfRule>
  </conditionalFormatting>
  <conditionalFormatting sqref="O760">
    <cfRule type="cellIs" priority="2064" operator="equal">
      <formula>"Inactiva"</formula>
    </cfRule>
  </conditionalFormatting>
  <conditionalFormatting sqref="J763">
    <cfRule type="cellIs" priority="2065" operator="equal">
      <formula>"$"</formula>
    </cfRule>
  </conditionalFormatting>
  <conditionalFormatting sqref="K763">
    <cfRule type="cellIs" priority="2066" operator="equal">
      <formula>"Nuevo"</formula>
    </cfRule>
  </conditionalFormatting>
  <conditionalFormatting sqref="L763">
    <cfRule type="cellIs" priority="2067" operator="equal">
      <formula>"Mercado Envíos a cargo del comprador"</formula>
    </cfRule>
  </conditionalFormatting>
  <conditionalFormatting sqref="M763">
    <cfRule type="cellIs" priority="2068" operator="equal">
      <formula>"Clásica"</formula>
    </cfRule>
  </conditionalFormatting>
  <conditionalFormatting sqref="O763">
    <cfRule type="cellIs" priority="2069" operator="equal">
      <formula>"Inactiva"</formula>
    </cfRule>
  </conditionalFormatting>
  <conditionalFormatting sqref="J764">
    <cfRule type="cellIs" priority="2070" operator="equal">
      <formula>"$"</formula>
    </cfRule>
  </conditionalFormatting>
  <conditionalFormatting sqref="K764">
    <cfRule type="cellIs" priority="2071" operator="equal">
      <formula>"Nuevo"</formula>
    </cfRule>
  </conditionalFormatting>
  <conditionalFormatting sqref="L764">
    <cfRule type="cellIs" priority="2072" operator="equal">
      <formula>"Mercado Envíos gratis"</formula>
    </cfRule>
  </conditionalFormatting>
  <conditionalFormatting sqref="M764">
    <cfRule type="cellIs" priority="2073" operator="equal">
      <formula>"Clásica"</formula>
    </cfRule>
  </conditionalFormatting>
  <conditionalFormatting sqref="O764">
    <cfRule type="cellIs" priority="2074" operator="equal">
      <formula>"Inactiva"</formula>
    </cfRule>
  </conditionalFormatting>
  <conditionalFormatting sqref="J765">
    <cfRule type="cellIs" priority="2075" operator="equal">
      <formula>"$"</formula>
    </cfRule>
  </conditionalFormatting>
  <conditionalFormatting sqref="K765">
    <cfRule type="cellIs" priority="2076" operator="equal">
      <formula>"Nuevo"</formula>
    </cfRule>
  </conditionalFormatting>
  <conditionalFormatting sqref="L765">
    <cfRule type="cellIs" priority="2077" operator="equal">
      <formula>"Mercado Envíos gratis"</formula>
    </cfRule>
  </conditionalFormatting>
  <conditionalFormatting sqref="M765">
    <cfRule type="cellIs" priority="2078" operator="equal">
      <formula>"Clásica"</formula>
    </cfRule>
  </conditionalFormatting>
  <conditionalFormatting sqref="O765">
    <cfRule type="cellIs" priority="2079" operator="equal">
      <formula>"Inactiva"</formula>
    </cfRule>
  </conditionalFormatting>
  <conditionalFormatting sqref="J766">
    <cfRule type="cellIs" priority="2080" operator="equal">
      <formula>"$"</formula>
    </cfRule>
  </conditionalFormatting>
  <conditionalFormatting sqref="K766">
    <cfRule type="cellIs" priority="2081" operator="equal">
      <formula>"Nuevo"</formula>
    </cfRule>
  </conditionalFormatting>
  <conditionalFormatting sqref="L766">
    <cfRule type="cellIs" priority="2082" operator="equal">
      <formula>"Mercado Envíos gratis"</formula>
    </cfRule>
  </conditionalFormatting>
  <conditionalFormatting sqref="M766">
    <cfRule type="cellIs" priority="2083" operator="equal">
      <formula>"Clásica"</formula>
    </cfRule>
  </conditionalFormatting>
  <conditionalFormatting sqref="O766">
    <cfRule type="cellIs" priority="2084" operator="equal">
      <formula>"Inactiva"</formula>
    </cfRule>
  </conditionalFormatting>
  <conditionalFormatting sqref="J767">
    <cfRule type="cellIs" priority="2085" operator="equal">
      <formula>"$"</formula>
    </cfRule>
  </conditionalFormatting>
  <conditionalFormatting sqref="K767">
    <cfRule type="cellIs" priority="2086" operator="equal">
      <formula>"Nuevo"</formula>
    </cfRule>
  </conditionalFormatting>
  <conditionalFormatting sqref="L767">
    <cfRule type="cellIs" priority="2087" operator="equal">
      <formula>"Mercado Envíos a cargo del comprador"</formula>
    </cfRule>
  </conditionalFormatting>
  <conditionalFormatting sqref="M767">
    <cfRule type="cellIs" priority="2088" operator="equal">
      <formula>"Clásica"</formula>
    </cfRule>
  </conditionalFormatting>
  <conditionalFormatting sqref="O767">
    <cfRule type="cellIs" priority="2089" operator="equal">
      <formula>"Inactiva"</formula>
    </cfRule>
  </conditionalFormatting>
  <conditionalFormatting sqref="J768">
    <cfRule type="cellIs" priority="2090" operator="equal">
      <formula>"$"</formula>
    </cfRule>
  </conditionalFormatting>
  <conditionalFormatting sqref="K768">
    <cfRule type="cellIs" priority="2091" operator="equal">
      <formula>"Nuevo"</formula>
    </cfRule>
  </conditionalFormatting>
  <conditionalFormatting sqref="L768">
    <cfRule type="cellIs" priority="2092" operator="equal">
      <formula>"Mercado Envíos gratis"</formula>
    </cfRule>
  </conditionalFormatting>
  <conditionalFormatting sqref="M768">
    <cfRule type="cellIs" priority="2093" operator="equal">
      <formula>"Clásica"</formula>
    </cfRule>
  </conditionalFormatting>
  <conditionalFormatting sqref="O768">
    <cfRule type="cellIs" priority="2094" operator="equal">
      <formula>"Inactiva"</formula>
    </cfRule>
  </conditionalFormatting>
  <conditionalFormatting sqref="J769">
    <cfRule type="cellIs" priority="2095" operator="equal">
      <formula>"$"</formula>
    </cfRule>
  </conditionalFormatting>
  <conditionalFormatting sqref="K769">
    <cfRule type="cellIs" priority="2096" operator="equal">
      <formula>"Nuevo"</formula>
    </cfRule>
  </conditionalFormatting>
  <conditionalFormatting sqref="L769">
    <cfRule type="cellIs" priority="2097" operator="equal">
      <formula>"Mercado Envíos gratis"</formula>
    </cfRule>
  </conditionalFormatting>
  <conditionalFormatting sqref="M769">
    <cfRule type="cellIs" priority="2098" operator="equal">
      <formula>"Clásica"</formula>
    </cfRule>
  </conditionalFormatting>
  <conditionalFormatting sqref="O769">
    <cfRule type="cellIs" priority="2099" operator="equal">
      <formula>"Inactiva"</formula>
    </cfRule>
  </conditionalFormatting>
  <conditionalFormatting sqref="J770">
    <cfRule type="cellIs" priority="2100" operator="equal">
      <formula>"$"</formula>
    </cfRule>
  </conditionalFormatting>
  <conditionalFormatting sqref="K770">
    <cfRule type="cellIs" priority="2101" operator="equal">
      <formula>"Nuevo"</formula>
    </cfRule>
  </conditionalFormatting>
  <conditionalFormatting sqref="L770">
    <cfRule type="cellIs" priority="2102" operator="equal">
      <formula>"Mercado Envíos gratis"</formula>
    </cfRule>
  </conditionalFormatting>
  <conditionalFormatting sqref="M770">
    <cfRule type="cellIs" priority="2103" operator="equal">
      <formula>"Clásica"</formula>
    </cfRule>
  </conditionalFormatting>
  <conditionalFormatting sqref="O770">
    <cfRule type="cellIs" priority="2104" operator="equal">
      <formula>"Inactiva"</formula>
    </cfRule>
  </conditionalFormatting>
  <conditionalFormatting sqref="J771">
    <cfRule type="cellIs" priority="2105" operator="equal">
      <formula>"$"</formula>
    </cfRule>
  </conditionalFormatting>
  <conditionalFormatting sqref="K771">
    <cfRule type="cellIs" priority="2106" operator="equal">
      <formula>"Nuevo"</formula>
    </cfRule>
  </conditionalFormatting>
  <conditionalFormatting sqref="L771">
    <cfRule type="cellIs" priority="2107" operator="equal">
      <formula>"Mercado Envíos gratis"</formula>
    </cfRule>
  </conditionalFormatting>
  <conditionalFormatting sqref="M771">
    <cfRule type="cellIs" priority="2108" operator="equal">
      <formula>"Clásica"</formula>
    </cfRule>
  </conditionalFormatting>
  <conditionalFormatting sqref="O771">
    <cfRule type="cellIs" priority="2109" operator="equal">
      <formula>"Inactiva"</formula>
    </cfRule>
  </conditionalFormatting>
  <conditionalFormatting sqref="J772">
    <cfRule type="cellIs" priority="2110" operator="equal">
      <formula>"$"</formula>
    </cfRule>
  </conditionalFormatting>
  <conditionalFormatting sqref="K772">
    <cfRule type="cellIs" priority="2111" operator="equal">
      <formula>"Nuevo"</formula>
    </cfRule>
  </conditionalFormatting>
  <conditionalFormatting sqref="L772">
    <cfRule type="cellIs" priority="2112" operator="equal">
      <formula>"Mercado Envíos gratis"</formula>
    </cfRule>
  </conditionalFormatting>
  <conditionalFormatting sqref="M772">
    <cfRule type="cellIs" priority="2113" operator="equal">
      <formula>"Clásica"</formula>
    </cfRule>
  </conditionalFormatting>
  <conditionalFormatting sqref="O772">
    <cfRule type="cellIs" priority="2114" operator="equal">
      <formula>"Inactiva"</formula>
    </cfRule>
  </conditionalFormatting>
  <conditionalFormatting sqref="J773">
    <cfRule type="cellIs" priority="2115" operator="equal">
      <formula>"$"</formula>
    </cfRule>
  </conditionalFormatting>
  <conditionalFormatting sqref="K773">
    <cfRule type="cellIs" priority="2116" operator="equal">
      <formula>"Nuevo"</formula>
    </cfRule>
  </conditionalFormatting>
  <conditionalFormatting sqref="L773">
    <cfRule type="cellIs" priority="2117" operator="equal">
      <formula>"Mercado Envíos gratis"</formula>
    </cfRule>
  </conditionalFormatting>
  <conditionalFormatting sqref="M773">
    <cfRule type="cellIs" priority="2118" operator="equal">
      <formula>"Clásica"</formula>
    </cfRule>
  </conditionalFormatting>
  <conditionalFormatting sqref="O773">
    <cfRule type="cellIs" priority="2119" operator="equal">
      <formula>"Inactiva"</formula>
    </cfRule>
  </conditionalFormatting>
  <conditionalFormatting sqref="J774">
    <cfRule type="cellIs" priority="2120" operator="equal">
      <formula>"$"</formula>
    </cfRule>
  </conditionalFormatting>
  <conditionalFormatting sqref="K774">
    <cfRule type="cellIs" priority="2121" operator="equal">
      <formula>"Nuevo"</formula>
    </cfRule>
  </conditionalFormatting>
  <conditionalFormatting sqref="L774">
    <cfRule type="cellIs" priority="2122" operator="equal">
      <formula>"Mercado Envíos gratis"</formula>
    </cfRule>
  </conditionalFormatting>
  <conditionalFormatting sqref="M774">
    <cfRule type="cellIs" priority="2123" operator="equal">
      <formula>"Clásica"</formula>
    </cfRule>
  </conditionalFormatting>
  <conditionalFormatting sqref="O774">
    <cfRule type="cellIs" priority="2124" operator="equal">
      <formula>"Inactiva"</formula>
    </cfRule>
  </conditionalFormatting>
  <conditionalFormatting sqref="J775">
    <cfRule type="cellIs" priority="2125" operator="equal">
      <formula>"$"</formula>
    </cfRule>
  </conditionalFormatting>
  <conditionalFormatting sqref="K775">
    <cfRule type="cellIs" priority="2126" operator="equal">
      <formula>"Nuevo"</formula>
    </cfRule>
  </conditionalFormatting>
  <conditionalFormatting sqref="L775">
    <cfRule type="cellIs" priority="2127" operator="equal">
      <formula>"Mercado Envíos gratis"</formula>
    </cfRule>
  </conditionalFormatting>
  <conditionalFormatting sqref="M775">
    <cfRule type="cellIs" priority="2128" operator="equal">
      <formula>"Clásica"</formula>
    </cfRule>
  </conditionalFormatting>
  <conditionalFormatting sqref="O775">
    <cfRule type="cellIs" priority="2129" operator="equal">
      <formula>"Inactiva"</formula>
    </cfRule>
  </conditionalFormatting>
  <conditionalFormatting sqref="J776">
    <cfRule type="cellIs" priority="2130" operator="equal">
      <formula>"$"</formula>
    </cfRule>
  </conditionalFormatting>
  <conditionalFormatting sqref="K776">
    <cfRule type="cellIs" priority="2131" operator="equal">
      <formula>"Nuevo"</formula>
    </cfRule>
  </conditionalFormatting>
  <conditionalFormatting sqref="L776">
    <cfRule type="cellIs" priority="2132" operator="equal">
      <formula>"Mercado Envíos gratis"</formula>
    </cfRule>
  </conditionalFormatting>
  <conditionalFormatting sqref="M776">
    <cfRule type="cellIs" priority="2133" operator="equal">
      <formula>"Clásica"</formula>
    </cfRule>
  </conditionalFormatting>
  <conditionalFormatting sqref="O776">
    <cfRule type="cellIs" priority="2134" operator="equal">
      <formula>"Inactiva"</formula>
    </cfRule>
  </conditionalFormatting>
  <conditionalFormatting sqref="J779">
    <cfRule type="cellIs" priority="2135" operator="equal">
      <formula>"$"</formula>
    </cfRule>
  </conditionalFormatting>
  <conditionalFormatting sqref="K779">
    <cfRule type="cellIs" priority="2136" operator="equal">
      <formula>"Nuevo"</formula>
    </cfRule>
  </conditionalFormatting>
  <conditionalFormatting sqref="L779">
    <cfRule type="cellIs" priority="2137" operator="equal">
      <formula>"Mercado Envíos gratis"</formula>
    </cfRule>
  </conditionalFormatting>
  <conditionalFormatting sqref="M779">
    <cfRule type="cellIs" priority="2138" operator="equal">
      <formula>"Clásica"</formula>
    </cfRule>
  </conditionalFormatting>
  <conditionalFormatting sqref="O779">
    <cfRule type="cellIs" priority="2139" operator="equal">
      <formula>"Inactiva"</formula>
    </cfRule>
  </conditionalFormatting>
  <conditionalFormatting sqref="J780">
    <cfRule type="cellIs" priority="2140" operator="equal">
      <formula>"$"</formula>
    </cfRule>
  </conditionalFormatting>
  <conditionalFormatting sqref="K780">
    <cfRule type="cellIs" priority="2141" operator="equal">
      <formula>"Nuevo"</formula>
    </cfRule>
  </conditionalFormatting>
  <conditionalFormatting sqref="L780">
    <cfRule type="cellIs" priority="2142" operator="equal">
      <formula>"Mercado Envíos gratis"</formula>
    </cfRule>
  </conditionalFormatting>
  <conditionalFormatting sqref="M780">
    <cfRule type="cellIs" priority="2143" operator="equal">
      <formula>"Clásica"</formula>
    </cfRule>
  </conditionalFormatting>
  <conditionalFormatting sqref="O780">
    <cfRule type="cellIs" priority="2144" operator="equal">
      <formula>"Inactiva"</formula>
    </cfRule>
  </conditionalFormatting>
  <conditionalFormatting sqref="J783">
    <cfRule type="cellIs" priority="2145" operator="equal">
      <formula>"$"</formula>
    </cfRule>
  </conditionalFormatting>
  <conditionalFormatting sqref="K783">
    <cfRule type="cellIs" priority="2146" operator="equal">
      <formula>"Nuevo"</formula>
    </cfRule>
  </conditionalFormatting>
  <conditionalFormatting sqref="L783">
    <cfRule type="cellIs" priority="2147" operator="equal">
      <formula>"Mercado Envíos gratis"</formula>
    </cfRule>
  </conditionalFormatting>
  <conditionalFormatting sqref="M783">
    <cfRule type="cellIs" priority="2148" operator="equal">
      <formula>"Clásica"</formula>
    </cfRule>
  </conditionalFormatting>
  <conditionalFormatting sqref="O783">
    <cfRule type="cellIs" priority="2149" operator="equal">
      <formula>"Inactiva"</formula>
    </cfRule>
  </conditionalFormatting>
  <conditionalFormatting sqref="J784">
    <cfRule type="cellIs" priority="2150" operator="equal">
      <formula>"$"</formula>
    </cfRule>
  </conditionalFormatting>
  <conditionalFormatting sqref="K784">
    <cfRule type="cellIs" priority="2151" operator="equal">
      <formula>"Nuevo"</formula>
    </cfRule>
  </conditionalFormatting>
  <conditionalFormatting sqref="L784">
    <cfRule type="cellIs" priority="2152" operator="equal">
      <formula>"Mercado Envíos a cargo del comprador"</formula>
    </cfRule>
  </conditionalFormatting>
  <conditionalFormatting sqref="M784">
    <cfRule type="cellIs" priority="2153" operator="equal">
      <formula>"Clásica"</formula>
    </cfRule>
  </conditionalFormatting>
  <conditionalFormatting sqref="O784">
    <cfRule type="cellIs" priority="2154" operator="equal">
      <formula>"Inactiva"</formula>
    </cfRule>
  </conditionalFormatting>
  <conditionalFormatting sqref="J785">
    <cfRule type="cellIs" priority="2155" operator="equal">
      <formula>"$"</formula>
    </cfRule>
  </conditionalFormatting>
  <conditionalFormatting sqref="L785">
    <cfRule type="cellIs" priority="2156" operator="equal">
      <formula>"Mercado Envíos a cargo del comprador"</formula>
    </cfRule>
  </conditionalFormatting>
  <conditionalFormatting sqref="M785">
    <cfRule type="cellIs" priority="2157" operator="equal">
      <formula>"Clásica"</formula>
    </cfRule>
  </conditionalFormatting>
  <conditionalFormatting sqref="O785">
    <cfRule type="cellIs" priority="2158" operator="equal">
      <formula>"Inactiva"</formula>
    </cfRule>
  </conditionalFormatting>
  <conditionalFormatting sqref="J786">
    <cfRule type="cellIs" priority="2159" operator="equal">
      <formula>"$"</formula>
    </cfRule>
  </conditionalFormatting>
  <conditionalFormatting sqref="K786">
    <cfRule type="cellIs" priority="2160" operator="equal">
      <formula>"Nuevo"</formula>
    </cfRule>
  </conditionalFormatting>
  <conditionalFormatting sqref="L786">
    <cfRule type="cellIs" priority="2161" operator="equal">
      <formula>"Mercado Envíos gratis"</formula>
    </cfRule>
  </conditionalFormatting>
  <conditionalFormatting sqref="M786">
    <cfRule type="cellIs" priority="2162" operator="equal">
      <formula>"Clásica"</formula>
    </cfRule>
  </conditionalFormatting>
  <conditionalFormatting sqref="O786">
    <cfRule type="cellIs" priority="2163" operator="equal">
      <formula>"Inactiva"</formula>
    </cfRule>
  </conditionalFormatting>
  <conditionalFormatting sqref="J787">
    <cfRule type="cellIs" priority="2164" operator="equal">
      <formula>"$"</formula>
    </cfRule>
  </conditionalFormatting>
  <conditionalFormatting sqref="K787">
    <cfRule type="cellIs" priority="2165" operator="equal">
      <formula>"Nuevo"</formula>
    </cfRule>
  </conditionalFormatting>
  <conditionalFormatting sqref="L787">
    <cfRule type="cellIs" priority="2166" operator="equal">
      <formula>"Mercado Envíos gratis"</formula>
    </cfRule>
  </conditionalFormatting>
  <conditionalFormatting sqref="M787">
    <cfRule type="cellIs" priority="2167" operator="equal">
      <formula>"Clásica"</formula>
    </cfRule>
  </conditionalFormatting>
  <conditionalFormatting sqref="O787">
    <cfRule type="cellIs" priority="2168" operator="equal">
      <formula>"Inactiva"</formula>
    </cfRule>
  </conditionalFormatting>
  <conditionalFormatting sqref="J790">
    <cfRule type="cellIs" priority="2169" operator="equal">
      <formula>"$"</formula>
    </cfRule>
  </conditionalFormatting>
  <conditionalFormatting sqref="K790">
    <cfRule type="cellIs" priority="2170" operator="equal">
      <formula>"Nuevo"</formula>
    </cfRule>
  </conditionalFormatting>
  <conditionalFormatting sqref="L790">
    <cfRule type="cellIs" priority="2171" operator="equal">
      <formula>"Mercado Envíos gratis"</formula>
    </cfRule>
  </conditionalFormatting>
  <conditionalFormatting sqref="M790">
    <cfRule type="cellIs" priority="2172" operator="equal">
      <formula>"Clásica"</formula>
    </cfRule>
  </conditionalFormatting>
  <conditionalFormatting sqref="O790">
    <cfRule type="cellIs" priority="2173" operator="equal">
      <formula>"Inactiva"</formula>
    </cfRule>
  </conditionalFormatting>
  <conditionalFormatting sqref="J791">
    <cfRule type="cellIs" priority="2174" operator="equal">
      <formula>"$"</formula>
    </cfRule>
  </conditionalFormatting>
  <conditionalFormatting sqref="K791">
    <cfRule type="cellIs" priority="2175" operator="equal">
      <formula>"Nuevo"</formula>
    </cfRule>
  </conditionalFormatting>
  <conditionalFormatting sqref="L791">
    <cfRule type="cellIs" priority="2176" operator="equal">
      <formula>"Mercado Envíos gratis"</formula>
    </cfRule>
  </conditionalFormatting>
  <conditionalFormatting sqref="M791">
    <cfRule type="cellIs" priority="2177" operator="equal">
      <formula>"Clásica"</formula>
    </cfRule>
  </conditionalFormatting>
  <conditionalFormatting sqref="O791">
    <cfRule type="cellIs" priority="2178" operator="equal">
      <formula>"Inactiva"</formula>
    </cfRule>
  </conditionalFormatting>
  <conditionalFormatting sqref="J792">
    <cfRule type="cellIs" priority="2179" operator="equal">
      <formula>"$"</formula>
    </cfRule>
  </conditionalFormatting>
  <conditionalFormatting sqref="K792">
    <cfRule type="cellIs" priority="2180" operator="equal">
      <formula>"Nuevo"</formula>
    </cfRule>
  </conditionalFormatting>
  <conditionalFormatting sqref="L792">
    <cfRule type="cellIs" priority="2181" operator="equal">
      <formula>"Mercado Envíos a cargo del comprador"</formula>
    </cfRule>
  </conditionalFormatting>
  <conditionalFormatting sqref="M792">
    <cfRule type="cellIs" priority="2182" operator="equal">
      <formula>"Clásica"</formula>
    </cfRule>
  </conditionalFormatting>
  <conditionalFormatting sqref="O792">
    <cfRule type="cellIs" priority="2183" operator="equal">
      <formula>"Inactiva"</formula>
    </cfRule>
  </conditionalFormatting>
  <conditionalFormatting sqref="J795">
    <cfRule type="cellIs" priority="2184" operator="equal">
      <formula>"$"</formula>
    </cfRule>
  </conditionalFormatting>
  <conditionalFormatting sqref="K795">
    <cfRule type="cellIs" priority="2185" operator="equal">
      <formula>"Nuevo"</formula>
    </cfRule>
  </conditionalFormatting>
  <conditionalFormatting sqref="L795">
    <cfRule type="cellIs" priority="2186" operator="equal">
      <formula>"Mercado Envíos gratis"</formula>
    </cfRule>
  </conditionalFormatting>
  <conditionalFormatting sqref="M795">
    <cfRule type="cellIs" priority="2187" operator="equal">
      <formula>"Clásica"</formula>
    </cfRule>
  </conditionalFormatting>
  <conditionalFormatting sqref="O795">
    <cfRule type="cellIs" priority="2188" operator="equal">
      <formula>"Inactiva"</formula>
    </cfRule>
  </conditionalFormatting>
  <conditionalFormatting sqref="J796">
    <cfRule type="cellIs" priority="2189" operator="equal">
      <formula>"$"</formula>
    </cfRule>
  </conditionalFormatting>
  <conditionalFormatting sqref="K796">
    <cfRule type="cellIs" priority="2190" operator="equal">
      <formula>"Nuevo"</formula>
    </cfRule>
  </conditionalFormatting>
  <conditionalFormatting sqref="L796">
    <cfRule type="cellIs" priority="2191" operator="equal">
      <formula>"Mercado Envíos a cargo del comprador"</formula>
    </cfRule>
  </conditionalFormatting>
  <conditionalFormatting sqref="M796">
    <cfRule type="cellIs" priority="2192" operator="equal">
      <formula>"Clásica"</formula>
    </cfRule>
  </conditionalFormatting>
  <conditionalFormatting sqref="O796">
    <cfRule type="cellIs" priority="2193" operator="equal">
      <formula>"Inactiva"</formula>
    </cfRule>
  </conditionalFormatting>
  <conditionalFormatting sqref="J797">
    <cfRule type="cellIs" priority="2194" operator="equal">
      <formula>"$"</formula>
    </cfRule>
  </conditionalFormatting>
  <conditionalFormatting sqref="K797">
    <cfRule type="cellIs" priority="2195" operator="equal">
      <formula>"Nuevo"</formula>
    </cfRule>
  </conditionalFormatting>
  <conditionalFormatting sqref="L797">
    <cfRule type="cellIs" priority="2196" operator="equal">
      <formula>"Mercado Envíos a cargo del comprador"</formula>
    </cfRule>
  </conditionalFormatting>
  <conditionalFormatting sqref="M797">
    <cfRule type="cellIs" priority="2197" operator="equal">
      <formula>"Premium"</formula>
    </cfRule>
  </conditionalFormatting>
  <conditionalFormatting sqref="O797">
    <cfRule type="cellIs" priority="2198" operator="equal">
      <formula>"Inactiva"</formula>
    </cfRule>
  </conditionalFormatting>
  <conditionalFormatting sqref="J798">
    <cfRule type="cellIs" priority="2199" operator="equal">
      <formula>"$"</formula>
    </cfRule>
  </conditionalFormatting>
  <conditionalFormatting sqref="K798">
    <cfRule type="cellIs" priority="2200" operator="equal">
      <formula>"Nuevo"</formula>
    </cfRule>
  </conditionalFormatting>
  <conditionalFormatting sqref="L798">
    <cfRule type="cellIs" priority="2201" operator="equal">
      <formula>"Mercado Envíos a cargo del comprador"</formula>
    </cfRule>
  </conditionalFormatting>
  <conditionalFormatting sqref="M798">
    <cfRule type="cellIs" priority="2202" operator="equal">
      <formula>"Premium"</formula>
    </cfRule>
  </conditionalFormatting>
  <conditionalFormatting sqref="O798">
    <cfRule type="cellIs" priority="2203" operator="equal">
      <formula>"Inactiva"</formula>
    </cfRule>
  </conditionalFormatting>
  <conditionalFormatting sqref="J802">
    <cfRule type="cellIs" priority="2204" operator="equal">
      <formula>"$"</formula>
    </cfRule>
  </conditionalFormatting>
  <conditionalFormatting sqref="K802">
    <cfRule type="cellIs" priority="2205" operator="equal">
      <formula>"Nuevo"</formula>
    </cfRule>
  </conditionalFormatting>
  <conditionalFormatting sqref="L802">
    <cfRule type="cellIs" priority="2206" operator="equal">
      <formula>"Mercado Envíos gratis"</formula>
    </cfRule>
  </conditionalFormatting>
  <conditionalFormatting sqref="M802">
    <cfRule type="cellIs" priority="2207" operator="equal">
      <formula>"Clásica"</formula>
    </cfRule>
  </conditionalFormatting>
  <conditionalFormatting sqref="O802">
    <cfRule type="cellIs" priority="2208" operator="equal">
      <formula>"Inactiva"</formula>
    </cfRule>
  </conditionalFormatting>
  <conditionalFormatting sqref="J803">
    <cfRule type="cellIs" priority="2209" operator="equal">
      <formula>"$"</formula>
    </cfRule>
  </conditionalFormatting>
  <conditionalFormatting sqref="K803">
    <cfRule type="cellIs" priority="2210" operator="equal">
      <formula>"Nuevo"</formula>
    </cfRule>
  </conditionalFormatting>
  <conditionalFormatting sqref="L803">
    <cfRule type="cellIs" priority="2211" operator="equal">
      <formula>"Mercado Envíos gratis"</formula>
    </cfRule>
  </conditionalFormatting>
  <conditionalFormatting sqref="M803">
    <cfRule type="cellIs" priority="2212" operator="equal">
      <formula>"Clásica"</formula>
    </cfRule>
  </conditionalFormatting>
  <conditionalFormatting sqref="O803">
    <cfRule type="cellIs" priority="2213" operator="equal">
      <formula>"Inactiva"</formula>
    </cfRule>
  </conditionalFormatting>
  <conditionalFormatting sqref="J804">
    <cfRule type="cellIs" priority="2214" operator="equal">
      <formula>"$"</formula>
    </cfRule>
  </conditionalFormatting>
  <conditionalFormatting sqref="K804">
    <cfRule type="cellIs" priority="2215" operator="equal">
      <formula>"Nuevo"</formula>
    </cfRule>
  </conditionalFormatting>
  <conditionalFormatting sqref="L804">
    <cfRule type="cellIs" priority="2216" operator="equal">
      <formula>"Mercado Envíos gratis"</formula>
    </cfRule>
  </conditionalFormatting>
  <conditionalFormatting sqref="M804">
    <cfRule type="cellIs" priority="2217" operator="equal">
      <formula>"Clásica"</formula>
    </cfRule>
  </conditionalFormatting>
  <conditionalFormatting sqref="O804">
    <cfRule type="cellIs" priority="2218" operator="equal">
      <formula>"Inactiva"</formula>
    </cfRule>
  </conditionalFormatting>
  <conditionalFormatting sqref="J805">
    <cfRule type="cellIs" priority="2219" operator="equal">
      <formula>"$"</formula>
    </cfRule>
  </conditionalFormatting>
  <conditionalFormatting sqref="K805">
    <cfRule type="cellIs" priority="2220" operator="equal">
      <formula>"Nuevo"</formula>
    </cfRule>
  </conditionalFormatting>
  <conditionalFormatting sqref="L805">
    <cfRule type="cellIs" priority="2221" operator="equal">
      <formula>"Mercado Envíos gratis"</formula>
    </cfRule>
  </conditionalFormatting>
  <conditionalFormatting sqref="M805">
    <cfRule type="cellIs" priority="2222" operator="equal">
      <formula>"Clásica"</formula>
    </cfRule>
  </conditionalFormatting>
  <conditionalFormatting sqref="O805">
    <cfRule type="cellIs" priority="2223" operator="equal">
      <formula>"Inactiva"</formula>
    </cfRule>
  </conditionalFormatting>
  <conditionalFormatting sqref="J806">
    <cfRule type="cellIs" priority="2224" operator="equal">
      <formula>"$"</formula>
    </cfRule>
  </conditionalFormatting>
  <conditionalFormatting sqref="K806">
    <cfRule type="cellIs" priority="2225" operator="equal">
      <formula>"Nuevo"</formula>
    </cfRule>
  </conditionalFormatting>
  <conditionalFormatting sqref="L806">
    <cfRule type="cellIs" priority="2226" operator="equal">
      <formula>"Mercado Envíos gratis"</formula>
    </cfRule>
  </conditionalFormatting>
  <conditionalFormatting sqref="M806">
    <cfRule type="cellIs" priority="2227" operator="equal">
      <formula>"Clásica"</formula>
    </cfRule>
  </conditionalFormatting>
  <conditionalFormatting sqref="O806">
    <cfRule type="cellIs" priority="2228" operator="equal">
      <formula>"Inactiva"</formula>
    </cfRule>
  </conditionalFormatting>
  <conditionalFormatting sqref="J807">
    <cfRule type="cellIs" priority="2229" operator="equal">
      <formula>"$"</formula>
    </cfRule>
  </conditionalFormatting>
  <conditionalFormatting sqref="K807">
    <cfRule type="cellIs" priority="2230" operator="equal">
      <formula>"Nuevo"</formula>
    </cfRule>
  </conditionalFormatting>
  <conditionalFormatting sqref="L807">
    <cfRule type="cellIs" priority="2231" operator="equal">
      <formula>"Mercado Envíos gratis"</formula>
    </cfRule>
  </conditionalFormatting>
  <conditionalFormatting sqref="M807">
    <cfRule type="cellIs" priority="2232" operator="equal">
      <formula>"Clásica"</formula>
    </cfRule>
  </conditionalFormatting>
  <conditionalFormatting sqref="O807">
    <cfRule type="cellIs" priority="2233" operator="equal">
      <formula>"Inactiva"</formula>
    </cfRule>
  </conditionalFormatting>
  <conditionalFormatting sqref="J808">
    <cfRule type="cellIs" priority="2234" operator="equal">
      <formula>"$"</formula>
    </cfRule>
  </conditionalFormatting>
  <conditionalFormatting sqref="K808">
    <cfRule type="cellIs" priority="2235" operator="equal">
      <formula>"Nuevo"</formula>
    </cfRule>
  </conditionalFormatting>
  <conditionalFormatting sqref="L808">
    <cfRule type="cellIs" priority="2236" operator="equal">
      <formula>"Mercado Envíos gratis"</formula>
    </cfRule>
  </conditionalFormatting>
  <conditionalFormatting sqref="M808">
    <cfRule type="cellIs" priority="2237" operator="equal">
      <formula>"Clásica"</formula>
    </cfRule>
  </conditionalFormatting>
  <conditionalFormatting sqref="O808">
    <cfRule type="cellIs" priority="2238" operator="equal">
      <formula>"Inactiva"</formula>
    </cfRule>
  </conditionalFormatting>
  <conditionalFormatting sqref="J809">
    <cfRule type="cellIs" priority="2239" operator="equal">
      <formula>"$"</formula>
    </cfRule>
  </conditionalFormatting>
  <conditionalFormatting sqref="K809">
    <cfRule type="cellIs" priority="2240" operator="equal">
      <formula>"Nuevo"</formula>
    </cfRule>
  </conditionalFormatting>
  <conditionalFormatting sqref="L809">
    <cfRule type="cellIs" priority="2241" operator="equal">
      <formula>"Mercado Envíos gratis"</formula>
    </cfRule>
  </conditionalFormatting>
  <conditionalFormatting sqref="M809">
    <cfRule type="cellIs" priority="2242" operator="equal">
      <formula>"Clásica"</formula>
    </cfRule>
  </conditionalFormatting>
  <conditionalFormatting sqref="O809">
    <cfRule type="cellIs" priority="2243" operator="equal">
      <formula>"Inactiva"</formula>
    </cfRule>
  </conditionalFormatting>
  <conditionalFormatting sqref="J810">
    <cfRule type="cellIs" priority="2244" operator="equal">
      <formula>"$"</formula>
    </cfRule>
  </conditionalFormatting>
  <conditionalFormatting sqref="K810">
    <cfRule type="cellIs" priority="2245" operator="equal">
      <formula>"Nuevo"</formula>
    </cfRule>
  </conditionalFormatting>
  <conditionalFormatting sqref="L810">
    <cfRule type="cellIs" priority="2246" operator="equal">
      <formula>"Mercado Envíos gratis"</formula>
    </cfRule>
  </conditionalFormatting>
  <conditionalFormatting sqref="M810">
    <cfRule type="cellIs" priority="2247" operator="equal">
      <formula>"Clásica"</formula>
    </cfRule>
  </conditionalFormatting>
  <conditionalFormatting sqref="O810">
    <cfRule type="cellIs" priority="2248" operator="equal">
      <formula>"Inactiva"</formula>
    </cfRule>
  </conditionalFormatting>
  <conditionalFormatting sqref="J814">
    <cfRule type="cellIs" priority="2249" operator="equal">
      <formula>"$"</formula>
    </cfRule>
  </conditionalFormatting>
  <conditionalFormatting sqref="K814">
    <cfRule type="cellIs" priority="2250" operator="equal">
      <formula>"Nuevo"</formula>
    </cfRule>
  </conditionalFormatting>
  <conditionalFormatting sqref="L814">
    <cfRule type="cellIs" priority="2251" operator="equal">
      <formula>"Mercado Envíos gratis"</formula>
    </cfRule>
  </conditionalFormatting>
  <conditionalFormatting sqref="M814">
    <cfRule type="cellIs" priority="2252" operator="equal">
      <formula>"Clásica"</formula>
    </cfRule>
  </conditionalFormatting>
  <conditionalFormatting sqref="O814">
    <cfRule type="cellIs" priority="2253" operator="equal">
      <formula>"Inactiva"</formula>
    </cfRule>
  </conditionalFormatting>
  <conditionalFormatting sqref="J815">
    <cfRule type="cellIs" priority="2254" operator="equal">
      <formula>"$"</formula>
    </cfRule>
  </conditionalFormatting>
  <conditionalFormatting sqref="K815">
    <cfRule type="cellIs" priority="2255" operator="equal">
      <formula>"Nuevo"</formula>
    </cfRule>
  </conditionalFormatting>
  <conditionalFormatting sqref="L815">
    <cfRule type="cellIs" priority="2256" operator="equal">
      <formula>"Mercado Envíos gratis"</formula>
    </cfRule>
  </conditionalFormatting>
  <conditionalFormatting sqref="M815">
    <cfRule type="cellIs" priority="2257" operator="equal">
      <formula>"Clásica"</formula>
    </cfRule>
  </conditionalFormatting>
  <conditionalFormatting sqref="O815">
    <cfRule type="cellIs" priority="2258" operator="equal">
      <formula>"Inactiva"</formula>
    </cfRule>
  </conditionalFormatting>
  <conditionalFormatting sqref="J816">
    <cfRule type="cellIs" priority="2259" operator="equal">
      <formula>"$"</formula>
    </cfRule>
  </conditionalFormatting>
  <conditionalFormatting sqref="K816">
    <cfRule type="cellIs" priority="2260" operator="equal">
      <formula>"Nuevo"</formula>
    </cfRule>
  </conditionalFormatting>
  <conditionalFormatting sqref="L816">
    <cfRule type="cellIs" priority="2261" operator="equal">
      <formula>"Mercado Envíos a cargo del comprador"</formula>
    </cfRule>
  </conditionalFormatting>
  <conditionalFormatting sqref="M816">
    <cfRule type="cellIs" priority="2262" operator="equal">
      <formula>"Clásica"</formula>
    </cfRule>
  </conditionalFormatting>
  <conditionalFormatting sqref="O816">
    <cfRule type="cellIs" priority="2263" operator="equal">
      <formula>"Inactiva"</formula>
    </cfRule>
  </conditionalFormatting>
  <conditionalFormatting sqref="J819">
    <cfRule type="cellIs" priority="2264" operator="equal">
      <formula>"$"</formula>
    </cfRule>
  </conditionalFormatting>
  <conditionalFormatting sqref="K819">
    <cfRule type="cellIs" priority="2265" operator="equal">
      <formula>"Nuevo"</formula>
    </cfRule>
  </conditionalFormatting>
  <conditionalFormatting sqref="L819">
    <cfRule type="cellIs" priority="2266" operator="equal">
      <formula>"Mercado Envíos gratis"</formula>
    </cfRule>
  </conditionalFormatting>
  <conditionalFormatting sqref="M819">
    <cfRule type="cellIs" priority="2267" operator="equal">
      <formula>"Clásica"</formula>
    </cfRule>
  </conditionalFormatting>
  <conditionalFormatting sqref="O819">
    <cfRule type="cellIs" priority="2268" operator="equal">
      <formula>"Inactiva"</formula>
    </cfRule>
  </conditionalFormatting>
  <conditionalFormatting sqref="J820">
    <cfRule type="cellIs" priority="2269" operator="equal">
      <formula>"$"</formula>
    </cfRule>
  </conditionalFormatting>
  <conditionalFormatting sqref="K820">
    <cfRule type="cellIs" priority="2270" operator="equal">
      <formula>"Nuevo"</formula>
    </cfRule>
  </conditionalFormatting>
  <conditionalFormatting sqref="L820">
    <cfRule type="cellIs" priority="2271" operator="equal">
      <formula>"Mercado Envíos gratis"</formula>
    </cfRule>
  </conditionalFormatting>
  <conditionalFormatting sqref="M820">
    <cfRule type="cellIs" priority="2272" operator="equal">
      <formula>"Clásica"</formula>
    </cfRule>
  </conditionalFormatting>
  <conditionalFormatting sqref="O820">
    <cfRule type="cellIs" priority="2273" operator="equal">
      <formula>"Inactiva"</formula>
    </cfRule>
  </conditionalFormatting>
  <conditionalFormatting sqref="J821">
    <cfRule type="cellIs" priority="2274" operator="equal">
      <formula>"$"</formula>
    </cfRule>
  </conditionalFormatting>
  <conditionalFormatting sqref="K821">
    <cfRule type="cellIs" priority="2275" operator="equal">
      <formula>"Nuevo"</formula>
    </cfRule>
  </conditionalFormatting>
  <conditionalFormatting sqref="L821">
    <cfRule type="cellIs" priority="2276" operator="equal">
      <formula>"Mercado Envíos gratis"</formula>
    </cfRule>
  </conditionalFormatting>
  <conditionalFormatting sqref="M821">
    <cfRule type="cellIs" priority="2277" operator="equal">
      <formula>"Clásica"</formula>
    </cfRule>
  </conditionalFormatting>
  <conditionalFormatting sqref="O821">
    <cfRule type="cellIs" priority="2278" operator="equal">
      <formula>"Inactiva"</formula>
    </cfRule>
  </conditionalFormatting>
  <conditionalFormatting sqref="J822">
    <cfRule type="cellIs" priority="2279" operator="equal">
      <formula>"$"</formula>
    </cfRule>
  </conditionalFormatting>
  <conditionalFormatting sqref="K822">
    <cfRule type="cellIs" priority="2280" operator="equal">
      <formula>"Nuevo"</formula>
    </cfRule>
  </conditionalFormatting>
  <conditionalFormatting sqref="L822">
    <cfRule type="cellIs" priority="2281" operator="equal">
      <formula>"Mercado Envíos gratis"</formula>
    </cfRule>
  </conditionalFormatting>
  <conditionalFormatting sqref="M822">
    <cfRule type="cellIs" priority="2282" operator="equal">
      <formula>"Clásica"</formula>
    </cfRule>
  </conditionalFormatting>
  <conditionalFormatting sqref="O822">
    <cfRule type="cellIs" priority="2283" operator="equal">
      <formula>"Inactiva"</formula>
    </cfRule>
  </conditionalFormatting>
  <conditionalFormatting sqref="J825">
    <cfRule type="cellIs" priority="2284" operator="equal">
      <formula>"$"</formula>
    </cfRule>
  </conditionalFormatting>
  <conditionalFormatting sqref="K825">
    <cfRule type="cellIs" priority="2285" operator="equal">
      <formula>"Nuevo"</formula>
    </cfRule>
  </conditionalFormatting>
  <conditionalFormatting sqref="L825">
    <cfRule type="cellIs" priority="2286" operator="equal">
      <formula>"Mercado Envíos gratis"</formula>
    </cfRule>
  </conditionalFormatting>
  <conditionalFormatting sqref="M825">
    <cfRule type="cellIs" priority="2287" operator="equal">
      <formula>"Clásica"</formula>
    </cfRule>
  </conditionalFormatting>
  <conditionalFormatting sqref="O825">
    <cfRule type="cellIs" priority="2288" operator="equal">
      <formula>"Inactiva"</formula>
    </cfRule>
  </conditionalFormatting>
  <conditionalFormatting sqref="J826">
    <cfRule type="cellIs" priority="2289" operator="equal">
      <formula>"$"</formula>
    </cfRule>
  </conditionalFormatting>
  <conditionalFormatting sqref="K826">
    <cfRule type="cellIs" priority="2290" operator="equal">
      <formula>"Nuevo"</formula>
    </cfRule>
  </conditionalFormatting>
  <conditionalFormatting sqref="L826">
    <cfRule type="cellIs" priority="2291" operator="equal">
      <formula>"Mercado Envíos gratis"</formula>
    </cfRule>
  </conditionalFormatting>
  <conditionalFormatting sqref="M826">
    <cfRule type="cellIs" priority="2292" operator="equal">
      <formula>"Clásica"</formula>
    </cfRule>
  </conditionalFormatting>
  <conditionalFormatting sqref="O826">
    <cfRule type="cellIs" priority="2293" operator="equal">
      <formula>"Inactiva"</formula>
    </cfRule>
  </conditionalFormatting>
  <conditionalFormatting sqref="J827">
    <cfRule type="cellIs" priority="2294" operator="equal">
      <formula>"$"</formula>
    </cfRule>
  </conditionalFormatting>
  <conditionalFormatting sqref="K827">
    <cfRule type="cellIs" priority="2295" operator="equal">
      <formula>"Nuevo"</formula>
    </cfRule>
  </conditionalFormatting>
  <conditionalFormatting sqref="L827">
    <cfRule type="cellIs" priority="2296" operator="equal">
      <formula>"Mercado Envíos gratis"</formula>
    </cfRule>
  </conditionalFormatting>
  <conditionalFormatting sqref="M827">
    <cfRule type="cellIs" priority="2297" operator="equal">
      <formula>"Clásica"</formula>
    </cfRule>
  </conditionalFormatting>
  <conditionalFormatting sqref="O827">
    <cfRule type="cellIs" priority="2298" operator="equal">
      <formula>"Inactiva"</formula>
    </cfRule>
  </conditionalFormatting>
  <conditionalFormatting sqref="J828">
    <cfRule type="cellIs" priority="2299" operator="equal">
      <formula>"$"</formula>
    </cfRule>
  </conditionalFormatting>
  <conditionalFormatting sqref="K828">
    <cfRule type="cellIs" priority="2300" operator="equal">
      <formula>"Nuevo"</formula>
    </cfRule>
  </conditionalFormatting>
  <conditionalFormatting sqref="L828">
    <cfRule type="cellIs" priority="2301" operator="equal">
      <formula>"Mercado Envíos gratis"</formula>
    </cfRule>
  </conditionalFormatting>
  <conditionalFormatting sqref="M828">
    <cfRule type="cellIs" priority="2302" operator="equal">
      <formula>"Clásica"</formula>
    </cfRule>
  </conditionalFormatting>
  <conditionalFormatting sqref="O828">
    <cfRule type="cellIs" priority="2303" operator="equal">
      <formula>"Inactiva"</formula>
    </cfRule>
  </conditionalFormatting>
  <conditionalFormatting sqref="J829">
    <cfRule type="cellIs" priority="2304" operator="equal">
      <formula>"$"</formula>
    </cfRule>
  </conditionalFormatting>
  <conditionalFormatting sqref="K829">
    <cfRule type="cellIs" priority="2305" operator="equal">
      <formula>"Nuevo"</formula>
    </cfRule>
  </conditionalFormatting>
  <conditionalFormatting sqref="L829">
    <cfRule type="cellIs" priority="2306" operator="equal">
      <formula>"Mercado Envíos gratis"</formula>
    </cfRule>
  </conditionalFormatting>
  <conditionalFormatting sqref="M829">
    <cfRule type="cellIs" priority="2307" operator="equal">
      <formula>"Clásica"</formula>
    </cfRule>
  </conditionalFormatting>
  <conditionalFormatting sqref="O829">
    <cfRule type="cellIs" priority="2308" operator="equal">
      <formula>"Inactiva"</formula>
    </cfRule>
  </conditionalFormatting>
  <conditionalFormatting sqref="J830">
    <cfRule type="cellIs" priority="2309" operator="equal">
      <formula>"$"</formula>
    </cfRule>
  </conditionalFormatting>
  <conditionalFormatting sqref="K830">
    <cfRule type="cellIs" priority="2310" operator="equal">
      <formula>"Nuevo"</formula>
    </cfRule>
  </conditionalFormatting>
  <conditionalFormatting sqref="L830">
    <cfRule type="cellIs" priority="2311" operator="equal">
      <formula>"Mercado Envíos gratis"</formula>
    </cfRule>
  </conditionalFormatting>
  <conditionalFormatting sqref="M830">
    <cfRule type="cellIs" priority="2312" operator="equal">
      <formula>"Clásica"</formula>
    </cfRule>
  </conditionalFormatting>
  <conditionalFormatting sqref="O830">
    <cfRule type="cellIs" priority="2313" operator="equal">
      <formula>"Inactiva"</formula>
    </cfRule>
  </conditionalFormatting>
  <conditionalFormatting sqref="J831">
    <cfRule type="cellIs" priority="2314" operator="equal">
      <formula>"$"</formula>
    </cfRule>
  </conditionalFormatting>
  <conditionalFormatting sqref="K831">
    <cfRule type="cellIs" priority="2315" operator="equal">
      <formula>"Nuevo"</formula>
    </cfRule>
  </conditionalFormatting>
  <conditionalFormatting sqref="L831">
    <cfRule type="cellIs" priority="2316" operator="equal">
      <formula>"Mercado Envíos gratis"</formula>
    </cfRule>
  </conditionalFormatting>
  <conditionalFormatting sqref="M831">
    <cfRule type="cellIs" priority="2317" operator="equal">
      <formula>"Clásica"</formula>
    </cfRule>
  </conditionalFormatting>
  <conditionalFormatting sqref="O831">
    <cfRule type="cellIs" priority="2318" operator="equal">
      <formula>"Inactiva"</formula>
    </cfRule>
  </conditionalFormatting>
  <conditionalFormatting sqref="J832">
    <cfRule type="cellIs" priority="2319" operator="equal">
      <formula>"$"</formula>
    </cfRule>
  </conditionalFormatting>
  <conditionalFormatting sqref="K832">
    <cfRule type="cellIs" priority="2320" operator="equal">
      <formula>"Nuevo"</formula>
    </cfRule>
  </conditionalFormatting>
  <conditionalFormatting sqref="L832">
    <cfRule type="cellIs" priority="2321" operator="equal">
      <formula>"Mercado Envíos gratis"</formula>
    </cfRule>
  </conditionalFormatting>
  <conditionalFormatting sqref="M832">
    <cfRule type="cellIs" priority="2322" operator="equal">
      <formula>"Clásica"</formula>
    </cfRule>
  </conditionalFormatting>
  <conditionalFormatting sqref="O832">
    <cfRule type="cellIs" priority="2323" operator="equal">
      <formula>"Inactiva"</formula>
    </cfRule>
  </conditionalFormatting>
  <conditionalFormatting sqref="J835">
    <cfRule type="cellIs" priority="2324" operator="equal">
      <formula>"$"</formula>
    </cfRule>
  </conditionalFormatting>
  <conditionalFormatting sqref="K835">
    <cfRule type="cellIs" priority="2325" operator="equal">
      <formula>"Nuevo"</formula>
    </cfRule>
  </conditionalFormatting>
  <conditionalFormatting sqref="L835">
    <cfRule type="cellIs" priority="2326" operator="equal">
      <formula>"Mercado Envíos gratis"</formula>
    </cfRule>
  </conditionalFormatting>
  <conditionalFormatting sqref="M835">
    <cfRule type="cellIs" priority="2327" operator="equal">
      <formula>"Clásica"</formula>
    </cfRule>
  </conditionalFormatting>
  <conditionalFormatting sqref="O835">
    <cfRule type="cellIs" priority="2328" operator="equal">
      <formula>"Inactiva"</formula>
    </cfRule>
  </conditionalFormatting>
  <conditionalFormatting sqref="J838">
    <cfRule type="cellIs" priority="2329" operator="equal">
      <formula>"$"</formula>
    </cfRule>
  </conditionalFormatting>
  <conditionalFormatting sqref="K838">
    <cfRule type="cellIs" priority="2330" operator="equal">
      <formula>"Nuevo"</formula>
    </cfRule>
  </conditionalFormatting>
  <conditionalFormatting sqref="L838">
    <cfRule type="cellIs" priority="2331" operator="equal">
      <formula>"Mercado Envíos gratis"</formula>
    </cfRule>
  </conditionalFormatting>
  <conditionalFormatting sqref="M838">
    <cfRule type="cellIs" priority="2332" operator="equal">
      <formula>"Clásica"</formula>
    </cfRule>
  </conditionalFormatting>
  <conditionalFormatting sqref="O838">
    <cfRule type="cellIs" priority="2333" operator="equal">
      <formula>"Inactiva"</formula>
    </cfRule>
  </conditionalFormatting>
  <conditionalFormatting sqref="J841">
    <cfRule type="cellIs" priority="2334" operator="equal">
      <formula>"$"</formula>
    </cfRule>
  </conditionalFormatting>
  <conditionalFormatting sqref="K841">
    <cfRule type="cellIs" priority="2335" operator="equal">
      <formula>"Nuevo"</formula>
    </cfRule>
  </conditionalFormatting>
  <conditionalFormatting sqref="L841">
    <cfRule type="cellIs" priority="2336" operator="equal">
      <formula>"Mercado Envíos gratis"</formula>
    </cfRule>
  </conditionalFormatting>
  <conditionalFormatting sqref="M841">
    <cfRule type="cellIs" priority="2337" operator="equal">
      <formula>"Clásica"</formula>
    </cfRule>
  </conditionalFormatting>
  <conditionalFormatting sqref="O841">
    <cfRule type="cellIs" priority="2338" operator="equal">
      <formula>"Inactiva"</formula>
    </cfRule>
  </conditionalFormatting>
  <conditionalFormatting sqref="J842">
    <cfRule type="cellIs" priority="2339" operator="equal">
      <formula>"$"</formula>
    </cfRule>
  </conditionalFormatting>
  <conditionalFormatting sqref="K842">
    <cfRule type="cellIs" priority="2340" operator="equal">
      <formula>"Nuevo"</formula>
    </cfRule>
  </conditionalFormatting>
  <conditionalFormatting sqref="L842">
    <cfRule type="cellIs" priority="2341" operator="equal">
      <formula>"Mercado Envíos gratis"</formula>
    </cfRule>
  </conditionalFormatting>
  <conditionalFormatting sqref="M842">
    <cfRule type="cellIs" priority="2342" operator="equal">
      <formula>"Clásica"</formula>
    </cfRule>
  </conditionalFormatting>
  <conditionalFormatting sqref="O842">
    <cfRule type="cellIs" priority="2343" operator="equal">
      <formula>"Inactiva"</formula>
    </cfRule>
  </conditionalFormatting>
  <conditionalFormatting sqref="J843">
    <cfRule type="cellIs" priority="2344" operator="equal">
      <formula>"$"</formula>
    </cfRule>
  </conditionalFormatting>
  <conditionalFormatting sqref="K843">
    <cfRule type="cellIs" priority="2345" operator="equal">
      <formula>"Nuevo"</formula>
    </cfRule>
  </conditionalFormatting>
  <conditionalFormatting sqref="L843">
    <cfRule type="cellIs" priority="2346" operator="equal">
      <formula>"Mercado Envíos a cargo del comprador"</formula>
    </cfRule>
  </conditionalFormatting>
  <conditionalFormatting sqref="M843">
    <cfRule type="cellIs" priority="2347" operator="equal">
      <formula>"Clásica"</formula>
    </cfRule>
  </conditionalFormatting>
  <conditionalFormatting sqref="O843">
    <cfRule type="cellIs" priority="2348" operator="equal">
      <formula>"Inactiva"</formula>
    </cfRule>
  </conditionalFormatting>
  <conditionalFormatting sqref="J844">
    <cfRule type="cellIs" priority="2349" operator="equal">
      <formula>"$"</formula>
    </cfRule>
  </conditionalFormatting>
  <conditionalFormatting sqref="K844">
    <cfRule type="cellIs" priority="2350" operator="equal">
      <formula>"Nuevo"</formula>
    </cfRule>
  </conditionalFormatting>
  <conditionalFormatting sqref="L844">
    <cfRule type="cellIs" priority="2351" operator="equal">
      <formula>"Mercado Envíos gratis"</formula>
    </cfRule>
  </conditionalFormatting>
  <conditionalFormatting sqref="M844">
    <cfRule type="cellIs" priority="2352" operator="equal">
      <formula>"Clásica"</formula>
    </cfRule>
  </conditionalFormatting>
  <conditionalFormatting sqref="O844">
    <cfRule type="cellIs" priority="2353" operator="equal">
      <formula>"Inactiva"</formula>
    </cfRule>
  </conditionalFormatting>
  <conditionalFormatting sqref="J845">
    <cfRule type="cellIs" priority="2354" operator="equal">
      <formula>"$"</formula>
    </cfRule>
  </conditionalFormatting>
  <conditionalFormatting sqref="K845">
    <cfRule type="cellIs" priority="2355" operator="equal">
      <formula>"Nuevo"</formula>
    </cfRule>
  </conditionalFormatting>
  <conditionalFormatting sqref="L845">
    <cfRule type="cellIs" priority="2356" operator="equal">
      <formula>"Mercado Envíos gratis"</formula>
    </cfRule>
  </conditionalFormatting>
  <conditionalFormatting sqref="M845">
    <cfRule type="cellIs" priority="2357" operator="equal">
      <formula>"Clásica"</formula>
    </cfRule>
  </conditionalFormatting>
  <conditionalFormatting sqref="O845">
    <cfRule type="cellIs" priority="2358" operator="equal">
      <formula>"Inactiva"</formula>
    </cfRule>
  </conditionalFormatting>
  <conditionalFormatting sqref="J846">
    <cfRule type="cellIs" priority="2359" operator="equal">
      <formula>"$"</formula>
    </cfRule>
  </conditionalFormatting>
  <conditionalFormatting sqref="L846">
    <cfRule type="cellIs" priority="2360" operator="equal">
      <formula>"Mercado Envíos gratis"</formula>
    </cfRule>
  </conditionalFormatting>
  <conditionalFormatting sqref="M846">
    <cfRule type="cellIs" priority="2361" operator="equal">
      <formula>"Clásica"</formula>
    </cfRule>
  </conditionalFormatting>
  <conditionalFormatting sqref="O846">
    <cfRule type="cellIs" priority="2362" operator="equal">
      <formula>"Inactiva"</formula>
    </cfRule>
  </conditionalFormatting>
  <conditionalFormatting sqref="J847">
    <cfRule type="cellIs" priority="2363" operator="equal">
      <formula>"$"</formula>
    </cfRule>
  </conditionalFormatting>
  <conditionalFormatting sqref="K847">
    <cfRule type="cellIs" priority="2364" operator="equal">
      <formula>"Nuevo"</formula>
    </cfRule>
  </conditionalFormatting>
  <conditionalFormatting sqref="L847">
    <cfRule type="cellIs" priority="2365" operator="equal">
      <formula>"Mercado Envíos gratis"</formula>
    </cfRule>
  </conditionalFormatting>
  <conditionalFormatting sqref="M847">
    <cfRule type="cellIs" priority="2366" operator="equal">
      <formula>"Clásica"</formula>
    </cfRule>
  </conditionalFormatting>
  <conditionalFormatting sqref="O847">
    <cfRule type="cellIs" priority="2367" operator="equal">
      <formula>"Inactiva"</formula>
    </cfRule>
  </conditionalFormatting>
  <conditionalFormatting sqref="J848">
    <cfRule type="cellIs" priority="2368" operator="equal">
      <formula>"$"</formula>
    </cfRule>
  </conditionalFormatting>
  <conditionalFormatting sqref="K848">
    <cfRule type="cellIs" priority="2369" operator="equal">
      <formula>"Nuevo"</formula>
    </cfRule>
  </conditionalFormatting>
  <conditionalFormatting sqref="L848">
    <cfRule type="cellIs" priority="2370" operator="equal">
      <formula>"Mercado Envíos gratis"</formula>
    </cfRule>
  </conditionalFormatting>
  <conditionalFormatting sqref="M848">
    <cfRule type="cellIs" priority="2371" operator="equal">
      <formula>"Premium"</formula>
    </cfRule>
  </conditionalFormatting>
  <conditionalFormatting sqref="O848">
    <cfRule type="cellIs" priority="2372" operator="equal">
      <formula>"Inactiva"</formula>
    </cfRule>
  </conditionalFormatting>
  <conditionalFormatting sqref="J849">
    <cfRule type="cellIs" priority="2373" operator="equal">
      <formula>"$"</formula>
    </cfRule>
  </conditionalFormatting>
  <conditionalFormatting sqref="K849">
    <cfRule type="cellIs" priority="2374" operator="equal">
      <formula>"Nuevo"</formula>
    </cfRule>
  </conditionalFormatting>
  <conditionalFormatting sqref="L849">
    <cfRule type="cellIs" priority="2375" operator="equal">
      <formula>"Mercado Envíos gratis"</formula>
    </cfRule>
  </conditionalFormatting>
  <conditionalFormatting sqref="M849">
    <cfRule type="cellIs" priority="2376" operator="equal">
      <formula>"Premium"</formula>
    </cfRule>
  </conditionalFormatting>
  <conditionalFormatting sqref="O849">
    <cfRule type="cellIs" priority="2377" operator="equal">
      <formula>"Inactiva"</formula>
    </cfRule>
  </conditionalFormatting>
  <conditionalFormatting sqref="J850">
    <cfRule type="cellIs" priority="2378" operator="equal">
      <formula>"$"</formula>
    </cfRule>
  </conditionalFormatting>
  <conditionalFormatting sqref="K850">
    <cfRule type="cellIs" priority="2379" operator="equal">
      <formula>"Nuevo"</formula>
    </cfRule>
  </conditionalFormatting>
  <conditionalFormatting sqref="L850">
    <cfRule type="cellIs" priority="2380" operator="equal">
      <formula>"Mercado Envíos gratis"</formula>
    </cfRule>
  </conditionalFormatting>
  <conditionalFormatting sqref="M850">
    <cfRule type="cellIs" priority="2381" operator="equal">
      <formula>"Premium"</formula>
    </cfRule>
  </conditionalFormatting>
  <conditionalFormatting sqref="O850">
    <cfRule type="cellIs" priority="2382" operator="equal">
      <formula>"Inactiva"</formula>
    </cfRule>
  </conditionalFormatting>
  <conditionalFormatting sqref="J851">
    <cfRule type="cellIs" priority="2383" operator="equal">
      <formula>"$"</formula>
    </cfRule>
  </conditionalFormatting>
  <conditionalFormatting sqref="K851">
    <cfRule type="cellIs" priority="2384" operator="equal">
      <formula>"Nuevo"</formula>
    </cfRule>
  </conditionalFormatting>
  <conditionalFormatting sqref="L851">
    <cfRule type="cellIs" priority="2385" operator="equal">
      <formula>"Mercado Envíos gratis"</formula>
    </cfRule>
  </conditionalFormatting>
  <conditionalFormatting sqref="M851">
    <cfRule type="cellIs" priority="2386" operator="equal">
      <formula>"Premium"</formula>
    </cfRule>
  </conditionalFormatting>
  <conditionalFormatting sqref="O851">
    <cfRule type="cellIs" priority="2387" operator="equal">
      <formula>"Inactiva"</formula>
    </cfRule>
  </conditionalFormatting>
  <conditionalFormatting sqref="J852">
    <cfRule type="cellIs" priority="2388" operator="equal">
      <formula>"$"</formula>
    </cfRule>
  </conditionalFormatting>
  <conditionalFormatting sqref="K852">
    <cfRule type="cellIs" priority="2389" operator="equal">
      <formula>"Nuevo"</formula>
    </cfRule>
  </conditionalFormatting>
  <conditionalFormatting sqref="L852">
    <cfRule type="cellIs" priority="2390" operator="equal">
      <formula>"Mercado Envíos gratis"</formula>
    </cfRule>
  </conditionalFormatting>
  <conditionalFormatting sqref="M852">
    <cfRule type="cellIs" priority="2391" operator="equal">
      <formula>"Premium"</formula>
    </cfRule>
  </conditionalFormatting>
  <conditionalFormatting sqref="O852">
    <cfRule type="cellIs" priority="2392" operator="equal">
      <formula>"Inactiva"</formula>
    </cfRule>
  </conditionalFormatting>
  <conditionalFormatting sqref="J853">
    <cfRule type="cellIs" priority="2393" operator="equal">
      <formula>"$"</formula>
    </cfRule>
  </conditionalFormatting>
  <conditionalFormatting sqref="K853">
    <cfRule type="cellIs" priority="2394" operator="equal">
      <formula>"Nuevo"</formula>
    </cfRule>
  </conditionalFormatting>
  <conditionalFormatting sqref="L853">
    <cfRule type="cellIs" priority="2395" operator="equal">
      <formula>"Mercado Envíos gratis"</formula>
    </cfRule>
  </conditionalFormatting>
  <conditionalFormatting sqref="M853">
    <cfRule type="cellIs" priority="2396" operator="equal">
      <formula>"Premium"</formula>
    </cfRule>
  </conditionalFormatting>
  <conditionalFormatting sqref="O853">
    <cfRule type="cellIs" priority="2397" operator="equal">
      <formula>"Inactiva"</formula>
    </cfRule>
  </conditionalFormatting>
  <conditionalFormatting sqref="J854">
    <cfRule type="cellIs" priority="2398" operator="equal">
      <formula>"$"</formula>
    </cfRule>
  </conditionalFormatting>
  <conditionalFormatting sqref="K854">
    <cfRule type="cellIs" priority="2399" operator="equal">
      <formula>"Nuevo"</formula>
    </cfRule>
  </conditionalFormatting>
  <conditionalFormatting sqref="L854">
    <cfRule type="cellIs" priority="2400" operator="equal">
      <formula>"Mercado Envíos gratis"</formula>
    </cfRule>
  </conditionalFormatting>
  <conditionalFormatting sqref="M854">
    <cfRule type="cellIs" priority="2401" operator="equal">
      <formula>"Clásica"</formula>
    </cfRule>
  </conditionalFormatting>
  <conditionalFormatting sqref="O854">
    <cfRule type="cellIs" priority="2402" operator="equal">
      <formula>"Inactiva"</formula>
    </cfRule>
  </conditionalFormatting>
  <conditionalFormatting sqref="J855">
    <cfRule type="cellIs" priority="2403" operator="equal">
      <formula>"$"</formula>
    </cfRule>
  </conditionalFormatting>
  <conditionalFormatting sqref="K855">
    <cfRule type="cellIs" priority="2404" operator="equal">
      <formula>"Nuevo"</formula>
    </cfRule>
  </conditionalFormatting>
  <conditionalFormatting sqref="L855">
    <cfRule type="cellIs" priority="2405" operator="equal">
      <formula>"Mercado Envíos gratis"</formula>
    </cfRule>
  </conditionalFormatting>
  <conditionalFormatting sqref="M855">
    <cfRule type="cellIs" priority="2406" operator="equal">
      <formula>"Clásica"</formula>
    </cfRule>
  </conditionalFormatting>
  <conditionalFormatting sqref="O855">
    <cfRule type="cellIs" priority="2407" operator="equal">
      <formula>"Inactiva"</formula>
    </cfRule>
  </conditionalFormatting>
  <conditionalFormatting sqref="J856">
    <cfRule type="cellIs" priority="2408" operator="equal">
      <formula>"$"</formula>
    </cfRule>
  </conditionalFormatting>
  <conditionalFormatting sqref="K856">
    <cfRule type="cellIs" priority="2409" operator="equal">
      <formula>"Nuevo"</formula>
    </cfRule>
  </conditionalFormatting>
  <conditionalFormatting sqref="L856">
    <cfRule type="cellIs" priority="2410" operator="equal">
      <formula>"Mercado Envíos gratis"</formula>
    </cfRule>
  </conditionalFormatting>
  <conditionalFormatting sqref="M856">
    <cfRule type="cellIs" priority="2411" operator="equal">
      <formula>"Clásica"</formula>
    </cfRule>
  </conditionalFormatting>
  <conditionalFormatting sqref="O856">
    <cfRule type="cellIs" priority="2412" operator="equal">
      <formula>"Inactiva"</formula>
    </cfRule>
  </conditionalFormatting>
  <conditionalFormatting sqref="J857">
    <cfRule type="cellIs" priority="2413" operator="equal">
      <formula>"$"</formula>
    </cfRule>
  </conditionalFormatting>
  <conditionalFormatting sqref="K857">
    <cfRule type="cellIs" priority="2414" operator="equal">
      <formula>"Nuevo"</formula>
    </cfRule>
  </conditionalFormatting>
  <conditionalFormatting sqref="L857">
    <cfRule type="cellIs" priority="2415" operator="equal">
      <formula>"Mercado Envíos gratis"</formula>
    </cfRule>
  </conditionalFormatting>
  <conditionalFormatting sqref="M857">
    <cfRule type="cellIs" priority="2416" operator="equal">
      <formula>"Clásica"</formula>
    </cfRule>
  </conditionalFormatting>
  <conditionalFormatting sqref="O857">
    <cfRule type="cellIs" priority="2417" operator="equal">
      <formula>"Inactiva"</formula>
    </cfRule>
  </conditionalFormatting>
  <conditionalFormatting sqref="J858">
    <cfRule type="cellIs" priority="2418" operator="equal">
      <formula>"$"</formula>
    </cfRule>
  </conditionalFormatting>
  <conditionalFormatting sqref="K858">
    <cfRule type="cellIs" priority="2419" operator="equal">
      <formula>"Nuevo"</formula>
    </cfRule>
  </conditionalFormatting>
  <conditionalFormatting sqref="L858">
    <cfRule type="cellIs" priority="2420" operator="equal">
      <formula>"Mercado Envíos gratis"</formula>
    </cfRule>
  </conditionalFormatting>
  <conditionalFormatting sqref="M858">
    <cfRule type="cellIs" priority="2421" operator="equal">
      <formula>"Clásica"</formula>
    </cfRule>
  </conditionalFormatting>
  <conditionalFormatting sqref="O858">
    <cfRule type="cellIs" priority="2422" operator="equal">
      <formula>"Inactiva"</formula>
    </cfRule>
  </conditionalFormatting>
  <conditionalFormatting sqref="J859">
    <cfRule type="cellIs" priority="2423" operator="equal">
      <formula>"$"</formula>
    </cfRule>
  </conditionalFormatting>
  <conditionalFormatting sqref="K859">
    <cfRule type="cellIs" priority="2424" operator="equal">
      <formula>"Nuevo"</formula>
    </cfRule>
  </conditionalFormatting>
  <conditionalFormatting sqref="L859">
    <cfRule type="cellIs" priority="2425" operator="equal">
      <formula>"Mercado Envíos gratis"</formula>
    </cfRule>
  </conditionalFormatting>
  <conditionalFormatting sqref="M859">
    <cfRule type="cellIs" priority="2426" operator="equal">
      <formula>"Clásica"</formula>
    </cfRule>
  </conditionalFormatting>
  <conditionalFormatting sqref="O859">
    <cfRule type="cellIs" priority="2427" operator="equal">
      <formula>"Inactiva"</formula>
    </cfRule>
  </conditionalFormatting>
  <conditionalFormatting sqref="J860">
    <cfRule type="cellIs" priority="2428" operator="equal">
      <formula>"$"</formula>
    </cfRule>
  </conditionalFormatting>
  <conditionalFormatting sqref="K860">
    <cfRule type="cellIs" priority="2429" operator="equal">
      <formula>"Nuevo"</formula>
    </cfRule>
  </conditionalFormatting>
  <conditionalFormatting sqref="L860">
    <cfRule type="cellIs" priority="2430" operator="equal">
      <formula>"Mercado Envíos gratis"</formula>
    </cfRule>
  </conditionalFormatting>
  <conditionalFormatting sqref="M860">
    <cfRule type="cellIs" priority="2431" operator="equal">
      <formula>"Clásica"</formula>
    </cfRule>
  </conditionalFormatting>
  <conditionalFormatting sqref="O860">
    <cfRule type="cellIs" priority="2432" operator="equal">
      <formula>"Inactiva"</formula>
    </cfRule>
  </conditionalFormatting>
  <conditionalFormatting sqref="J861">
    <cfRule type="cellIs" priority="2433" operator="equal">
      <formula>"$"</formula>
    </cfRule>
  </conditionalFormatting>
  <conditionalFormatting sqref="K861">
    <cfRule type="cellIs" priority="2434" operator="equal">
      <formula>"Nuevo"</formula>
    </cfRule>
  </conditionalFormatting>
  <conditionalFormatting sqref="L861">
    <cfRule type="cellIs" priority="2435" operator="equal">
      <formula>"Mercado Envíos gratis"</formula>
    </cfRule>
  </conditionalFormatting>
  <conditionalFormatting sqref="M861">
    <cfRule type="cellIs" priority="2436" operator="equal">
      <formula>"Clásica"</formula>
    </cfRule>
  </conditionalFormatting>
  <conditionalFormatting sqref="O861">
    <cfRule type="cellIs" priority="2437" operator="equal">
      <formula>"Inactiva"</formula>
    </cfRule>
  </conditionalFormatting>
  <conditionalFormatting sqref="J862">
    <cfRule type="cellIs" priority="2438" operator="equal">
      <formula>"$"</formula>
    </cfRule>
  </conditionalFormatting>
  <conditionalFormatting sqref="K862">
    <cfRule type="cellIs" priority="2439" operator="equal">
      <formula>"Nuevo"</formula>
    </cfRule>
  </conditionalFormatting>
  <conditionalFormatting sqref="L862">
    <cfRule type="cellIs" priority="2440" operator="equal">
      <formula>"Mercado Envíos gratis"</formula>
    </cfRule>
  </conditionalFormatting>
  <conditionalFormatting sqref="M862">
    <cfRule type="cellIs" priority="2441" operator="equal">
      <formula>"Clásica"</formula>
    </cfRule>
  </conditionalFormatting>
  <conditionalFormatting sqref="O862">
    <cfRule type="cellIs" priority="2442" operator="equal">
      <formula>"Inactiva"</formula>
    </cfRule>
  </conditionalFormatting>
  <conditionalFormatting sqref="J863">
    <cfRule type="cellIs" priority="2443" operator="equal">
      <formula>"$"</formula>
    </cfRule>
  </conditionalFormatting>
  <conditionalFormatting sqref="K863">
    <cfRule type="cellIs" priority="2444" operator="equal">
      <formula>"Nuevo"</formula>
    </cfRule>
  </conditionalFormatting>
  <conditionalFormatting sqref="L863">
    <cfRule type="cellIs" priority="2445" operator="equal">
      <formula>"Mercado Envíos gratis"</formula>
    </cfRule>
  </conditionalFormatting>
  <conditionalFormatting sqref="M863">
    <cfRule type="cellIs" priority="2446" operator="equal">
      <formula>"Clásica"</formula>
    </cfRule>
  </conditionalFormatting>
  <conditionalFormatting sqref="O863">
    <cfRule type="cellIs" priority="2447" operator="equal">
      <formula>"Inactiva"</formula>
    </cfRule>
  </conditionalFormatting>
  <conditionalFormatting sqref="J864">
    <cfRule type="cellIs" priority="2448" operator="equal">
      <formula>"$"</formula>
    </cfRule>
  </conditionalFormatting>
  <conditionalFormatting sqref="K864">
    <cfRule type="cellIs" priority="2449" operator="equal">
      <formula>"Nuevo"</formula>
    </cfRule>
  </conditionalFormatting>
  <conditionalFormatting sqref="L864">
    <cfRule type="cellIs" priority="2450" operator="equal">
      <formula>"Mercado Envíos gratis"</formula>
    </cfRule>
  </conditionalFormatting>
  <conditionalFormatting sqref="M864">
    <cfRule type="cellIs" priority="2451" operator="equal">
      <formula>"Clásica"</formula>
    </cfRule>
  </conditionalFormatting>
  <conditionalFormatting sqref="O864">
    <cfRule type="cellIs" priority="2452" operator="equal">
      <formula>"Inactiva"</formula>
    </cfRule>
  </conditionalFormatting>
  <conditionalFormatting sqref="J865">
    <cfRule type="cellIs" priority="2453" operator="equal">
      <formula>"$"</formula>
    </cfRule>
  </conditionalFormatting>
  <conditionalFormatting sqref="K865">
    <cfRule type="cellIs" priority="2454" operator="equal">
      <formula>"Nuevo"</formula>
    </cfRule>
  </conditionalFormatting>
  <conditionalFormatting sqref="L865">
    <cfRule type="cellIs" priority="2455" operator="equal">
      <formula>"Mercado Envíos a cargo del comprador"</formula>
    </cfRule>
  </conditionalFormatting>
  <conditionalFormatting sqref="M865">
    <cfRule type="cellIs" priority="2456" operator="equal">
      <formula>"Clásica"</formula>
    </cfRule>
  </conditionalFormatting>
  <conditionalFormatting sqref="O865">
    <cfRule type="cellIs" priority="2457" operator="equal">
      <formula>"Inactiva"</formula>
    </cfRule>
  </conditionalFormatting>
  <conditionalFormatting sqref="J866">
    <cfRule type="cellIs" priority="2458" operator="equal">
      <formula>"$"</formula>
    </cfRule>
  </conditionalFormatting>
  <conditionalFormatting sqref="K866">
    <cfRule type="cellIs" priority="2459" operator="equal">
      <formula>"Nuevo"</formula>
    </cfRule>
  </conditionalFormatting>
  <conditionalFormatting sqref="L866">
    <cfRule type="cellIs" priority="2460" operator="equal">
      <formula>"Mercado Envíos gratis"</formula>
    </cfRule>
  </conditionalFormatting>
  <conditionalFormatting sqref="M866">
    <cfRule type="cellIs" priority="2461" operator="equal">
      <formula>"Clásica"</formula>
    </cfRule>
  </conditionalFormatting>
  <conditionalFormatting sqref="O866">
    <cfRule type="cellIs" priority="2462" operator="equal">
      <formula>"Inactiva"</formula>
    </cfRule>
  </conditionalFormatting>
  <conditionalFormatting sqref="J867">
    <cfRule type="cellIs" priority="2463" operator="equal">
      <formula>"$"</formula>
    </cfRule>
  </conditionalFormatting>
  <conditionalFormatting sqref="K867">
    <cfRule type="cellIs" priority="2464" operator="equal">
      <formula>"Nuevo"</formula>
    </cfRule>
  </conditionalFormatting>
  <conditionalFormatting sqref="L867">
    <cfRule type="cellIs" priority="2465" operator="equal">
      <formula>"Mercado Envíos gratis"</formula>
    </cfRule>
  </conditionalFormatting>
  <conditionalFormatting sqref="M867">
    <cfRule type="cellIs" priority="2466" operator="equal">
      <formula>"Clásica"</formula>
    </cfRule>
  </conditionalFormatting>
  <conditionalFormatting sqref="O867">
    <cfRule type="cellIs" priority="2467" operator="equal">
      <formula>"Inactiva"</formula>
    </cfRule>
  </conditionalFormatting>
  <conditionalFormatting sqref="J868">
    <cfRule type="cellIs" priority="2468" operator="equal">
      <formula>"$"</formula>
    </cfRule>
  </conditionalFormatting>
  <conditionalFormatting sqref="K868">
    <cfRule type="cellIs" priority="2469" operator="equal">
      <formula>"Nuevo"</formula>
    </cfRule>
  </conditionalFormatting>
  <conditionalFormatting sqref="L868">
    <cfRule type="cellIs" priority="2470" operator="equal">
      <formula>"Mercado Envíos a cargo del comprador"</formula>
    </cfRule>
  </conditionalFormatting>
  <conditionalFormatting sqref="M868">
    <cfRule type="cellIs" priority="2471" operator="equal">
      <formula>"Clásica"</formula>
    </cfRule>
  </conditionalFormatting>
  <conditionalFormatting sqref="O868">
    <cfRule type="cellIs" priority="2472" operator="equal">
      <formula>"Inactiva"</formula>
    </cfRule>
  </conditionalFormatting>
  <conditionalFormatting sqref="J869">
    <cfRule type="cellIs" priority="2473" operator="equal">
      <formula>"$"</formula>
    </cfRule>
  </conditionalFormatting>
  <conditionalFormatting sqref="L869">
    <cfRule type="cellIs" priority="2474" operator="equal">
      <formula>"Mercado Envíos gratis"</formula>
    </cfRule>
  </conditionalFormatting>
  <conditionalFormatting sqref="M869">
    <cfRule type="cellIs" priority="2475" operator="equal">
      <formula>"Clásica"</formula>
    </cfRule>
  </conditionalFormatting>
  <conditionalFormatting sqref="O869">
    <cfRule type="cellIs" priority="2476" operator="equal">
      <formula>"Inactiva"</formula>
    </cfRule>
  </conditionalFormatting>
  <conditionalFormatting sqref="J870">
    <cfRule type="cellIs" priority="2477" operator="equal">
      <formula>"$"</formula>
    </cfRule>
  </conditionalFormatting>
  <conditionalFormatting sqref="K870">
    <cfRule type="cellIs" priority="2478" operator="equal">
      <formula>"Nuevo"</formula>
    </cfRule>
  </conditionalFormatting>
  <conditionalFormatting sqref="L870">
    <cfRule type="cellIs" priority="2479" operator="equal">
      <formula>"Mercado Envíos gratis"</formula>
    </cfRule>
  </conditionalFormatting>
  <conditionalFormatting sqref="M870">
    <cfRule type="cellIs" priority="2480" operator="equal">
      <formula>"Clásica"</formula>
    </cfRule>
  </conditionalFormatting>
  <conditionalFormatting sqref="O870">
    <cfRule type="cellIs" priority="2481" operator="equal">
      <formula>"Inactiva"</formula>
    </cfRule>
  </conditionalFormatting>
  <conditionalFormatting sqref="J871">
    <cfRule type="cellIs" priority="2482" operator="equal">
      <formula>"$"</formula>
    </cfRule>
  </conditionalFormatting>
  <conditionalFormatting sqref="K871">
    <cfRule type="cellIs" priority="2483" operator="equal">
      <formula>"Nuevo"</formula>
    </cfRule>
  </conditionalFormatting>
  <conditionalFormatting sqref="L871">
    <cfRule type="cellIs" priority="2484" operator="equal">
      <formula>"Mercado Envíos gratis"</formula>
    </cfRule>
  </conditionalFormatting>
  <conditionalFormatting sqref="M871">
    <cfRule type="cellIs" priority="2485" operator="equal">
      <formula>"Clásica"</formula>
    </cfRule>
  </conditionalFormatting>
  <conditionalFormatting sqref="O871">
    <cfRule type="cellIs" priority="2486" operator="equal">
      <formula>"Inactiva"</formula>
    </cfRule>
  </conditionalFormatting>
  <conditionalFormatting sqref="J872">
    <cfRule type="cellIs" priority="2487" operator="equal">
      <formula>"$"</formula>
    </cfRule>
  </conditionalFormatting>
  <conditionalFormatting sqref="K872">
    <cfRule type="cellIs" priority="2488" operator="equal">
      <formula>"Nuevo"</formula>
    </cfRule>
  </conditionalFormatting>
  <conditionalFormatting sqref="L872">
    <cfRule type="cellIs" priority="2489" operator="equal">
      <formula>"Mercado Envíos gratis"</formula>
    </cfRule>
  </conditionalFormatting>
  <conditionalFormatting sqref="M872">
    <cfRule type="cellIs" priority="2490" operator="equal">
      <formula>"Clásica"</formula>
    </cfRule>
  </conditionalFormatting>
  <conditionalFormatting sqref="O872">
    <cfRule type="cellIs" priority="2491" operator="equal">
      <formula>"Inactiva"</formula>
    </cfRule>
  </conditionalFormatting>
  <conditionalFormatting sqref="J873">
    <cfRule type="cellIs" priority="2492" operator="equal">
      <formula>"$"</formula>
    </cfRule>
  </conditionalFormatting>
  <conditionalFormatting sqref="K873">
    <cfRule type="cellIs" priority="2493" operator="equal">
      <formula>"Nuevo"</formula>
    </cfRule>
  </conditionalFormatting>
  <conditionalFormatting sqref="L873">
    <cfRule type="cellIs" priority="2494" operator="equal">
      <formula>"Mercado Envíos gratis"</formula>
    </cfRule>
  </conditionalFormatting>
  <conditionalFormatting sqref="M873">
    <cfRule type="cellIs" priority="2495" operator="equal">
      <formula>"Clásica"</formula>
    </cfRule>
  </conditionalFormatting>
  <conditionalFormatting sqref="O873">
    <cfRule type="cellIs" priority="2496" operator="equal">
      <formula>"Inactiva"</formula>
    </cfRule>
  </conditionalFormatting>
  <conditionalFormatting sqref="J874">
    <cfRule type="cellIs" priority="2497" operator="equal">
      <formula>"$"</formula>
    </cfRule>
  </conditionalFormatting>
  <conditionalFormatting sqref="K874">
    <cfRule type="cellIs" priority="2498" operator="equal">
      <formula>"Nuevo"</formula>
    </cfRule>
  </conditionalFormatting>
  <conditionalFormatting sqref="L874">
    <cfRule type="cellIs" priority="2499" operator="equal">
      <formula>"Mercado Envíos gratis"</formula>
    </cfRule>
  </conditionalFormatting>
  <conditionalFormatting sqref="M874">
    <cfRule type="cellIs" priority="2500" operator="equal">
      <formula>"Clásica"</formula>
    </cfRule>
  </conditionalFormatting>
  <conditionalFormatting sqref="O874">
    <cfRule type="cellIs" priority="2501" operator="equal">
      <formula>"Inactiva"</formula>
    </cfRule>
  </conditionalFormatting>
  <conditionalFormatting sqref="J875">
    <cfRule type="cellIs" priority="2502" operator="equal">
      <formula>"$"</formula>
    </cfRule>
  </conditionalFormatting>
  <conditionalFormatting sqref="K875">
    <cfRule type="cellIs" priority="2503" operator="equal">
      <formula>"Nuevo"</formula>
    </cfRule>
  </conditionalFormatting>
  <conditionalFormatting sqref="L875">
    <cfRule type="cellIs" priority="2504" operator="equal">
      <formula>"Mercado Envíos gratis"</formula>
    </cfRule>
  </conditionalFormatting>
  <conditionalFormatting sqref="M875">
    <cfRule type="cellIs" priority="2505" operator="equal">
      <formula>"Clásica"</formula>
    </cfRule>
  </conditionalFormatting>
  <conditionalFormatting sqref="O875">
    <cfRule type="cellIs" priority="2506" operator="equal">
      <formula>"Inactiva"</formula>
    </cfRule>
  </conditionalFormatting>
  <conditionalFormatting sqref="J876">
    <cfRule type="cellIs" priority="2507" operator="equal">
      <formula>"$"</formula>
    </cfRule>
  </conditionalFormatting>
  <conditionalFormatting sqref="K876">
    <cfRule type="cellIs" priority="2508" operator="equal">
      <formula>"Nuevo"</formula>
    </cfRule>
  </conditionalFormatting>
  <conditionalFormatting sqref="L876">
    <cfRule type="cellIs" priority="2509" operator="equal">
      <formula>"Mercado Envíos gratis"</formula>
    </cfRule>
  </conditionalFormatting>
  <conditionalFormatting sqref="M876">
    <cfRule type="cellIs" priority="2510" operator="equal">
      <formula>"Clásica"</formula>
    </cfRule>
  </conditionalFormatting>
  <conditionalFormatting sqref="O876">
    <cfRule type="cellIs" priority="2511" operator="equal">
      <formula>"Inactiva"</formula>
    </cfRule>
  </conditionalFormatting>
  <conditionalFormatting sqref="J877">
    <cfRule type="cellIs" priority="2512" operator="equal">
      <formula>"$"</formula>
    </cfRule>
  </conditionalFormatting>
  <conditionalFormatting sqref="K877">
    <cfRule type="cellIs" priority="2513" operator="equal">
      <formula>"Nuevo"</formula>
    </cfRule>
  </conditionalFormatting>
  <conditionalFormatting sqref="L877">
    <cfRule type="cellIs" priority="2514" operator="equal">
      <formula>"Mercado Envíos gratis"</formula>
    </cfRule>
  </conditionalFormatting>
  <conditionalFormatting sqref="M877">
    <cfRule type="cellIs" priority="2515" operator="equal">
      <formula>"Clásica"</formula>
    </cfRule>
  </conditionalFormatting>
  <conditionalFormatting sqref="O877">
    <cfRule type="cellIs" priority="2516" operator="equal">
      <formula>"Inactiva"</formula>
    </cfRule>
  </conditionalFormatting>
  <conditionalFormatting sqref="J878">
    <cfRule type="cellIs" priority="2517" operator="equal">
      <formula>"$"</formula>
    </cfRule>
  </conditionalFormatting>
  <conditionalFormatting sqref="K878">
    <cfRule type="cellIs" priority="2518" operator="equal">
      <formula>"Nuevo"</formula>
    </cfRule>
  </conditionalFormatting>
  <conditionalFormatting sqref="L878">
    <cfRule type="cellIs" priority="2519" operator="equal">
      <formula>"Mercado Envíos gratis"</formula>
    </cfRule>
  </conditionalFormatting>
  <conditionalFormatting sqref="M878">
    <cfRule type="cellIs" priority="2520" operator="equal">
      <formula>"Clásica"</formula>
    </cfRule>
  </conditionalFormatting>
  <conditionalFormatting sqref="O878">
    <cfRule type="cellIs" priority="2521" operator="equal">
      <formula>"Inactiva"</formula>
    </cfRule>
  </conditionalFormatting>
  <conditionalFormatting sqref="J879">
    <cfRule type="cellIs" priority="2522" operator="equal">
      <formula>"$"</formula>
    </cfRule>
  </conditionalFormatting>
  <conditionalFormatting sqref="K879">
    <cfRule type="cellIs" priority="2523" operator="equal">
      <formula>"Nuevo"</formula>
    </cfRule>
  </conditionalFormatting>
  <conditionalFormatting sqref="L879">
    <cfRule type="cellIs" priority="2524" operator="equal">
      <formula>"Mercado Envíos gratis"</formula>
    </cfRule>
  </conditionalFormatting>
  <conditionalFormatting sqref="M879">
    <cfRule type="cellIs" priority="2525" operator="equal">
      <formula>"Clásica"</formula>
    </cfRule>
  </conditionalFormatting>
  <conditionalFormatting sqref="O879">
    <cfRule type="cellIs" priority="2526" operator="equal">
      <formula>"Inactiva"</formula>
    </cfRule>
  </conditionalFormatting>
  <conditionalFormatting sqref="J882">
    <cfRule type="cellIs" priority="2527" operator="equal">
      <formula>"$"</formula>
    </cfRule>
  </conditionalFormatting>
  <conditionalFormatting sqref="K882">
    <cfRule type="cellIs" priority="2528" operator="equal">
      <formula>"Nuevo"</formula>
    </cfRule>
  </conditionalFormatting>
  <conditionalFormatting sqref="L882">
    <cfRule type="cellIs" priority="2529" operator="equal">
      <formula>"Mercado Envíos a cargo del comprador"</formula>
    </cfRule>
  </conditionalFormatting>
  <conditionalFormatting sqref="M882">
    <cfRule type="cellIs" priority="2530" operator="equal">
      <formula>"Clásica"</formula>
    </cfRule>
  </conditionalFormatting>
  <conditionalFormatting sqref="O882">
    <cfRule type="cellIs" priority="2531" operator="equal">
      <formula>"Inactiva"</formula>
    </cfRule>
  </conditionalFormatting>
  <conditionalFormatting sqref="J883">
    <cfRule type="cellIs" priority="2532" operator="equal">
      <formula>"$"</formula>
    </cfRule>
  </conditionalFormatting>
  <conditionalFormatting sqref="K883">
    <cfRule type="cellIs" priority="2533" operator="equal">
      <formula>"Nuevo"</formula>
    </cfRule>
  </conditionalFormatting>
  <conditionalFormatting sqref="L883">
    <cfRule type="cellIs" priority="2534" operator="equal">
      <formula>"Mercado Envíos gratis"</formula>
    </cfRule>
  </conditionalFormatting>
  <conditionalFormatting sqref="M883">
    <cfRule type="cellIs" priority="2535" operator="equal">
      <formula>"Clásica"</formula>
    </cfRule>
  </conditionalFormatting>
  <conditionalFormatting sqref="O883">
    <cfRule type="cellIs" priority="2536" operator="equal">
      <formula>"Inactiva"</formula>
    </cfRule>
  </conditionalFormatting>
  <conditionalFormatting sqref="J884">
    <cfRule type="cellIs" priority="2537" operator="equal">
      <formula>"$"</formula>
    </cfRule>
  </conditionalFormatting>
  <conditionalFormatting sqref="K884">
    <cfRule type="cellIs" priority="2538" operator="equal">
      <formula>"Nuevo"</formula>
    </cfRule>
  </conditionalFormatting>
  <conditionalFormatting sqref="L884">
    <cfRule type="cellIs" priority="2539" operator="equal">
      <formula>"Mercado Envíos a cargo del comprador"</formula>
    </cfRule>
  </conditionalFormatting>
  <conditionalFormatting sqref="M884">
    <cfRule type="cellIs" priority="2540" operator="equal">
      <formula>"Clásica"</formula>
    </cfRule>
  </conditionalFormatting>
  <conditionalFormatting sqref="O884">
    <cfRule type="cellIs" priority="2541" operator="equal">
      <formula>"Inactiva"</formula>
    </cfRule>
  </conditionalFormatting>
  <conditionalFormatting sqref="J885">
    <cfRule type="cellIs" priority="2542" operator="equal">
      <formula>"$"</formula>
    </cfRule>
  </conditionalFormatting>
  <conditionalFormatting sqref="K885">
    <cfRule type="cellIs" priority="2543" operator="equal">
      <formula>"Nuevo"</formula>
    </cfRule>
  </conditionalFormatting>
  <conditionalFormatting sqref="L885">
    <cfRule type="cellIs" priority="2544" operator="equal">
      <formula>"Mercado Envíos gratis"</formula>
    </cfRule>
  </conditionalFormatting>
  <conditionalFormatting sqref="M885">
    <cfRule type="cellIs" priority="2545" operator="equal">
      <formula>"Clásica"</formula>
    </cfRule>
  </conditionalFormatting>
  <conditionalFormatting sqref="O885">
    <cfRule type="cellIs" priority="2546" operator="equal">
      <formula>"Inactiva"</formula>
    </cfRule>
  </conditionalFormatting>
  <conditionalFormatting sqref="J886">
    <cfRule type="cellIs" priority="2547" operator="equal">
      <formula>"$"</formula>
    </cfRule>
  </conditionalFormatting>
  <conditionalFormatting sqref="K886">
    <cfRule type="cellIs" priority="2548" operator="equal">
      <formula>"Nuevo"</formula>
    </cfRule>
  </conditionalFormatting>
  <conditionalFormatting sqref="L886">
    <cfRule type="cellIs" priority="2549" operator="equal">
      <formula>"Mercado Envíos gratis"</formula>
    </cfRule>
  </conditionalFormatting>
  <conditionalFormatting sqref="M886">
    <cfRule type="cellIs" priority="2550" operator="equal">
      <formula>"Clásica"</formula>
    </cfRule>
  </conditionalFormatting>
  <conditionalFormatting sqref="O886">
    <cfRule type="cellIs" priority="2551" operator="equal">
      <formula>"Inactiva"</formula>
    </cfRule>
  </conditionalFormatting>
  <conditionalFormatting sqref="J887">
    <cfRule type="cellIs" priority="2552" operator="equal">
      <formula>"$"</formula>
    </cfRule>
  </conditionalFormatting>
  <conditionalFormatting sqref="K887">
    <cfRule type="cellIs" priority="2553" operator="equal">
      <formula>"Nuevo"</formula>
    </cfRule>
  </conditionalFormatting>
  <conditionalFormatting sqref="L887">
    <cfRule type="cellIs" priority="2554" operator="equal">
      <formula>"Mercado Envíos gratis"</formula>
    </cfRule>
  </conditionalFormatting>
  <conditionalFormatting sqref="M887">
    <cfRule type="cellIs" priority="2555" operator="equal">
      <formula>"Clásica"</formula>
    </cfRule>
  </conditionalFormatting>
  <conditionalFormatting sqref="O887">
    <cfRule type="cellIs" priority="2556" operator="equal">
      <formula>"Inactiva"</formula>
    </cfRule>
  </conditionalFormatting>
  <conditionalFormatting sqref="J888">
    <cfRule type="cellIs" priority="2557" operator="equal">
      <formula>"$"</formula>
    </cfRule>
  </conditionalFormatting>
  <conditionalFormatting sqref="K888">
    <cfRule type="cellIs" priority="2558" operator="equal">
      <formula>"Nuevo"</formula>
    </cfRule>
  </conditionalFormatting>
  <conditionalFormatting sqref="L888">
    <cfRule type="cellIs" priority="2559" operator="equal">
      <formula>"Mercado Envíos gratis"</formula>
    </cfRule>
  </conditionalFormatting>
  <conditionalFormatting sqref="M888">
    <cfRule type="cellIs" priority="2560" operator="equal">
      <formula>"Clásica"</formula>
    </cfRule>
  </conditionalFormatting>
  <conditionalFormatting sqref="O888">
    <cfRule type="cellIs" priority="2561" operator="equal">
      <formula>"Inactiva"</formula>
    </cfRule>
  </conditionalFormatting>
  <conditionalFormatting sqref="J889">
    <cfRule type="cellIs" priority="2562" operator="equal">
      <formula>"$"</formula>
    </cfRule>
  </conditionalFormatting>
  <conditionalFormatting sqref="K889">
    <cfRule type="cellIs" priority="2563" operator="equal">
      <formula>"Nuevo"</formula>
    </cfRule>
  </conditionalFormatting>
  <conditionalFormatting sqref="L889">
    <cfRule type="cellIs" priority="2564" operator="equal">
      <formula>"Mercado Envíos gratis"</formula>
    </cfRule>
  </conditionalFormatting>
  <conditionalFormatting sqref="M889">
    <cfRule type="cellIs" priority="2565" operator="equal">
      <formula>"Clásica"</formula>
    </cfRule>
  </conditionalFormatting>
  <conditionalFormatting sqref="O889">
    <cfRule type="cellIs" priority="2566" operator="equal">
      <formula>"Inactiva"</formula>
    </cfRule>
  </conditionalFormatting>
  <conditionalFormatting sqref="J890">
    <cfRule type="cellIs" priority="2567" operator="equal">
      <formula>"$"</formula>
    </cfRule>
  </conditionalFormatting>
  <conditionalFormatting sqref="K890">
    <cfRule type="cellIs" priority="2568" operator="equal">
      <formula>"Nuevo"</formula>
    </cfRule>
  </conditionalFormatting>
  <conditionalFormatting sqref="L890">
    <cfRule type="cellIs" priority="2569" operator="equal">
      <formula>"Mercado Envíos gratis"</formula>
    </cfRule>
  </conditionalFormatting>
  <conditionalFormatting sqref="M890">
    <cfRule type="cellIs" priority="2570" operator="equal">
      <formula>"Clásica"</formula>
    </cfRule>
  </conditionalFormatting>
  <conditionalFormatting sqref="O890">
    <cfRule type="cellIs" priority="2571" operator="equal">
      <formula>"Inactiva"</formula>
    </cfRule>
  </conditionalFormatting>
  <conditionalFormatting sqref="J891">
    <cfRule type="cellIs" priority="2572" operator="equal">
      <formula>"$"</formula>
    </cfRule>
  </conditionalFormatting>
  <conditionalFormatting sqref="K891">
    <cfRule type="cellIs" priority="2573" operator="equal">
      <formula>"Nuevo"</formula>
    </cfRule>
  </conditionalFormatting>
  <conditionalFormatting sqref="L891">
    <cfRule type="cellIs" priority="2574" operator="equal">
      <formula>"Mercado Envíos gratis"</formula>
    </cfRule>
  </conditionalFormatting>
  <conditionalFormatting sqref="M891">
    <cfRule type="cellIs" priority="2575" operator="equal">
      <formula>"Clásica"</formula>
    </cfRule>
  </conditionalFormatting>
  <conditionalFormatting sqref="O891">
    <cfRule type="cellIs" priority="2576" operator="equal">
      <formula>"Inactiva"</formula>
    </cfRule>
  </conditionalFormatting>
  <conditionalFormatting sqref="J892">
    <cfRule type="cellIs" priority="2577" operator="equal">
      <formula>"$"</formula>
    </cfRule>
  </conditionalFormatting>
  <conditionalFormatting sqref="K892">
    <cfRule type="cellIs" priority="2578" operator="equal">
      <formula>"Nuevo"</formula>
    </cfRule>
  </conditionalFormatting>
  <conditionalFormatting sqref="L892">
    <cfRule type="cellIs" priority="2579" operator="equal">
      <formula>"Mercado Envíos gratis"</formula>
    </cfRule>
  </conditionalFormatting>
  <conditionalFormatting sqref="M892">
    <cfRule type="cellIs" priority="2580" operator="equal">
      <formula>"Clásica"</formula>
    </cfRule>
  </conditionalFormatting>
  <conditionalFormatting sqref="O892">
    <cfRule type="cellIs" priority="2581" operator="equal">
      <formula>"Inactiva"</formula>
    </cfRule>
  </conditionalFormatting>
  <conditionalFormatting sqref="J893">
    <cfRule type="cellIs" priority="2582" operator="equal">
      <formula>"$"</formula>
    </cfRule>
  </conditionalFormatting>
  <conditionalFormatting sqref="K893">
    <cfRule type="cellIs" priority="2583" operator="equal">
      <formula>"Nuevo"</formula>
    </cfRule>
  </conditionalFormatting>
  <conditionalFormatting sqref="L893">
    <cfRule type="cellIs" priority="2584" operator="equal">
      <formula>"Mercado Envíos gratis"</formula>
    </cfRule>
  </conditionalFormatting>
  <conditionalFormatting sqref="M893">
    <cfRule type="cellIs" priority="2585" operator="equal">
      <formula>"Clásica"</formula>
    </cfRule>
  </conditionalFormatting>
  <conditionalFormatting sqref="O893">
    <cfRule type="cellIs" priority="2586" operator="equal">
      <formula>"Inactiva"</formula>
    </cfRule>
  </conditionalFormatting>
  <conditionalFormatting sqref="J894">
    <cfRule type="cellIs" priority="2587" operator="equal">
      <formula>"$"</formula>
    </cfRule>
  </conditionalFormatting>
  <conditionalFormatting sqref="K894">
    <cfRule type="cellIs" priority="2588" operator="equal">
      <formula>"Nuevo"</formula>
    </cfRule>
  </conditionalFormatting>
  <conditionalFormatting sqref="L894">
    <cfRule type="cellIs" priority="2589" operator="equal">
      <formula>"Mercado Envíos gratis"</formula>
    </cfRule>
  </conditionalFormatting>
  <conditionalFormatting sqref="M894">
    <cfRule type="cellIs" priority="2590" operator="equal">
      <formula>"Clásica"</formula>
    </cfRule>
  </conditionalFormatting>
  <conditionalFormatting sqref="O894">
    <cfRule type="cellIs" priority="2591" operator="equal">
      <formula>"Inactiva"</formula>
    </cfRule>
  </conditionalFormatting>
  <conditionalFormatting sqref="J897">
    <cfRule type="cellIs" priority="2592" operator="equal">
      <formula>"$"</formula>
    </cfRule>
  </conditionalFormatting>
  <conditionalFormatting sqref="K897">
    <cfRule type="cellIs" priority="2593" operator="equal">
      <formula>"Nuevo"</formula>
    </cfRule>
  </conditionalFormatting>
  <conditionalFormatting sqref="L897">
    <cfRule type="cellIs" priority="2594" operator="equal">
      <formula>"Mercado Envíos gratis"</formula>
    </cfRule>
  </conditionalFormatting>
  <conditionalFormatting sqref="M897">
    <cfRule type="cellIs" priority="2595" operator="equal">
      <formula>"Clásica"</formula>
    </cfRule>
  </conditionalFormatting>
  <conditionalFormatting sqref="O897">
    <cfRule type="cellIs" priority="2596" operator="equal">
      <formula>"Inactiva"</formula>
    </cfRule>
  </conditionalFormatting>
  <conditionalFormatting sqref="J898">
    <cfRule type="cellIs" priority="2597" operator="equal">
      <formula>"$"</formula>
    </cfRule>
  </conditionalFormatting>
  <conditionalFormatting sqref="K898">
    <cfRule type="cellIs" priority="2598" operator="equal">
      <formula>"Nuevo"</formula>
    </cfRule>
  </conditionalFormatting>
  <conditionalFormatting sqref="L898">
    <cfRule type="cellIs" priority="2599" operator="equal">
      <formula>"Mercado Envíos gratis"</formula>
    </cfRule>
  </conditionalFormatting>
  <conditionalFormatting sqref="M898">
    <cfRule type="cellIs" priority="2600" operator="equal">
      <formula>"Clásica"</formula>
    </cfRule>
  </conditionalFormatting>
  <conditionalFormatting sqref="O898">
    <cfRule type="cellIs" priority="2601" operator="equal">
      <formula>"Inactiva"</formula>
    </cfRule>
  </conditionalFormatting>
  <conditionalFormatting sqref="J899">
    <cfRule type="cellIs" priority="2602" operator="equal">
      <formula>"$"</formula>
    </cfRule>
  </conditionalFormatting>
  <conditionalFormatting sqref="K899">
    <cfRule type="cellIs" priority="2603" operator="equal">
      <formula>"Nuevo"</formula>
    </cfRule>
  </conditionalFormatting>
  <conditionalFormatting sqref="L899">
    <cfRule type="cellIs" priority="2604" operator="equal">
      <formula>"Mercado Envíos gratis"</formula>
    </cfRule>
  </conditionalFormatting>
  <conditionalFormatting sqref="M899">
    <cfRule type="cellIs" priority="2605" operator="equal">
      <formula>"Clásica"</formula>
    </cfRule>
  </conditionalFormatting>
  <conditionalFormatting sqref="O899">
    <cfRule type="cellIs" priority="2606" operator="equal">
      <formula>"Inactiva"</formula>
    </cfRule>
  </conditionalFormatting>
  <conditionalFormatting sqref="J900">
    <cfRule type="cellIs" priority="2607" operator="equal">
      <formula>"$"</formula>
    </cfRule>
  </conditionalFormatting>
  <conditionalFormatting sqref="K900">
    <cfRule type="cellIs" priority="2608" operator="equal">
      <formula>"Nuevo"</formula>
    </cfRule>
  </conditionalFormatting>
  <conditionalFormatting sqref="L900">
    <cfRule type="cellIs" priority="2609" operator="equal">
      <formula>"Mercado Envíos gratis"</formula>
    </cfRule>
  </conditionalFormatting>
  <conditionalFormatting sqref="M900">
    <cfRule type="cellIs" priority="2610" operator="equal">
      <formula>"Clásica"</formula>
    </cfRule>
  </conditionalFormatting>
  <conditionalFormatting sqref="O900">
    <cfRule type="cellIs" priority="2611" operator="equal">
      <formula>"Inactiva"</formula>
    </cfRule>
  </conditionalFormatting>
  <conditionalFormatting sqref="J901">
    <cfRule type="cellIs" priority="2612" operator="equal">
      <formula>"$"</formula>
    </cfRule>
  </conditionalFormatting>
  <conditionalFormatting sqref="K901">
    <cfRule type="cellIs" priority="2613" operator="equal">
      <formula>"Nuevo"</formula>
    </cfRule>
  </conditionalFormatting>
  <conditionalFormatting sqref="L901">
    <cfRule type="cellIs" priority="2614" operator="equal">
      <formula>"Mercado Envíos a cargo del comprador"</formula>
    </cfRule>
  </conditionalFormatting>
  <conditionalFormatting sqref="M901">
    <cfRule type="cellIs" priority="2615" operator="equal">
      <formula>"Clásica"</formula>
    </cfRule>
  </conditionalFormatting>
  <conditionalFormatting sqref="O901">
    <cfRule type="cellIs" priority="2616" operator="equal">
      <formula>"Inactiva"</formula>
    </cfRule>
  </conditionalFormatting>
  <conditionalFormatting sqref="J902">
    <cfRule type="cellIs" priority="2617" operator="equal">
      <formula>"$"</formula>
    </cfRule>
  </conditionalFormatting>
  <conditionalFormatting sqref="K902">
    <cfRule type="cellIs" priority="2618" operator="equal">
      <formula>"Nuevo"</formula>
    </cfRule>
  </conditionalFormatting>
  <conditionalFormatting sqref="L902">
    <cfRule type="cellIs" priority="2619" operator="equal">
      <formula>"Mercado Envíos gratis"</formula>
    </cfRule>
  </conditionalFormatting>
  <conditionalFormatting sqref="M902">
    <cfRule type="cellIs" priority="2620" operator="equal">
      <formula>"Clásica"</formula>
    </cfRule>
  </conditionalFormatting>
  <conditionalFormatting sqref="O902">
    <cfRule type="cellIs" priority="2621" operator="equal">
      <formula>"Inactiva"</formula>
    </cfRule>
  </conditionalFormatting>
  <conditionalFormatting sqref="J903">
    <cfRule type="cellIs" priority="2622" operator="equal">
      <formula>"$"</formula>
    </cfRule>
  </conditionalFormatting>
  <conditionalFormatting sqref="K903">
    <cfRule type="cellIs" priority="2623" operator="equal">
      <formula>"Nuevo"</formula>
    </cfRule>
  </conditionalFormatting>
  <conditionalFormatting sqref="L903">
    <cfRule type="cellIs" priority="2624" operator="equal">
      <formula>"Mercado Envíos gratis"</formula>
    </cfRule>
  </conditionalFormatting>
  <conditionalFormatting sqref="M903">
    <cfRule type="cellIs" priority="2625" operator="equal">
      <formula>"Premium"</formula>
    </cfRule>
  </conditionalFormatting>
  <conditionalFormatting sqref="O903">
    <cfRule type="cellIs" priority="2626" operator="equal">
      <formula>"Inactiva"</formula>
    </cfRule>
  </conditionalFormatting>
  <conditionalFormatting sqref="J904">
    <cfRule type="cellIs" priority="2627" operator="equal">
      <formula>"$"</formula>
    </cfRule>
  </conditionalFormatting>
  <conditionalFormatting sqref="K904">
    <cfRule type="cellIs" priority="2628" operator="equal">
      <formula>"Nuevo"</formula>
    </cfRule>
  </conditionalFormatting>
  <conditionalFormatting sqref="L904">
    <cfRule type="cellIs" priority="2629" operator="equal">
      <formula>"Mercado Envíos gratis"</formula>
    </cfRule>
  </conditionalFormatting>
  <conditionalFormatting sqref="M904">
    <cfRule type="cellIs" priority="2630" operator="equal">
      <formula>"Clásica"</formula>
    </cfRule>
  </conditionalFormatting>
  <conditionalFormatting sqref="O904">
    <cfRule type="cellIs" priority="2631" operator="equal">
      <formula>"Inactiva"</formula>
    </cfRule>
  </conditionalFormatting>
  <conditionalFormatting sqref="J905">
    <cfRule type="cellIs" priority="2632" operator="equal">
      <formula>"$"</formula>
    </cfRule>
  </conditionalFormatting>
  <conditionalFormatting sqref="K905">
    <cfRule type="cellIs" priority="2633" operator="equal">
      <formula>"Nuevo"</formula>
    </cfRule>
  </conditionalFormatting>
  <conditionalFormatting sqref="L905">
    <cfRule type="cellIs" priority="2634" operator="equal">
      <formula>"Mercado Envíos a cargo del comprador"</formula>
    </cfRule>
  </conditionalFormatting>
  <conditionalFormatting sqref="M905">
    <cfRule type="cellIs" priority="2635" operator="equal">
      <formula>"Clásica"</formula>
    </cfRule>
  </conditionalFormatting>
  <conditionalFormatting sqref="O905">
    <cfRule type="cellIs" priority="2636" operator="equal">
      <formula>"Inactiva"</formula>
    </cfRule>
  </conditionalFormatting>
  <conditionalFormatting sqref="J906">
    <cfRule type="cellIs" priority="2637" operator="equal">
      <formula>"$"</formula>
    </cfRule>
  </conditionalFormatting>
  <conditionalFormatting sqref="K906">
    <cfRule type="cellIs" priority="2638" operator="equal">
      <formula>"Nuevo"</formula>
    </cfRule>
  </conditionalFormatting>
  <conditionalFormatting sqref="L906">
    <cfRule type="cellIs" priority="2639" operator="equal">
      <formula>"Mercado Envíos gratis"</formula>
    </cfRule>
  </conditionalFormatting>
  <conditionalFormatting sqref="M906">
    <cfRule type="cellIs" priority="2640" operator="equal">
      <formula>"Clásica"</formula>
    </cfRule>
  </conditionalFormatting>
  <conditionalFormatting sqref="O906">
    <cfRule type="cellIs" priority="2641" operator="equal">
      <formula>"Inactiva"</formula>
    </cfRule>
  </conditionalFormatting>
  <conditionalFormatting sqref="J907">
    <cfRule type="cellIs" priority="2642" operator="equal">
      <formula>"$"</formula>
    </cfRule>
  </conditionalFormatting>
  <conditionalFormatting sqref="K907">
    <cfRule type="cellIs" priority="2643" operator="equal">
      <formula>"Nuevo"</formula>
    </cfRule>
  </conditionalFormatting>
  <conditionalFormatting sqref="L907">
    <cfRule type="cellIs" priority="2644" operator="equal">
      <formula>"Mercado Envíos gratis"</formula>
    </cfRule>
  </conditionalFormatting>
  <conditionalFormatting sqref="M907">
    <cfRule type="cellIs" priority="2645" operator="equal">
      <formula>"Clásica"</formula>
    </cfRule>
  </conditionalFormatting>
  <conditionalFormatting sqref="O907">
    <cfRule type="cellIs" priority="2646" operator="equal">
      <formula>"Inactiva"</formula>
    </cfRule>
  </conditionalFormatting>
  <conditionalFormatting sqref="J908">
    <cfRule type="cellIs" priority="2647" operator="equal">
      <formula>"$"</formula>
    </cfRule>
  </conditionalFormatting>
  <conditionalFormatting sqref="K908">
    <cfRule type="cellIs" priority="2648" operator="equal">
      <formula>"Nuevo"</formula>
    </cfRule>
  </conditionalFormatting>
  <conditionalFormatting sqref="L908">
    <cfRule type="cellIs" priority="2649" operator="equal">
      <formula>"Mercado Envíos gratis"</formula>
    </cfRule>
  </conditionalFormatting>
  <conditionalFormatting sqref="M908">
    <cfRule type="cellIs" priority="2650" operator="equal">
      <formula>"Clásica"</formula>
    </cfRule>
  </conditionalFormatting>
  <conditionalFormatting sqref="O908">
    <cfRule type="cellIs" priority="2651" operator="equal">
      <formula>"Inactiva"</formula>
    </cfRule>
  </conditionalFormatting>
  <conditionalFormatting sqref="J909">
    <cfRule type="cellIs" priority="2652" operator="equal">
      <formula>"$"</formula>
    </cfRule>
  </conditionalFormatting>
  <conditionalFormatting sqref="K909">
    <cfRule type="cellIs" priority="2653" operator="equal">
      <formula>"Nuevo"</formula>
    </cfRule>
  </conditionalFormatting>
  <conditionalFormatting sqref="L909">
    <cfRule type="cellIs" priority="2654" operator="equal">
      <formula>"Mercado Envíos gratis"</formula>
    </cfRule>
  </conditionalFormatting>
  <conditionalFormatting sqref="M909">
    <cfRule type="cellIs" priority="2655" operator="equal">
      <formula>"Clásica"</formula>
    </cfRule>
  </conditionalFormatting>
  <conditionalFormatting sqref="O909">
    <cfRule type="cellIs" priority="2656" operator="equal">
      <formula>"Inactiva"</formula>
    </cfRule>
  </conditionalFormatting>
  <conditionalFormatting sqref="J910">
    <cfRule type="cellIs" priority="2657" operator="equal">
      <formula>"$"</formula>
    </cfRule>
  </conditionalFormatting>
  <conditionalFormatting sqref="K910">
    <cfRule type="cellIs" priority="2658" operator="equal">
      <formula>"Nuevo"</formula>
    </cfRule>
  </conditionalFormatting>
  <conditionalFormatting sqref="L910">
    <cfRule type="cellIs" priority="2659" operator="equal">
      <formula>"Mercado Envíos a cargo del comprador"</formula>
    </cfRule>
  </conditionalFormatting>
  <conditionalFormatting sqref="M910">
    <cfRule type="cellIs" priority="2660" operator="equal">
      <formula>"Clásica"</formula>
    </cfRule>
  </conditionalFormatting>
  <conditionalFormatting sqref="O910">
    <cfRule type="cellIs" priority="2661" operator="equal">
      <formula>"Inactiva"</formula>
    </cfRule>
  </conditionalFormatting>
  <conditionalFormatting sqref="J911">
    <cfRule type="cellIs" priority="2662" operator="equal">
      <formula>"$"</formula>
    </cfRule>
  </conditionalFormatting>
  <conditionalFormatting sqref="K911">
    <cfRule type="cellIs" priority="2663" operator="equal">
      <formula>"Nuevo"</formula>
    </cfRule>
  </conditionalFormatting>
  <conditionalFormatting sqref="L911">
    <cfRule type="cellIs" priority="2664" operator="equal">
      <formula>"Mercado Envíos gratis"</formula>
    </cfRule>
  </conditionalFormatting>
  <conditionalFormatting sqref="M911">
    <cfRule type="cellIs" priority="2665" operator="equal">
      <formula>"Clásica"</formula>
    </cfRule>
  </conditionalFormatting>
  <conditionalFormatting sqref="O911">
    <cfRule type="cellIs" priority="2666" operator="equal">
      <formula>"Inactiva"</formula>
    </cfRule>
  </conditionalFormatting>
  <conditionalFormatting sqref="J912">
    <cfRule type="cellIs" priority="2667" operator="equal">
      <formula>"$"</formula>
    </cfRule>
  </conditionalFormatting>
  <conditionalFormatting sqref="K912">
    <cfRule type="cellIs" priority="2668" operator="equal">
      <formula>"Nuevo"</formula>
    </cfRule>
  </conditionalFormatting>
  <conditionalFormatting sqref="L912">
    <cfRule type="cellIs" priority="2669" operator="equal">
      <formula>"Mercado Envíos gratis"</formula>
    </cfRule>
  </conditionalFormatting>
  <conditionalFormatting sqref="M912">
    <cfRule type="cellIs" priority="2670" operator="equal">
      <formula>"Clásica"</formula>
    </cfRule>
  </conditionalFormatting>
  <conditionalFormatting sqref="O912">
    <cfRule type="cellIs" priority="2671" operator="equal">
      <formula>"Inactiva"</formula>
    </cfRule>
  </conditionalFormatting>
  <conditionalFormatting sqref="J913">
    <cfRule type="cellIs" priority="2672" operator="equal">
      <formula>"$"</formula>
    </cfRule>
  </conditionalFormatting>
  <conditionalFormatting sqref="K913">
    <cfRule type="cellIs" priority="2673" operator="equal">
      <formula>"Nuevo"</formula>
    </cfRule>
  </conditionalFormatting>
  <conditionalFormatting sqref="L913">
    <cfRule type="cellIs" priority="2674" operator="equal">
      <formula>"Mercado Envíos gratis"</formula>
    </cfRule>
  </conditionalFormatting>
  <conditionalFormatting sqref="M913">
    <cfRule type="cellIs" priority="2675" operator="equal">
      <formula>"Clásica"</formula>
    </cfRule>
  </conditionalFormatting>
  <conditionalFormatting sqref="O913">
    <cfRule type="cellIs" priority="2676" operator="equal">
      <formula>"Inactiva"</formula>
    </cfRule>
  </conditionalFormatting>
  <conditionalFormatting sqref="J914">
    <cfRule type="cellIs" priority="2677" operator="equal">
      <formula>"$"</formula>
    </cfRule>
  </conditionalFormatting>
  <conditionalFormatting sqref="K914">
    <cfRule type="cellIs" priority="2678" operator="equal">
      <formula>"Nuevo"</formula>
    </cfRule>
  </conditionalFormatting>
  <conditionalFormatting sqref="L914">
    <cfRule type="cellIs" priority="2679" operator="equal">
      <formula>"Mercado Envíos gratis"</formula>
    </cfRule>
  </conditionalFormatting>
  <conditionalFormatting sqref="M914">
    <cfRule type="cellIs" priority="2680" operator="equal">
      <formula>"Clásica"</formula>
    </cfRule>
  </conditionalFormatting>
  <conditionalFormatting sqref="O914">
    <cfRule type="cellIs" priority="2681" operator="equal">
      <formula>"Inactiva"</formula>
    </cfRule>
  </conditionalFormatting>
  <conditionalFormatting sqref="J915">
    <cfRule type="cellIs" priority="2682" operator="equal">
      <formula>"$"</formula>
    </cfRule>
  </conditionalFormatting>
  <conditionalFormatting sqref="K915">
    <cfRule type="cellIs" priority="2683" operator="equal">
      <formula>"Nuevo"</formula>
    </cfRule>
  </conditionalFormatting>
  <conditionalFormatting sqref="L915">
    <cfRule type="cellIs" priority="2684" operator="equal">
      <formula>"Mercado Envíos gratis"</formula>
    </cfRule>
  </conditionalFormatting>
  <conditionalFormatting sqref="M915">
    <cfRule type="cellIs" priority="2685" operator="equal">
      <formula>"Clásica"</formula>
    </cfRule>
  </conditionalFormatting>
  <conditionalFormatting sqref="O915">
    <cfRule type="cellIs" priority="2686" operator="equal">
      <formula>"Inactiva"</formula>
    </cfRule>
  </conditionalFormatting>
  <conditionalFormatting sqref="J916">
    <cfRule type="cellIs" priority="2687" operator="equal">
      <formula>"$"</formula>
    </cfRule>
  </conditionalFormatting>
  <conditionalFormatting sqref="K916">
    <cfRule type="cellIs" priority="2688" operator="equal">
      <formula>"Nuevo"</formula>
    </cfRule>
  </conditionalFormatting>
  <conditionalFormatting sqref="L916">
    <cfRule type="cellIs" priority="2689" operator="equal">
      <formula>"Mercado Envíos a cargo del comprador"</formula>
    </cfRule>
  </conditionalFormatting>
  <conditionalFormatting sqref="M916">
    <cfRule type="cellIs" priority="2690" operator="equal">
      <formula>"Clásica"</formula>
    </cfRule>
  </conditionalFormatting>
  <conditionalFormatting sqref="O916">
    <cfRule type="cellIs" priority="2691" operator="equal">
      <formula>"Inactiva"</formula>
    </cfRule>
  </conditionalFormatting>
  <conditionalFormatting sqref="J917">
    <cfRule type="cellIs" priority="2692" operator="equal">
      <formula>"$"</formula>
    </cfRule>
  </conditionalFormatting>
  <conditionalFormatting sqref="K917">
    <cfRule type="cellIs" priority="2693" operator="equal">
      <formula>"Nuevo"</formula>
    </cfRule>
  </conditionalFormatting>
  <conditionalFormatting sqref="L917">
    <cfRule type="cellIs" priority="2694" operator="equal">
      <formula>"Mercado Envíos gratis"</formula>
    </cfRule>
  </conditionalFormatting>
  <conditionalFormatting sqref="M917">
    <cfRule type="cellIs" priority="2695" operator="equal">
      <formula>"Clásica"</formula>
    </cfRule>
  </conditionalFormatting>
  <conditionalFormatting sqref="O917">
    <cfRule type="cellIs" priority="2696" operator="equal">
      <formula>"Inactiva"</formula>
    </cfRule>
  </conditionalFormatting>
  <conditionalFormatting sqref="J918">
    <cfRule type="cellIs" priority="2697" operator="equal">
      <formula>"$"</formula>
    </cfRule>
  </conditionalFormatting>
  <conditionalFormatting sqref="K918">
    <cfRule type="cellIs" priority="2698" operator="equal">
      <formula>"Nuevo"</formula>
    </cfRule>
  </conditionalFormatting>
  <conditionalFormatting sqref="L918">
    <cfRule type="cellIs" priority="2699" operator="equal">
      <formula>"Mercado Envíos a cargo del comprador"</formula>
    </cfRule>
  </conditionalFormatting>
  <conditionalFormatting sqref="M918">
    <cfRule type="cellIs" priority="2700" operator="equal">
      <formula>"Clásica"</formula>
    </cfRule>
  </conditionalFormatting>
  <conditionalFormatting sqref="O918">
    <cfRule type="cellIs" priority="2701" operator="equal">
      <formula>"Inactiva"</formula>
    </cfRule>
  </conditionalFormatting>
  <conditionalFormatting sqref="J919">
    <cfRule type="cellIs" priority="2702" operator="equal">
      <formula>"$"</formula>
    </cfRule>
  </conditionalFormatting>
  <conditionalFormatting sqref="K919">
    <cfRule type="cellIs" priority="2703" operator="equal">
      <formula>"Nuevo"</formula>
    </cfRule>
  </conditionalFormatting>
  <conditionalFormatting sqref="L919">
    <cfRule type="cellIs" priority="2704" operator="equal">
      <formula>"Mercado Envíos gratis"</formula>
    </cfRule>
  </conditionalFormatting>
  <conditionalFormatting sqref="M919">
    <cfRule type="cellIs" priority="2705" operator="equal">
      <formula>"Clásica"</formula>
    </cfRule>
  </conditionalFormatting>
  <conditionalFormatting sqref="O919">
    <cfRule type="cellIs" priority="2706" operator="equal">
      <formula>"Inactiva"</formula>
    </cfRule>
  </conditionalFormatting>
  <conditionalFormatting sqref="J920">
    <cfRule type="cellIs" priority="2707" operator="equal">
      <formula>"$"</formula>
    </cfRule>
  </conditionalFormatting>
  <conditionalFormatting sqref="K920">
    <cfRule type="cellIs" priority="2708" operator="equal">
      <formula>"Nuevo"</formula>
    </cfRule>
  </conditionalFormatting>
  <conditionalFormatting sqref="L920">
    <cfRule type="cellIs" priority="2709" operator="equal">
      <formula>"Mercado Envíos a cargo del comprador"</formula>
    </cfRule>
  </conditionalFormatting>
  <conditionalFormatting sqref="M920">
    <cfRule type="cellIs" priority="2710" operator="equal">
      <formula>"Clásica"</formula>
    </cfRule>
  </conditionalFormatting>
  <conditionalFormatting sqref="O920">
    <cfRule type="cellIs" priority="2711" operator="equal">
      <formula>"Inactiva"</formula>
    </cfRule>
  </conditionalFormatting>
  <conditionalFormatting sqref="J921">
    <cfRule type="cellIs" priority="2712" operator="equal">
      <formula>"$"</formula>
    </cfRule>
  </conditionalFormatting>
  <conditionalFormatting sqref="K921">
    <cfRule type="cellIs" priority="2713" operator="equal">
      <formula>"Nuevo"</formula>
    </cfRule>
  </conditionalFormatting>
  <conditionalFormatting sqref="L921">
    <cfRule type="cellIs" priority="2714" operator="equal">
      <formula>"Mercado Envíos a cargo del comprador"</formula>
    </cfRule>
  </conditionalFormatting>
  <conditionalFormatting sqref="M921">
    <cfRule type="cellIs" priority="2715" operator="equal">
      <formula>"Clásica"</formula>
    </cfRule>
  </conditionalFormatting>
  <conditionalFormatting sqref="O921">
    <cfRule type="cellIs" priority="2716" operator="equal">
      <formula>"Inactiva"</formula>
    </cfRule>
  </conditionalFormatting>
  <conditionalFormatting sqref="J922">
    <cfRule type="cellIs" priority="2717" operator="equal">
      <formula>"$"</formula>
    </cfRule>
  </conditionalFormatting>
  <conditionalFormatting sqref="K922">
    <cfRule type="cellIs" priority="2718" operator="equal">
      <formula>"Nuevo"</formula>
    </cfRule>
  </conditionalFormatting>
  <conditionalFormatting sqref="L922">
    <cfRule type="cellIs" priority="2719" operator="equal">
      <formula>"Mercado Envíos a cargo del comprador"</formula>
    </cfRule>
  </conditionalFormatting>
  <conditionalFormatting sqref="M922">
    <cfRule type="cellIs" priority="2720" operator="equal">
      <formula>"Clásica"</formula>
    </cfRule>
  </conditionalFormatting>
  <conditionalFormatting sqref="O922">
    <cfRule type="cellIs" priority="2721" operator="equal">
      <formula>"Inactiva"</formula>
    </cfRule>
  </conditionalFormatting>
  <conditionalFormatting sqref="J923">
    <cfRule type="cellIs" priority="2722" operator="equal">
      <formula>"$"</formula>
    </cfRule>
  </conditionalFormatting>
  <conditionalFormatting sqref="K923">
    <cfRule type="cellIs" priority="2723" operator="equal">
      <formula>"Nuevo"</formula>
    </cfRule>
  </conditionalFormatting>
  <conditionalFormatting sqref="L923">
    <cfRule type="cellIs" priority="2724" operator="equal">
      <formula>"Mercado Envíos gratis"</formula>
    </cfRule>
  </conditionalFormatting>
  <conditionalFormatting sqref="M923">
    <cfRule type="cellIs" priority="2725" operator="equal">
      <formula>"Clásica"</formula>
    </cfRule>
  </conditionalFormatting>
  <conditionalFormatting sqref="O923">
    <cfRule type="cellIs" priority="2726" operator="equal">
      <formula>"Inactiva"</formula>
    </cfRule>
  </conditionalFormatting>
  <conditionalFormatting sqref="J924">
    <cfRule type="cellIs" priority="2727" operator="equal">
      <formula>"$"</formula>
    </cfRule>
  </conditionalFormatting>
  <conditionalFormatting sqref="K924">
    <cfRule type="cellIs" priority="2728" operator="equal">
      <formula>"Nuevo"</formula>
    </cfRule>
  </conditionalFormatting>
  <conditionalFormatting sqref="L924">
    <cfRule type="cellIs" priority="2729" operator="equal">
      <formula>"Mercado Envíos gratis"</formula>
    </cfRule>
  </conditionalFormatting>
  <conditionalFormatting sqref="M924">
    <cfRule type="cellIs" priority="2730" operator="equal">
      <formula>"Clásica"</formula>
    </cfRule>
  </conditionalFormatting>
  <conditionalFormatting sqref="O924">
    <cfRule type="cellIs" priority="2731" operator="equal">
      <formula>"Inactiva"</formula>
    </cfRule>
  </conditionalFormatting>
  <conditionalFormatting sqref="J925">
    <cfRule type="cellIs" priority="2732" operator="equal">
      <formula>"$"</formula>
    </cfRule>
  </conditionalFormatting>
  <conditionalFormatting sqref="K925">
    <cfRule type="cellIs" priority="2733" operator="equal">
      <formula>"Nuevo"</formula>
    </cfRule>
  </conditionalFormatting>
  <conditionalFormatting sqref="L925">
    <cfRule type="cellIs" priority="2734" operator="equal">
      <formula>"Mercado Envíos gratis"</formula>
    </cfRule>
  </conditionalFormatting>
  <conditionalFormatting sqref="M925">
    <cfRule type="cellIs" priority="2735" operator="equal">
      <formula>"Clásica"</formula>
    </cfRule>
  </conditionalFormatting>
  <conditionalFormatting sqref="O925">
    <cfRule type="cellIs" priority="2736" operator="equal">
      <formula>"Inactiva"</formula>
    </cfRule>
  </conditionalFormatting>
  <conditionalFormatting sqref="J926">
    <cfRule type="cellIs" priority="2737" operator="equal">
      <formula>"$"</formula>
    </cfRule>
  </conditionalFormatting>
  <conditionalFormatting sqref="K926">
    <cfRule type="cellIs" priority="2738" operator="equal">
      <formula>"Nuevo"</formula>
    </cfRule>
  </conditionalFormatting>
  <conditionalFormatting sqref="L926">
    <cfRule type="cellIs" priority="2739" operator="equal">
      <formula>"Mercado Envíos gratis"</formula>
    </cfRule>
  </conditionalFormatting>
  <conditionalFormatting sqref="M926">
    <cfRule type="cellIs" priority="2740" operator="equal">
      <formula>"Clásica"</formula>
    </cfRule>
  </conditionalFormatting>
  <conditionalFormatting sqref="O926">
    <cfRule type="cellIs" priority="2741" operator="equal">
      <formula>"Inactiva"</formula>
    </cfRule>
  </conditionalFormatting>
  <conditionalFormatting sqref="J927">
    <cfRule type="cellIs" priority="2742" operator="equal">
      <formula>"$"</formula>
    </cfRule>
  </conditionalFormatting>
  <conditionalFormatting sqref="K927">
    <cfRule type="cellIs" priority="2743" operator="equal">
      <formula>"Nuevo"</formula>
    </cfRule>
  </conditionalFormatting>
  <conditionalFormatting sqref="L927">
    <cfRule type="cellIs" priority="2744" operator="equal">
      <formula>"Mercado Envíos gratis"</formula>
    </cfRule>
  </conditionalFormatting>
  <conditionalFormatting sqref="M927">
    <cfRule type="cellIs" priority="2745" operator="equal">
      <formula>"Clásica"</formula>
    </cfRule>
  </conditionalFormatting>
  <conditionalFormatting sqref="O927">
    <cfRule type="cellIs" priority="2746" operator="equal">
      <formula>"Inactiva"</formula>
    </cfRule>
  </conditionalFormatting>
  <conditionalFormatting sqref="J928">
    <cfRule type="cellIs" priority="2747" operator="equal">
      <formula>"$"</formula>
    </cfRule>
  </conditionalFormatting>
  <conditionalFormatting sqref="K928">
    <cfRule type="cellIs" priority="2748" operator="equal">
      <formula>"Nuevo"</formula>
    </cfRule>
  </conditionalFormatting>
  <conditionalFormatting sqref="L928">
    <cfRule type="cellIs" priority="2749" operator="equal">
      <formula>"Mercado Envíos a cargo del comprador"</formula>
    </cfRule>
  </conditionalFormatting>
  <conditionalFormatting sqref="M928">
    <cfRule type="cellIs" priority="2750" operator="equal">
      <formula>"Clásica"</formula>
    </cfRule>
  </conditionalFormatting>
  <conditionalFormatting sqref="O928">
    <cfRule type="cellIs" priority="2751" operator="equal">
      <formula>"Inactiva"</formula>
    </cfRule>
  </conditionalFormatting>
  <conditionalFormatting sqref="J929">
    <cfRule type="cellIs" priority="2752" operator="equal">
      <formula>"$"</formula>
    </cfRule>
  </conditionalFormatting>
  <conditionalFormatting sqref="K929">
    <cfRule type="cellIs" priority="2753" operator="equal">
      <formula>"Nuevo"</formula>
    </cfRule>
  </conditionalFormatting>
  <conditionalFormatting sqref="L929">
    <cfRule type="cellIs" priority="2754" operator="equal">
      <formula>"Mercado Envíos gratis"</formula>
    </cfRule>
  </conditionalFormatting>
  <conditionalFormatting sqref="M929">
    <cfRule type="cellIs" priority="2755" operator="equal">
      <formula>"Clásica"</formula>
    </cfRule>
  </conditionalFormatting>
  <conditionalFormatting sqref="O929">
    <cfRule type="cellIs" priority="2756" operator="equal">
      <formula>"Inactiva"</formula>
    </cfRule>
  </conditionalFormatting>
  <conditionalFormatting sqref="J930">
    <cfRule type="cellIs" priority="2757" operator="equal">
      <formula>"$"</formula>
    </cfRule>
  </conditionalFormatting>
  <conditionalFormatting sqref="K930">
    <cfRule type="cellIs" priority="2758" operator="equal">
      <formula>"Nuevo"</formula>
    </cfRule>
  </conditionalFormatting>
  <conditionalFormatting sqref="L930">
    <cfRule type="cellIs" priority="2759" operator="equal">
      <formula>"Mercado Envíos gratis"</formula>
    </cfRule>
  </conditionalFormatting>
  <conditionalFormatting sqref="M930">
    <cfRule type="cellIs" priority="2760" operator="equal">
      <formula>"Clásica"</formula>
    </cfRule>
  </conditionalFormatting>
  <conditionalFormatting sqref="O930">
    <cfRule type="cellIs" priority="2761" operator="equal">
      <formula>"Inactiva"</formula>
    </cfRule>
  </conditionalFormatting>
  <conditionalFormatting sqref="J931">
    <cfRule type="cellIs" priority="2762" operator="equal">
      <formula>"$"</formula>
    </cfRule>
  </conditionalFormatting>
  <conditionalFormatting sqref="K931">
    <cfRule type="cellIs" priority="2763" operator="equal">
      <formula>"Nuevo"</formula>
    </cfRule>
  </conditionalFormatting>
  <conditionalFormatting sqref="L931">
    <cfRule type="cellIs" priority="2764" operator="equal">
      <formula>"Mercado Envíos a cargo del comprador"</formula>
    </cfRule>
  </conditionalFormatting>
  <conditionalFormatting sqref="M931">
    <cfRule type="cellIs" priority="2765" operator="equal">
      <formula>"Clásica"</formula>
    </cfRule>
  </conditionalFormatting>
  <conditionalFormatting sqref="O931">
    <cfRule type="cellIs" priority="2766" operator="equal">
      <formula>"Inactiva"</formula>
    </cfRule>
  </conditionalFormatting>
  <conditionalFormatting sqref="J932">
    <cfRule type="cellIs" priority="2767" operator="equal">
      <formula>"$"</formula>
    </cfRule>
  </conditionalFormatting>
  <conditionalFormatting sqref="K932">
    <cfRule type="cellIs" priority="2768" operator="equal">
      <formula>"Nuevo"</formula>
    </cfRule>
  </conditionalFormatting>
  <conditionalFormatting sqref="L932">
    <cfRule type="cellIs" priority="2769" operator="equal">
      <formula>"Mercado Envíos gratis"</formula>
    </cfRule>
  </conditionalFormatting>
  <conditionalFormatting sqref="M932">
    <cfRule type="cellIs" priority="2770" operator="equal">
      <formula>"Clásica"</formula>
    </cfRule>
  </conditionalFormatting>
  <conditionalFormatting sqref="O932">
    <cfRule type="cellIs" priority="2771" operator="equal">
      <formula>"Inactiva"</formula>
    </cfRule>
  </conditionalFormatting>
  <conditionalFormatting sqref="J933">
    <cfRule type="cellIs" priority="2772" operator="equal">
      <formula>"$"</formula>
    </cfRule>
  </conditionalFormatting>
  <conditionalFormatting sqref="K933">
    <cfRule type="cellIs" priority="2773" operator="equal">
      <formula>"Nuevo"</formula>
    </cfRule>
  </conditionalFormatting>
  <conditionalFormatting sqref="L933">
    <cfRule type="cellIs" priority="2774" operator="equal">
      <formula>"Mercado Envíos gratis"</formula>
    </cfRule>
  </conditionalFormatting>
  <conditionalFormatting sqref="M933">
    <cfRule type="cellIs" priority="2775" operator="equal">
      <formula>"Clásica"</formula>
    </cfRule>
  </conditionalFormatting>
  <conditionalFormatting sqref="O933">
    <cfRule type="cellIs" priority="2776" operator="equal">
      <formula>"Inactiva"</formula>
    </cfRule>
  </conditionalFormatting>
  <conditionalFormatting sqref="J934">
    <cfRule type="cellIs" priority="2777" operator="equal">
      <formula>"$"</formula>
    </cfRule>
  </conditionalFormatting>
  <conditionalFormatting sqref="K934">
    <cfRule type="cellIs" priority="2778" operator="equal">
      <formula>"Nuevo"</formula>
    </cfRule>
  </conditionalFormatting>
  <conditionalFormatting sqref="L934">
    <cfRule type="cellIs" priority="2779" operator="equal">
      <formula>"Mercado Envíos gratis"</formula>
    </cfRule>
  </conditionalFormatting>
  <conditionalFormatting sqref="M934">
    <cfRule type="cellIs" priority="2780" operator="equal">
      <formula>"Clásica"</formula>
    </cfRule>
  </conditionalFormatting>
  <conditionalFormatting sqref="O934">
    <cfRule type="cellIs" priority="2781" operator="equal">
      <formula>"Inactiva"</formula>
    </cfRule>
  </conditionalFormatting>
  <conditionalFormatting sqref="J935">
    <cfRule type="cellIs" priority="2782" operator="equal">
      <formula>"$"</formula>
    </cfRule>
  </conditionalFormatting>
  <conditionalFormatting sqref="K935">
    <cfRule type="cellIs" priority="2783" operator="equal">
      <formula>"Nuevo"</formula>
    </cfRule>
  </conditionalFormatting>
  <conditionalFormatting sqref="L935">
    <cfRule type="cellIs" priority="2784" operator="equal">
      <formula>"Mercado Envíos gratis"</formula>
    </cfRule>
  </conditionalFormatting>
  <conditionalFormatting sqref="M935">
    <cfRule type="cellIs" priority="2785" operator="equal">
      <formula>"Clásica"</formula>
    </cfRule>
  </conditionalFormatting>
  <conditionalFormatting sqref="O935">
    <cfRule type="cellIs" priority="2786" operator="equal">
      <formula>"Inactiva"</formula>
    </cfRule>
  </conditionalFormatting>
  <conditionalFormatting sqref="J936">
    <cfRule type="cellIs" priority="2787" operator="equal">
      <formula>"$"</formula>
    </cfRule>
  </conditionalFormatting>
  <conditionalFormatting sqref="K936">
    <cfRule type="cellIs" priority="2788" operator="equal">
      <formula>"Nuevo"</formula>
    </cfRule>
  </conditionalFormatting>
  <conditionalFormatting sqref="L936">
    <cfRule type="cellIs" priority="2789" operator="equal">
      <formula>"Mercado Envíos gratis"</formula>
    </cfRule>
  </conditionalFormatting>
  <conditionalFormatting sqref="M936">
    <cfRule type="cellIs" priority="2790" operator="equal">
      <formula>"Clásica"</formula>
    </cfRule>
  </conditionalFormatting>
  <conditionalFormatting sqref="O936">
    <cfRule type="cellIs" priority="2791" operator="equal">
      <formula>"Inactiva"</formula>
    </cfRule>
  </conditionalFormatting>
  <conditionalFormatting sqref="J937">
    <cfRule type="cellIs" priority="2792" operator="equal">
      <formula>"$"</formula>
    </cfRule>
  </conditionalFormatting>
  <conditionalFormatting sqref="K937">
    <cfRule type="cellIs" priority="2793" operator="equal">
      <formula>"Nuevo"</formula>
    </cfRule>
  </conditionalFormatting>
  <conditionalFormatting sqref="L937">
    <cfRule type="cellIs" priority="2794" operator="equal">
      <formula>"Mercado Envíos a cargo del comprador"</formula>
    </cfRule>
  </conditionalFormatting>
  <conditionalFormatting sqref="M937">
    <cfRule type="cellIs" priority="2795" operator="equal">
      <formula>"Clásica"</formula>
    </cfRule>
  </conditionalFormatting>
  <conditionalFormatting sqref="O937">
    <cfRule type="cellIs" priority="2796" operator="equal">
      <formula>"Inactiva"</formula>
    </cfRule>
  </conditionalFormatting>
  <conditionalFormatting sqref="J938">
    <cfRule type="cellIs" priority="2797" operator="equal">
      <formula>"$"</formula>
    </cfRule>
  </conditionalFormatting>
  <conditionalFormatting sqref="K938">
    <cfRule type="cellIs" priority="2798" operator="equal">
      <formula>"Nuevo"</formula>
    </cfRule>
  </conditionalFormatting>
  <conditionalFormatting sqref="L938">
    <cfRule type="cellIs" priority="2799" operator="equal">
      <formula>"Mercado Envíos gratis"</formula>
    </cfRule>
  </conditionalFormatting>
  <conditionalFormatting sqref="M938">
    <cfRule type="cellIs" priority="2800" operator="equal">
      <formula>"Clásica"</formula>
    </cfRule>
  </conditionalFormatting>
  <conditionalFormatting sqref="O938">
    <cfRule type="cellIs" priority="2801" operator="equal">
      <formula>"Inactiva"</formula>
    </cfRule>
  </conditionalFormatting>
  <conditionalFormatting sqref="J939">
    <cfRule type="cellIs" priority="2802" operator="equal">
      <formula>"$"</formula>
    </cfRule>
  </conditionalFormatting>
  <conditionalFormatting sqref="K939">
    <cfRule type="cellIs" priority="2803" operator="equal">
      <formula>"Nuevo"</formula>
    </cfRule>
  </conditionalFormatting>
  <conditionalFormatting sqref="L939">
    <cfRule type="cellIs" priority="2804" operator="equal">
      <formula>"Mercado Envíos gratis"</formula>
    </cfRule>
  </conditionalFormatting>
  <conditionalFormatting sqref="M939">
    <cfRule type="cellIs" priority="2805" operator="equal">
      <formula>"Clásica"</formula>
    </cfRule>
  </conditionalFormatting>
  <conditionalFormatting sqref="O939">
    <cfRule type="cellIs" priority="2806" operator="equal">
      <formula>"Inactiva"</formula>
    </cfRule>
  </conditionalFormatting>
  <conditionalFormatting sqref="J940">
    <cfRule type="cellIs" priority="2807" operator="equal">
      <formula>"$"</formula>
    </cfRule>
  </conditionalFormatting>
  <conditionalFormatting sqref="K940">
    <cfRule type="cellIs" priority="2808" operator="equal">
      <formula>"Nuevo"</formula>
    </cfRule>
  </conditionalFormatting>
  <conditionalFormatting sqref="L940">
    <cfRule type="cellIs" priority="2809" operator="equal">
      <formula>"Mercado Envíos gratis"</formula>
    </cfRule>
  </conditionalFormatting>
  <conditionalFormatting sqref="M940">
    <cfRule type="cellIs" priority="2810" operator="equal">
      <formula>"Clásica"</formula>
    </cfRule>
  </conditionalFormatting>
  <conditionalFormatting sqref="O940">
    <cfRule type="cellIs" priority="2811" operator="equal">
      <formula>"Inactiva"</formula>
    </cfRule>
  </conditionalFormatting>
  <conditionalFormatting sqref="J941">
    <cfRule type="cellIs" priority="2812" operator="equal">
      <formula>"$"</formula>
    </cfRule>
  </conditionalFormatting>
  <conditionalFormatting sqref="K941">
    <cfRule type="cellIs" priority="2813" operator="equal">
      <formula>"Nuevo"</formula>
    </cfRule>
  </conditionalFormatting>
  <conditionalFormatting sqref="L941">
    <cfRule type="cellIs" priority="2814" operator="equal">
      <formula>"Mercado Envíos gratis"</formula>
    </cfRule>
  </conditionalFormatting>
  <conditionalFormatting sqref="M941">
    <cfRule type="cellIs" priority="2815" operator="equal">
      <formula>"Clásica"</formula>
    </cfRule>
  </conditionalFormatting>
  <conditionalFormatting sqref="O941">
    <cfRule type="cellIs" priority="2816" operator="equal">
      <formula>"Inactiva"</formula>
    </cfRule>
  </conditionalFormatting>
  <conditionalFormatting sqref="J942">
    <cfRule type="cellIs" priority="2817" operator="equal">
      <formula>"$"</formula>
    </cfRule>
  </conditionalFormatting>
  <conditionalFormatting sqref="K942">
    <cfRule type="cellIs" priority="2818" operator="equal">
      <formula>"Nuevo"</formula>
    </cfRule>
  </conditionalFormatting>
  <conditionalFormatting sqref="L942">
    <cfRule type="cellIs" priority="2819" operator="equal">
      <formula>"Mercado Envíos gratis"</formula>
    </cfRule>
  </conditionalFormatting>
  <conditionalFormatting sqref="M942">
    <cfRule type="cellIs" priority="2820" operator="equal">
      <formula>"Clásica"</formula>
    </cfRule>
  </conditionalFormatting>
  <conditionalFormatting sqref="O942">
    <cfRule type="cellIs" priority="2821" operator="equal">
      <formula>"Inactiva"</formula>
    </cfRule>
  </conditionalFormatting>
  <conditionalFormatting sqref="J943">
    <cfRule type="cellIs" priority="2822" operator="equal">
      <formula>"$"</formula>
    </cfRule>
  </conditionalFormatting>
  <conditionalFormatting sqref="K943">
    <cfRule type="cellIs" priority="2823" operator="equal">
      <formula>"Nuevo"</formula>
    </cfRule>
  </conditionalFormatting>
  <conditionalFormatting sqref="L943">
    <cfRule type="cellIs" priority="2824" operator="equal">
      <formula>"Mercado Envíos gratis"</formula>
    </cfRule>
  </conditionalFormatting>
  <conditionalFormatting sqref="M943">
    <cfRule type="cellIs" priority="2825" operator="equal">
      <formula>"Clásica"</formula>
    </cfRule>
  </conditionalFormatting>
  <conditionalFormatting sqref="O943">
    <cfRule type="cellIs" priority="2826" operator="equal">
      <formula>"Inactiva"</formula>
    </cfRule>
  </conditionalFormatting>
  <conditionalFormatting sqref="J944">
    <cfRule type="cellIs" priority="2827" operator="equal">
      <formula>"$"</formula>
    </cfRule>
  </conditionalFormatting>
  <conditionalFormatting sqref="K944">
    <cfRule type="cellIs" priority="2828" operator="equal">
      <formula>"Nuevo"</formula>
    </cfRule>
  </conditionalFormatting>
  <conditionalFormatting sqref="L944">
    <cfRule type="cellIs" priority="2829" operator="equal">
      <formula>"Mercado Envíos gratis"</formula>
    </cfRule>
  </conditionalFormatting>
  <conditionalFormatting sqref="M944">
    <cfRule type="cellIs" priority="2830" operator="equal">
      <formula>"Clásica"</formula>
    </cfRule>
  </conditionalFormatting>
  <conditionalFormatting sqref="O944">
    <cfRule type="cellIs" priority="2831" operator="equal">
      <formula>"Inactiva"</formula>
    </cfRule>
  </conditionalFormatting>
  <conditionalFormatting sqref="J945">
    <cfRule type="cellIs" priority="2832" operator="equal">
      <formula>"$"</formula>
    </cfRule>
  </conditionalFormatting>
  <conditionalFormatting sqref="K945">
    <cfRule type="cellIs" priority="2833" operator="equal">
      <formula>"Nuevo"</formula>
    </cfRule>
  </conditionalFormatting>
  <conditionalFormatting sqref="L945">
    <cfRule type="cellIs" priority="2834" operator="equal">
      <formula>"Mercado Envíos a cargo del comprador"</formula>
    </cfRule>
  </conditionalFormatting>
  <conditionalFormatting sqref="M945">
    <cfRule type="cellIs" priority="2835" operator="equal">
      <formula>"Clásica"</formula>
    </cfRule>
  </conditionalFormatting>
  <conditionalFormatting sqref="O945">
    <cfRule type="cellIs" priority="2836" operator="equal">
      <formula>"Inactiva"</formula>
    </cfRule>
  </conditionalFormatting>
  <conditionalFormatting sqref="J946">
    <cfRule type="cellIs" priority="2837" operator="equal">
      <formula>"$"</formula>
    </cfRule>
  </conditionalFormatting>
  <conditionalFormatting sqref="L946">
    <cfRule type="cellIs" priority="2838" operator="equal">
      <formula>"Mercado Envíos a cargo del comprador"</formula>
    </cfRule>
  </conditionalFormatting>
  <conditionalFormatting sqref="M946">
    <cfRule type="cellIs" priority="2839" operator="equal">
      <formula>"Clásica"</formula>
    </cfRule>
  </conditionalFormatting>
  <conditionalFormatting sqref="O946">
    <cfRule type="cellIs" priority="2840" operator="equal">
      <formula>"Inactiva"</formula>
    </cfRule>
  </conditionalFormatting>
  <conditionalFormatting sqref="J947">
    <cfRule type="cellIs" priority="2841" operator="equal">
      <formula>"$"</formula>
    </cfRule>
  </conditionalFormatting>
  <conditionalFormatting sqref="K947">
    <cfRule type="cellIs" priority="2842" operator="equal">
      <formula>"Nuevo"</formula>
    </cfRule>
  </conditionalFormatting>
  <conditionalFormatting sqref="L947">
    <cfRule type="cellIs" priority="2843" operator="equal">
      <formula>"Mercado Envíos a cargo del comprador"</formula>
    </cfRule>
  </conditionalFormatting>
  <conditionalFormatting sqref="M947">
    <cfRule type="cellIs" priority="2844" operator="equal">
      <formula>"Clásica"</formula>
    </cfRule>
  </conditionalFormatting>
  <conditionalFormatting sqref="O947">
    <cfRule type="cellIs" priority="2845" operator="equal">
      <formula>"Inactiva"</formula>
    </cfRule>
  </conditionalFormatting>
  <conditionalFormatting sqref="J948">
    <cfRule type="cellIs" priority="2846" operator="equal">
      <formula>"$"</formula>
    </cfRule>
  </conditionalFormatting>
  <conditionalFormatting sqref="K948">
    <cfRule type="cellIs" priority="2847" operator="equal">
      <formula>"Nuevo"</formula>
    </cfRule>
  </conditionalFormatting>
  <conditionalFormatting sqref="L948">
    <cfRule type="cellIs" priority="2848" operator="equal">
      <formula>"Mercado Envíos gratis"</formula>
    </cfRule>
  </conditionalFormatting>
  <conditionalFormatting sqref="M948">
    <cfRule type="cellIs" priority="2849" operator="equal">
      <formula>"Clásica"</formula>
    </cfRule>
  </conditionalFormatting>
  <conditionalFormatting sqref="O948">
    <cfRule type="cellIs" priority="2850" operator="equal">
      <formula>"Inactiva"</formula>
    </cfRule>
  </conditionalFormatting>
  <conditionalFormatting sqref="J949">
    <cfRule type="cellIs" priority="2851" operator="equal">
      <formula>"$"</formula>
    </cfRule>
  </conditionalFormatting>
  <conditionalFormatting sqref="K949">
    <cfRule type="cellIs" priority="2852" operator="equal">
      <formula>"Nuevo"</formula>
    </cfRule>
  </conditionalFormatting>
  <conditionalFormatting sqref="L949">
    <cfRule type="cellIs" priority="2853" operator="equal">
      <formula>"Mercado Envíos gratis"</formula>
    </cfRule>
  </conditionalFormatting>
  <conditionalFormatting sqref="M949">
    <cfRule type="cellIs" priority="2854" operator="equal">
      <formula>"Clásica"</formula>
    </cfRule>
  </conditionalFormatting>
  <conditionalFormatting sqref="O949">
    <cfRule type="cellIs" priority="2855" operator="equal">
      <formula>"Inactiva"</formula>
    </cfRule>
  </conditionalFormatting>
  <conditionalFormatting sqref="J950">
    <cfRule type="cellIs" priority="2856" operator="equal">
      <formula>"$"</formula>
    </cfRule>
  </conditionalFormatting>
  <conditionalFormatting sqref="K950">
    <cfRule type="cellIs" priority="2857" operator="equal">
      <formula>"Nuevo"</formula>
    </cfRule>
  </conditionalFormatting>
  <conditionalFormatting sqref="L950">
    <cfRule type="cellIs" priority="2858" operator="equal">
      <formula>"Mercado Envíos gratis"</formula>
    </cfRule>
  </conditionalFormatting>
  <conditionalFormatting sqref="M950">
    <cfRule type="cellIs" priority="2859" operator="equal">
      <formula>"Clásica"</formula>
    </cfRule>
  </conditionalFormatting>
  <conditionalFormatting sqref="O950">
    <cfRule type="cellIs" priority="2860" operator="equal">
      <formula>"Inactiva"</formula>
    </cfRule>
  </conditionalFormatting>
  <conditionalFormatting sqref="J951">
    <cfRule type="cellIs" priority="2861" operator="equal">
      <formula>"$"</formula>
    </cfRule>
  </conditionalFormatting>
  <conditionalFormatting sqref="K951">
    <cfRule type="cellIs" priority="2862" operator="equal">
      <formula>"Nuevo"</formula>
    </cfRule>
  </conditionalFormatting>
  <conditionalFormatting sqref="L951">
    <cfRule type="cellIs" priority="2863" operator="equal">
      <formula>"Mercado Envíos gratis"</formula>
    </cfRule>
  </conditionalFormatting>
  <conditionalFormatting sqref="M951">
    <cfRule type="cellIs" priority="2864" operator="equal">
      <formula>"Clásica"</formula>
    </cfRule>
  </conditionalFormatting>
  <conditionalFormatting sqref="O951">
    <cfRule type="cellIs" priority="2865" operator="equal">
      <formula>"Inactiva"</formula>
    </cfRule>
  </conditionalFormatting>
  <conditionalFormatting sqref="J952">
    <cfRule type="cellIs" priority="2866" operator="equal">
      <formula>"$"</formula>
    </cfRule>
  </conditionalFormatting>
  <conditionalFormatting sqref="K952">
    <cfRule type="cellIs" priority="2867" operator="equal">
      <formula>"Nuevo"</formula>
    </cfRule>
  </conditionalFormatting>
  <conditionalFormatting sqref="L952">
    <cfRule type="cellIs" priority="2868" operator="equal">
      <formula>"Mercado Envíos a cargo del comprador"</formula>
    </cfRule>
  </conditionalFormatting>
  <conditionalFormatting sqref="M952">
    <cfRule type="cellIs" priority="2869" operator="equal">
      <formula>"Clásica"</formula>
    </cfRule>
  </conditionalFormatting>
  <conditionalFormatting sqref="O952">
    <cfRule type="cellIs" priority="2870" operator="equal">
      <formula>"Inactiva"</formula>
    </cfRule>
  </conditionalFormatting>
  <conditionalFormatting sqref="J953">
    <cfRule type="cellIs" priority="2871" operator="equal">
      <formula>"$"</formula>
    </cfRule>
  </conditionalFormatting>
  <conditionalFormatting sqref="K953">
    <cfRule type="cellIs" priority="2872" operator="equal">
      <formula>"Nuevo"</formula>
    </cfRule>
  </conditionalFormatting>
  <conditionalFormatting sqref="L953">
    <cfRule type="cellIs" priority="2873" operator="equal">
      <formula>"Mercado Envíos gratis"</formula>
    </cfRule>
  </conditionalFormatting>
  <conditionalFormatting sqref="M953">
    <cfRule type="cellIs" priority="2874" operator="equal">
      <formula>"Clásica"</formula>
    </cfRule>
  </conditionalFormatting>
  <conditionalFormatting sqref="O953">
    <cfRule type="cellIs" priority="2875" operator="equal">
      <formula>"Inactiva"</formula>
    </cfRule>
  </conditionalFormatting>
  <conditionalFormatting sqref="J954">
    <cfRule type="cellIs" priority="2876" operator="equal">
      <formula>"$"</formula>
    </cfRule>
  </conditionalFormatting>
  <conditionalFormatting sqref="K954">
    <cfRule type="cellIs" priority="2877" operator="equal">
      <formula>"Nuevo"</formula>
    </cfRule>
  </conditionalFormatting>
  <conditionalFormatting sqref="L954">
    <cfRule type="cellIs" priority="2878" operator="equal">
      <formula>"Mercado Envíos gratis"</formula>
    </cfRule>
  </conditionalFormatting>
  <conditionalFormatting sqref="M954">
    <cfRule type="cellIs" priority="2879" operator="equal">
      <formula>"Clásica"</formula>
    </cfRule>
  </conditionalFormatting>
  <conditionalFormatting sqref="O954">
    <cfRule type="cellIs" priority="2880" operator="equal">
      <formula>"Inactiva"</formula>
    </cfRule>
  </conditionalFormatting>
  <conditionalFormatting sqref="J955">
    <cfRule type="cellIs" priority="2881" operator="equal">
      <formula>"$"</formula>
    </cfRule>
  </conditionalFormatting>
  <conditionalFormatting sqref="K955">
    <cfRule type="cellIs" priority="2882" operator="equal">
      <formula>"Nuevo"</formula>
    </cfRule>
  </conditionalFormatting>
  <conditionalFormatting sqref="L955">
    <cfRule type="cellIs" priority="2883" operator="equal">
      <formula>"Mercado Envíos gratis"</formula>
    </cfRule>
  </conditionalFormatting>
  <conditionalFormatting sqref="M955">
    <cfRule type="cellIs" priority="2884" operator="equal">
      <formula>"Clásica"</formula>
    </cfRule>
  </conditionalFormatting>
  <conditionalFormatting sqref="O955">
    <cfRule type="cellIs" priority="2885" operator="equal">
      <formula>"Inactiva"</formula>
    </cfRule>
  </conditionalFormatting>
  <conditionalFormatting sqref="J956">
    <cfRule type="cellIs" priority="2886" operator="equal">
      <formula>"$"</formula>
    </cfRule>
  </conditionalFormatting>
  <conditionalFormatting sqref="K956">
    <cfRule type="cellIs" priority="2887" operator="equal">
      <formula>"Nuevo"</formula>
    </cfRule>
  </conditionalFormatting>
  <conditionalFormatting sqref="L956">
    <cfRule type="cellIs" priority="2888" operator="equal">
      <formula>"Mercado Envíos gratis"</formula>
    </cfRule>
  </conditionalFormatting>
  <conditionalFormatting sqref="M956">
    <cfRule type="cellIs" priority="2889" operator="equal">
      <formula>"Clásica"</formula>
    </cfRule>
  </conditionalFormatting>
  <conditionalFormatting sqref="O956">
    <cfRule type="cellIs" priority="2890" operator="equal">
      <formula>"Inactiva"</formula>
    </cfRule>
  </conditionalFormatting>
  <conditionalFormatting sqref="J957">
    <cfRule type="cellIs" priority="2891" operator="equal">
      <formula>"$"</formula>
    </cfRule>
  </conditionalFormatting>
  <conditionalFormatting sqref="K957">
    <cfRule type="cellIs" priority="2892" operator="equal">
      <formula>"Nuevo"</formula>
    </cfRule>
  </conditionalFormatting>
  <conditionalFormatting sqref="L957">
    <cfRule type="cellIs" priority="2893" operator="equal">
      <formula>"Mercado Envíos gratis"</formula>
    </cfRule>
  </conditionalFormatting>
  <conditionalFormatting sqref="M957">
    <cfRule type="cellIs" priority="2894" operator="equal">
      <formula>"Clásica"</formula>
    </cfRule>
  </conditionalFormatting>
  <conditionalFormatting sqref="O957">
    <cfRule type="cellIs" priority="2895" operator="equal">
      <formula>"Inactiva"</formula>
    </cfRule>
  </conditionalFormatting>
  <conditionalFormatting sqref="J958">
    <cfRule type="cellIs" priority="2896" operator="equal">
      <formula>"$"</formula>
    </cfRule>
  </conditionalFormatting>
  <conditionalFormatting sqref="K958">
    <cfRule type="cellIs" priority="2897" operator="equal">
      <formula>"Nuevo"</formula>
    </cfRule>
  </conditionalFormatting>
  <conditionalFormatting sqref="L958">
    <cfRule type="cellIs" priority="2898" operator="equal">
      <formula>"Mercado Envíos a cargo del comprador"</formula>
    </cfRule>
  </conditionalFormatting>
  <conditionalFormatting sqref="M958">
    <cfRule type="cellIs" priority="2899" operator="equal">
      <formula>"Clásica"</formula>
    </cfRule>
  </conditionalFormatting>
  <conditionalFormatting sqref="O958">
    <cfRule type="cellIs" priority="2900" operator="equal">
      <formula>"Inactiva"</formula>
    </cfRule>
  </conditionalFormatting>
  <conditionalFormatting sqref="J959">
    <cfRule type="cellIs" priority="2901" operator="equal">
      <formula>"$"</formula>
    </cfRule>
  </conditionalFormatting>
  <conditionalFormatting sqref="K959">
    <cfRule type="cellIs" priority="2902" operator="equal">
      <formula>"Nuevo"</formula>
    </cfRule>
  </conditionalFormatting>
  <conditionalFormatting sqref="L959">
    <cfRule type="cellIs" priority="2903" operator="equal">
      <formula>"Mercado Envíos gratis"</formula>
    </cfRule>
  </conditionalFormatting>
  <conditionalFormatting sqref="M959">
    <cfRule type="cellIs" priority="2904" operator="equal">
      <formula>"Clásica"</formula>
    </cfRule>
  </conditionalFormatting>
  <conditionalFormatting sqref="O959">
    <cfRule type="cellIs" priority="2905" operator="equal">
      <formula>"Inactiva"</formula>
    </cfRule>
  </conditionalFormatting>
  <conditionalFormatting sqref="J960">
    <cfRule type="cellIs" priority="2906" operator="equal">
      <formula>"$"</formula>
    </cfRule>
  </conditionalFormatting>
  <conditionalFormatting sqref="K960">
    <cfRule type="cellIs" priority="2907" operator="equal">
      <formula>"Nuevo"</formula>
    </cfRule>
  </conditionalFormatting>
  <conditionalFormatting sqref="L960">
    <cfRule type="cellIs" priority="2908" operator="equal">
      <formula>"Mercado Envíos gratis"</formula>
    </cfRule>
  </conditionalFormatting>
  <conditionalFormatting sqref="M960">
    <cfRule type="cellIs" priority="2909" operator="equal">
      <formula>"Clásica"</formula>
    </cfRule>
  </conditionalFormatting>
  <conditionalFormatting sqref="O960">
    <cfRule type="cellIs" priority="2910" operator="equal">
      <formula>"Inactiva"</formula>
    </cfRule>
  </conditionalFormatting>
  <conditionalFormatting sqref="J961">
    <cfRule type="cellIs" priority="2911" operator="equal">
      <formula>"$"</formula>
    </cfRule>
  </conditionalFormatting>
  <conditionalFormatting sqref="K961">
    <cfRule type="cellIs" priority="2912" operator="equal">
      <formula>"Nuevo"</formula>
    </cfRule>
  </conditionalFormatting>
  <conditionalFormatting sqref="L961">
    <cfRule type="cellIs" priority="2913" operator="equal">
      <formula>"Mercado Envíos gratis"</formula>
    </cfRule>
  </conditionalFormatting>
  <conditionalFormatting sqref="M961">
    <cfRule type="cellIs" priority="2914" operator="equal">
      <formula>"Clásica"</formula>
    </cfRule>
  </conditionalFormatting>
  <conditionalFormatting sqref="O961">
    <cfRule type="cellIs" priority="2915" operator="equal">
      <formula>"Inactiva"</formula>
    </cfRule>
  </conditionalFormatting>
  <conditionalFormatting sqref="J962">
    <cfRule type="cellIs" priority="2916" operator="equal">
      <formula>"$"</formula>
    </cfRule>
  </conditionalFormatting>
  <conditionalFormatting sqref="K962">
    <cfRule type="cellIs" priority="2917" operator="equal">
      <formula>"Nuevo"</formula>
    </cfRule>
  </conditionalFormatting>
  <conditionalFormatting sqref="L962">
    <cfRule type="cellIs" priority="2918" operator="equal">
      <formula>"Mercado Envíos gratis"</formula>
    </cfRule>
  </conditionalFormatting>
  <conditionalFormatting sqref="M962">
    <cfRule type="cellIs" priority="2919" operator="equal">
      <formula>"Clásica"</formula>
    </cfRule>
  </conditionalFormatting>
  <conditionalFormatting sqref="O962">
    <cfRule type="cellIs" priority="2920" operator="equal">
      <formula>"Inactiva"</formula>
    </cfRule>
  </conditionalFormatting>
  <conditionalFormatting sqref="J963">
    <cfRule type="cellIs" priority="2921" operator="equal">
      <formula>"$"</formula>
    </cfRule>
  </conditionalFormatting>
  <conditionalFormatting sqref="K963">
    <cfRule type="cellIs" priority="2922" operator="equal">
      <formula>"Nuevo"</formula>
    </cfRule>
  </conditionalFormatting>
  <conditionalFormatting sqref="L963">
    <cfRule type="cellIs" priority="2923" operator="equal">
      <formula>"Mercado Envíos gratis"</formula>
    </cfRule>
  </conditionalFormatting>
  <conditionalFormatting sqref="M963">
    <cfRule type="cellIs" priority="2924" operator="equal">
      <formula>"Clásica"</formula>
    </cfRule>
  </conditionalFormatting>
  <conditionalFormatting sqref="O963">
    <cfRule type="cellIs" priority="2925" operator="equal">
      <formula>"Inactiva"</formula>
    </cfRule>
  </conditionalFormatting>
  <conditionalFormatting sqref="J964">
    <cfRule type="cellIs" priority="2926" operator="equal">
      <formula>"$"</formula>
    </cfRule>
  </conditionalFormatting>
  <conditionalFormatting sqref="K964">
    <cfRule type="cellIs" priority="2927" operator="equal">
      <formula>"Nuevo"</formula>
    </cfRule>
  </conditionalFormatting>
  <conditionalFormatting sqref="L964">
    <cfRule type="cellIs" priority="2928" operator="equal">
      <formula>"Mercado Envíos gratis"</formula>
    </cfRule>
  </conditionalFormatting>
  <conditionalFormatting sqref="M964">
    <cfRule type="cellIs" priority="2929" operator="equal">
      <formula>"Clásica"</formula>
    </cfRule>
  </conditionalFormatting>
  <conditionalFormatting sqref="O964">
    <cfRule type="cellIs" priority="2930" operator="equal">
      <formula>"Inactiva"</formula>
    </cfRule>
  </conditionalFormatting>
  <conditionalFormatting sqref="J965">
    <cfRule type="cellIs" priority="2931" operator="equal">
      <formula>"$"</formula>
    </cfRule>
  </conditionalFormatting>
  <conditionalFormatting sqref="K965">
    <cfRule type="cellIs" priority="2932" operator="equal">
      <formula>"Nuevo"</formula>
    </cfRule>
  </conditionalFormatting>
  <conditionalFormatting sqref="L965">
    <cfRule type="cellIs" priority="2933" operator="equal">
      <formula>"Mercado Envíos gratis"</formula>
    </cfRule>
  </conditionalFormatting>
  <conditionalFormatting sqref="M965">
    <cfRule type="cellIs" priority="2934" operator="equal">
      <formula>"Clásica"</formula>
    </cfRule>
  </conditionalFormatting>
  <conditionalFormatting sqref="O965">
    <cfRule type="cellIs" priority="2935" operator="equal">
      <formula>"Inactiva"</formula>
    </cfRule>
  </conditionalFormatting>
  <conditionalFormatting sqref="J966">
    <cfRule type="cellIs" priority="2936" operator="equal">
      <formula>"$"</formula>
    </cfRule>
  </conditionalFormatting>
  <conditionalFormatting sqref="K966">
    <cfRule type="cellIs" priority="2937" operator="equal">
      <formula>"Nuevo"</formula>
    </cfRule>
  </conditionalFormatting>
  <conditionalFormatting sqref="L966">
    <cfRule type="cellIs" priority="2938" operator="equal">
      <formula>"Mercado Envíos gratis"</formula>
    </cfRule>
  </conditionalFormatting>
  <conditionalFormatting sqref="M966">
    <cfRule type="cellIs" priority="2939" operator="equal">
      <formula>"Clásica"</formula>
    </cfRule>
  </conditionalFormatting>
  <conditionalFormatting sqref="O966">
    <cfRule type="cellIs" priority="2940" operator="equal">
      <formula>"Inactiva"</formula>
    </cfRule>
  </conditionalFormatting>
  <conditionalFormatting sqref="J967">
    <cfRule type="cellIs" priority="2941" operator="equal">
      <formula>"$"</formula>
    </cfRule>
  </conditionalFormatting>
  <conditionalFormatting sqref="K967">
    <cfRule type="cellIs" priority="2942" operator="equal">
      <formula>"Nuevo"</formula>
    </cfRule>
  </conditionalFormatting>
  <conditionalFormatting sqref="L967">
    <cfRule type="cellIs" priority="2943" operator="equal">
      <formula>"Mercado Envíos a cargo del comprador"</formula>
    </cfRule>
  </conditionalFormatting>
  <conditionalFormatting sqref="M967">
    <cfRule type="cellIs" priority="2944" operator="equal">
      <formula>"Clásica"</formula>
    </cfRule>
  </conditionalFormatting>
  <conditionalFormatting sqref="O967">
    <cfRule type="cellIs" priority="2945" operator="equal">
      <formula>"Inactiva"</formula>
    </cfRule>
  </conditionalFormatting>
  <conditionalFormatting sqref="J968">
    <cfRule type="cellIs" priority="2946" operator="equal">
      <formula>"$"</formula>
    </cfRule>
  </conditionalFormatting>
  <conditionalFormatting sqref="K968">
    <cfRule type="cellIs" priority="2947" operator="equal">
      <formula>"Nuevo"</formula>
    </cfRule>
  </conditionalFormatting>
  <conditionalFormatting sqref="L968">
    <cfRule type="cellIs" priority="2948" operator="equal">
      <formula>"Mercado Envíos gratis"</formula>
    </cfRule>
  </conditionalFormatting>
  <conditionalFormatting sqref="M968">
    <cfRule type="cellIs" priority="2949" operator="equal">
      <formula>"Clásica"</formula>
    </cfRule>
  </conditionalFormatting>
  <conditionalFormatting sqref="O968">
    <cfRule type="cellIs" priority="2950" operator="equal">
      <formula>"Inactiva"</formula>
    </cfRule>
  </conditionalFormatting>
  <conditionalFormatting sqref="J969">
    <cfRule type="cellIs" priority="2951" operator="equal">
      <formula>"$"</formula>
    </cfRule>
  </conditionalFormatting>
  <conditionalFormatting sqref="K969">
    <cfRule type="cellIs" priority="2952" operator="equal">
      <formula>"Nuevo"</formula>
    </cfRule>
  </conditionalFormatting>
  <conditionalFormatting sqref="L969">
    <cfRule type="cellIs" priority="2953" operator="equal">
      <formula>"Mercado Envíos gratis"</formula>
    </cfRule>
  </conditionalFormatting>
  <conditionalFormatting sqref="M969">
    <cfRule type="cellIs" priority="2954" operator="equal">
      <formula>"Clásica"</formula>
    </cfRule>
  </conditionalFormatting>
  <conditionalFormatting sqref="O969">
    <cfRule type="cellIs" priority="2955" operator="equal">
      <formula>"Inactiva"</formula>
    </cfRule>
  </conditionalFormatting>
  <conditionalFormatting sqref="J970">
    <cfRule type="cellIs" priority="2956" operator="equal">
      <formula>"$"</formula>
    </cfRule>
  </conditionalFormatting>
  <conditionalFormatting sqref="K970">
    <cfRule type="cellIs" priority="2957" operator="equal">
      <formula>"Nuevo"</formula>
    </cfRule>
  </conditionalFormatting>
  <conditionalFormatting sqref="L970">
    <cfRule type="cellIs" priority="2958" operator="equal">
      <formula>"Mercado Envíos gratis"</formula>
    </cfRule>
  </conditionalFormatting>
  <conditionalFormatting sqref="M970">
    <cfRule type="cellIs" priority="2959" operator="equal">
      <formula>"Clásica"</formula>
    </cfRule>
  </conditionalFormatting>
  <conditionalFormatting sqref="O970">
    <cfRule type="cellIs" priority="2960" operator="equal">
      <formula>"Inactiva"</formula>
    </cfRule>
  </conditionalFormatting>
  <conditionalFormatting sqref="J971">
    <cfRule type="cellIs" priority="2961" operator="equal">
      <formula>"$"</formula>
    </cfRule>
  </conditionalFormatting>
  <conditionalFormatting sqref="K971">
    <cfRule type="cellIs" priority="2962" operator="equal">
      <formula>"Nuevo"</formula>
    </cfRule>
  </conditionalFormatting>
  <conditionalFormatting sqref="L971">
    <cfRule type="cellIs" priority="2963" operator="equal">
      <formula>"Mercado Envíos gratis"</formula>
    </cfRule>
  </conditionalFormatting>
  <conditionalFormatting sqref="M971">
    <cfRule type="cellIs" priority="2964" operator="equal">
      <formula>"Clásica"</formula>
    </cfRule>
  </conditionalFormatting>
  <conditionalFormatting sqref="O971">
    <cfRule type="cellIs" priority="2965" operator="equal">
      <formula>"Inactiva"</formula>
    </cfRule>
  </conditionalFormatting>
  <conditionalFormatting sqref="J972">
    <cfRule type="cellIs" priority="2966" operator="equal">
      <formula>"$"</formula>
    </cfRule>
  </conditionalFormatting>
  <conditionalFormatting sqref="K972">
    <cfRule type="cellIs" priority="2967" operator="equal">
      <formula>"Nuevo"</formula>
    </cfRule>
  </conditionalFormatting>
  <conditionalFormatting sqref="L972">
    <cfRule type="cellIs" priority="2968" operator="equal">
      <formula>"Mercado Envíos gratis"</formula>
    </cfRule>
  </conditionalFormatting>
  <conditionalFormatting sqref="M972">
    <cfRule type="cellIs" priority="2969" operator="equal">
      <formula>"Clásica"</formula>
    </cfRule>
  </conditionalFormatting>
  <conditionalFormatting sqref="O972">
    <cfRule type="cellIs" priority="2970" operator="equal">
      <formula>"Inactiva"</formula>
    </cfRule>
  </conditionalFormatting>
  <dataValidations count="2970">
    <dataValidation type="list" allowBlank="1" showInputMessage="1" showErrorMessage="1" sqref="J6">
      <formula1>"$,US$,UF"</formula1>
    </dataValidation>
    <dataValidation type="list" allowBlank="1" showInputMessage="1" showErrorMessage="1" sqref="K6">
      <formula1>"Usado,Nuevo"</formula1>
    </dataValidation>
    <dataValidation type="list" allowBlank="1" showInputMessage="1" showErrorMessage="1" sqref="L6">
      <formula1>"Mercado Envíos a cargo del comprador,Mercado Envíos gratis"</formula1>
    </dataValidation>
    <dataValidation type="list" allowBlank="1" showInputMessage="1" showErrorMessage="1" sqref="M6">
      <formula1>"Clásica,Premium"</formula1>
    </dataValidation>
    <dataValidation type="list" allowBlank="1" showInputMessage="1" showErrorMessage="1" sqref="O6">
      <formula1>"Activa,Inactiva"</formula1>
    </dataValidation>
    <dataValidation type="list" allowBlank="1" showInputMessage="1" showErrorMessage="1" sqref="J7">
      <formula1>"$,US$,UF"</formula1>
    </dataValidation>
    <dataValidation type="list" allowBlank="1" showInputMessage="1" showErrorMessage="1" sqref="K7">
      <formula1>"Nuevo"</formula1>
    </dataValidation>
    <dataValidation type="list" allowBlank="1" showInputMessage="1" showErrorMessage="1" sqref="L7">
      <formula1>"Mercado Envíos a cargo del comprador,Mercado Envíos por mi cuenta"</formula1>
    </dataValidation>
    <dataValidation type="list" allowBlank="1" showInputMessage="1" showErrorMessage="1" sqref="M7">
      <formula1>"Clásica,Premium"</formula1>
    </dataValidation>
    <dataValidation type="list" allowBlank="1" showInputMessage="1" showErrorMessage="1" sqref="O7">
      <formula1>"Activa,Inactiva"</formula1>
    </dataValidation>
    <dataValidation type="list" allowBlank="1" showInputMessage="1" showErrorMessage="1" sqref="J10">
      <formula1>"$,US$,UF"</formula1>
    </dataValidation>
    <dataValidation type="list" allowBlank="1" showInputMessage="1" showErrorMessage="1" sqref="K10">
      <formula1>"Usado,Nuevo"</formula1>
    </dataValidation>
    <dataValidation type="list" allowBlank="1" showInputMessage="1" showErrorMessage="1" sqref="L10">
      <formula1>"Mercado Envíos a cargo del comprador,Mercado Envíos gratis"</formula1>
    </dataValidation>
    <dataValidation type="list" allowBlank="1" showInputMessage="1" showErrorMessage="1" sqref="M10">
      <formula1>"Clásica,Premium"</formula1>
    </dataValidation>
    <dataValidation type="list" allowBlank="1" showInputMessage="1" showErrorMessage="1" sqref="O10">
      <formula1>"Activa,Inactiva"</formula1>
    </dataValidation>
    <dataValidation type="list" allowBlank="1" showInputMessage="1" showErrorMessage="1" sqref="J11">
      <formula1>"$,US$,UF"</formula1>
    </dataValidation>
    <dataValidation type="list" allowBlank="1" showInputMessage="1" showErrorMessage="1" sqref="K11">
      <formula1>"Usado,Nuevo"</formula1>
    </dataValidation>
    <dataValidation type="list" allowBlank="1" showInputMessage="1" showErrorMessage="1" sqref="L11">
      <formula1>"Mercado Envíos a cargo del comprador,Mercado Envíos gratis"</formula1>
    </dataValidation>
    <dataValidation type="list" allowBlank="1" showInputMessage="1" showErrorMessage="1" sqref="M11">
      <formula1>"Clásica,Premium"</formula1>
    </dataValidation>
    <dataValidation type="list" allowBlank="1" showInputMessage="1" showErrorMessage="1" sqref="O11">
      <formula1>"Activa,Inactiva"</formula1>
    </dataValidation>
    <dataValidation type="list" allowBlank="1" showInputMessage="1" showErrorMessage="1" sqref="J16">
      <formula1>"$,US$,UF"</formula1>
    </dataValidation>
    <dataValidation type="list" allowBlank="1" showInputMessage="1" showErrorMessage="1" sqref="K16">
      <formula1>"Usado,Nuevo"</formula1>
    </dataValidation>
    <dataValidation type="list" allowBlank="1" showInputMessage="1" showErrorMessage="1" sqref="L16">
      <formula1>"Mercado Envíos a cargo del comprador,Mercado Envíos gratis"</formula1>
    </dataValidation>
    <dataValidation type="list" allowBlank="1" showInputMessage="1" showErrorMessage="1" sqref="M16">
      <formula1>"Clásica,Premium"</formula1>
    </dataValidation>
    <dataValidation type="list" allowBlank="1" showInputMessage="1" showErrorMessage="1" sqref="O16">
      <formula1>"Activa,Inactiva"</formula1>
    </dataValidation>
    <dataValidation type="list" allowBlank="1" showInputMessage="1" showErrorMessage="1" sqref="J23">
      <formula1>"$,US$,UF"</formula1>
    </dataValidation>
    <dataValidation type="list" allowBlank="1" showInputMessage="1" showErrorMessage="1" sqref="K23">
      <formula1>"Usado,Nuevo"</formula1>
    </dataValidation>
    <dataValidation type="list" allowBlank="1" showInputMessage="1" showErrorMessage="1" sqref="L23">
      <formula1>"Mercado Envíos a cargo del comprador,Mercado Envíos gratis"</formula1>
    </dataValidation>
    <dataValidation type="list" allowBlank="1" showInputMessage="1" showErrorMessage="1" sqref="M23">
      <formula1>"Clásica,Premium"</formula1>
    </dataValidation>
    <dataValidation type="list" allowBlank="1" showInputMessage="1" showErrorMessage="1" sqref="O23">
      <formula1>"Activa,Inactiva"</formula1>
    </dataValidation>
    <dataValidation type="list" allowBlank="1" showInputMessage="1" showErrorMessage="1" sqref="J29">
      <formula1>"$,US$,UF"</formula1>
    </dataValidation>
    <dataValidation type="list" allowBlank="1" showInputMessage="1" showErrorMessage="1" sqref="K29">
      <formula1>"Usado,Nuevo"</formula1>
    </dataValidation>
    <dataValidation type="list" allowBlank="1" showInputMessage="1" showErrorMessage="1" sqref="L29">
      <formula1>"Mercado Envíos a cargo del comprador,Mercado Envíos gratis"</formula1>
    </dataValidation>
    <dataValidation type="list" allowBlank="1" showInputMessage="1" showErrorMessage="1" sqref="M29">
      <formula1>"Clásica,Premium"</formula1>
    </dataValidation>
    <dataValidation type="list" allowBlank="1" showInputMessage="1" showErrorMessage="1" sqref="O29">
      <formula1>"Activa,Inactiva"</formula1>
    </dataValidation>
    <dataValidation type="list" allowBlank="1" showInputMessage="1" showErrorMessage="1" sqref="J32">
      <formula1>"$,US$,UF"</formula1>
    </dataValidation>
    <dataValidation type="list" allowBlank="1" showInputMessage="1" showErrorMessage="1" sqref="K32">
      <formula1>"Usado,Nuevo"</formula1>
    </dataValidation>
    <dataValidation type="list" allowBlank="1" showInputMessage="1" showErrorMessage="1" sqref="L32">
      <formula1>"Mercado Envíos a cargo del comprador,Mercado Envíos gratis"</formula1>
    </dataValidation>
    <dataValidation type="list" allowBlank="1" showInputMessage="1" showErrorMessage="1" sqref="M32">
      <formula1>"Clásica,Premium"</formula1>
    </dataValidation>
    <dataValidation type="list" allowBlank="1" showInputMessage="1" showErrorMessage="1" sqref="O32">
      <formula1>"Activa,Inactiva"</formula1>
    </dataValidation>
    <dataValidation type="list" allowBlank="1" showInputMessage="1" showErrorMessage="1" sqref="J38">
      <formula1>"$,US$,UF"</formula1>
    </dataValidation>
    <dataValidation type="list" allowBlank="1" showInputMessage="1" showErrorMessage="1" sqref="K38">
      <formula1>"Usado,Nuevo"</formula1>
    </dataValidation>
    <dataValidation type="list" allowBlank="1" showInputMessage="1" showErrorMessage="1" sqref="L38">
      <formula1>"Mercado Envíos a cargo del comprador,Mercado Envíos gratis"</formula1>
    </dataValidation>
    <dataValidation type="list" allowBlank="1" showInputMessage="1" showErrorMessage="1" sqref="M38">
      <formula1>"Clásica,Premium"</formula1>
    </dataValidation>
    <dataValidation type="list" allowBlank="1" showInputMessage="1" showErrorMessage="1" sqref="O38">
      <formula1>"Activa,Inactiva"</formula1>
    </dataValidation>
    <dataValidation type="list" allowBlank="1" showInputMessage="1" showErrorMessage="1" sqref="J39">
      <formula1>"$,US$,UF"</formula1>
    </dataValidation>
    <dataValidation type="list" allowBlank="1" showInputMessage="1" showErrorMessage="1" sqref="K39">
      <formula1>"Usado,Nuevo"</formula1>
    </dataValidation>
    <dataValidation type="list" allowBlank="1" showInputMessage="1" showErrorMessage="1" sqref="L39">
      <formula1>"Mercado Envíos a cargo del comprador,Mercado Envíos gratis"</formula1>
    </dataValidation>
    <dataValidation type="list" allowBlank="1" showInputMessage="1" showErrorMessage="1" sqref="M39">
      <formula1>"Clásica,Premium"</formula1>
    </dataValidation>
    <dataValidation type="list" allowBlank="1" showInputMessage="1" showErrorMessage="1" sqref="O39">
      <formula1>"Activa,Inactiva"</formula1>
    </dataValidation>
    <dataValidation type="list" allowBlank="1" showInputMessage="1" showErrorMessage="1" sqref="J44">
      <formula1>"$,US$,UF"</formula1>
    </dataValidation>
    <dataValidation type="list" allowBlank="1" showInputMessage="1" showErrorMessage="1" sqref="K44">
      <formula1>"Usado,Nuevo"</formula1>
    </dataValidation>
    <dataValidation type="list" allowBlank="1" showInputMessage="1" showErrorMessage="1" sqref="L44">
      <formula1>"Mercado Envíos a cargo del comprador,Mercado Envíos gratis"</formula1>
    </dataValidation>
    <dataValidation type="list" allowBlank="1" showInputMessage="1" showErrorMessage="1" sqref="M44">
      <formula1>"Clásica,Premium"</formula1>
    </dataValidation>
    <dataValidation type="list" allowBlank="1" showInputMessage="1" showErrorMessage="1" sqref="O44">
      <formula1>"Activa,Inactiva"</formula1>
    </dataValidation>
    <dataValidation type="list" allowBlank="1" showInputMessage="1" showErrorMessage="1" sqref="J50">
      <formula1>"$,US$,UF"</formula1>
    </dataValidation>
    <dataValidation type="list" allowBlank="1" showInputMessage="1" showErrorMessage="1" sqref="K50">
      <formula1>"Usado,Nuevo"</formula1>
    </dataValidation>
    <dataValidation type="list" allowBlank="1" showInputMessage="1" showErrorMessage="1" sqref="L50">
      <formula1>"Mercado Envíos a cargo del comprador,Mercado Envíos gratis"</formula1>
    </dataValidation>
    <dataValidation type="list" allowBlank="1" showInputMessage="1" showErrorMessage="1" sqref="M50">
      <formula1>"Clásica,Premium"</formula1>
    </dataValidation>
    <dataValidation type="list" allowBlank="1" showInputMessage="1" showErrorMessage="1" sqref="O50">
      <formula1>"Activa,Inactiva"</formula1>
    </dataValidation>
    <dataValidation type="list" allowBlank="1" showInputMessage="1" showErrorMessage="1" sqref="J54">
      <formula1>"$,US$,UF"</formula1>
    </dataValidation>
    <dataValidation type="list" allowBlank="1" showInputMessage="1" showErrorMessage="1" sqref="K54">
      <formula1>"Usado,Nuevo"</formula1>
    </dataValidation>
    <dataValidation type="list" allowBlank="1" showInputMessage="1" showErrorMessage="1" sqref="L54">
      <formula1>"Mercado Envíos a cargo del comprador,Mercado Envíos gratis"</formula1>
    </dataValidation>
    <dataValidation type="list" allowBlank="1" showInputMessage="1" showErrorMessage="1" sqref="M54">
      <formula1>"Clásica,Premium"</formula1>
    </dataValidation>
    <dataValidation type="list" allowBlank="1" showInputMessage="1" showErrorMessage="1" sqref="O54">
      <formula1>"Activa,Inactiva"</formula1>
    </dataValidation>
    <dataValidation type="list" allowBlank="1" showInputMessage="1" showErrorMessage="1" sqref="J55">
      <formula1>"$,US$,UF"</formula1>
    </dataValidation>
    <dataValidation type="list" allowBlank="1" showInputMessage="1" showErrorMessage="1" sqref="K55">
      <formula1>"Usado,Nuevo"</formula1>
    </dataValidation>
    <dataValidation type="list" allowBlank="1" showInputMessage="1" showErrorMessage="1" sqref="L55">
      <formula1>"Mercado Envíos a cargo del comprador,Mercado Envíos gratis"</formula1>
    </dataValidation>
    <dataValidation type="list" allowBlank="1" showInputMessage="1" showErrorMessage="1" sqref="M55">
      <formula1>"Clásica,Premium"</formula1>
    </dataValidation>
    <dataValidation type="list" allowBlank="1" showInputMessage="1" showErrorMessage="1" sqref="O55">
      <formula1>"Activa,Inactiva"</formula1>
    </dataValidation>
    <dataValidation type="list" allowBlank="1" showInputMessage="1" showErrorMessage="1" sqref="J59">
      <formula1>"$,US$,UF"</formula1>
    </dataValidation>
    <dataValidation type="list" allowBlank="1" showInputMessage="1" showErrorMessage="1" sqref="K59">
      <formula1>"Usado,Nuevo"</formula1>
    </dataValidation>
    <dataValidation type="list" allowBlank="1" showInputMessage="1" showErrorMessage="1" sqref="M59">
      <formula1>"Clásica,Premium"</formula1>
    </dataValidation>
    <dataValidation type="list" allowBlank="1" showInputMessage="1" showErrorMessage="1" sqref="O59">
      <formula1>"Activa,Inactiva"</formula1>
    </dataValidation>
    <dataValidation type="list" allowBlank="1" showInputMessage="1" showErrorMessage="1" sqref="J63">
      <formula1>"$,US$,UF"</formula1>
    </dataValidation>
    <dataValidation type="list" allowBlank="1" showInputMessage="1" showErrorMessage="1" sqref="K63">
      <formula1>"Usado,Nuevo"</formula1>
    </dataValidation>
    <dataValidation type="list" allowBlank="1" showInputMessage="1" showErrorMessage="1" sqref="L63">
      <formula1>"Mercado Envíos a cargo del comprador,Mercado Envíos por mi cuenta"</formula1>
    </dataValidation>
    <dataValidation type="list" allowBlank="1" showInputMessage="1" showErrorMessage="1" sqref="M63">
      <formula1>"Clásica,Premium"</formula1>
    </dataValidation>
    <dataValidation type="list" allowBlank="1" showInputMessage="1" showErrorMessage="1" sqref="O63">
      <formula1>"Activa,Inactiva"</formula1>
    </dataValidation>
    <dataValidation type="list" allowBlank="1" showInputMessage="1" showErrorMessage="1" sqref="J68">
      <formula1>"$,US$,UF"</formula1>
    </dataValidation>
    <dataValidation type="list" allowBlank="1" showInputMessage="1" showErrorMessage="1" sqref="K68">
      <formula1>"Usado,Nuevo"</formula1>
    </dataValidation>
    <dataValidation type="list" allowBlank="1" showInputMessage="1" showErrorMessage="1" sqref="L68">
      <formula1>"Mercado Envíos a cargo del comprador,Mercado Envíos gratis"</formula1>
    </dataValidation>
    <dataValidation type="list" allowBlank="1" showInputMessage="1" showErrorMessage="1" sqref="M68">
      <formula1>"Clásica,Premium"</formula1>
    </dataValidation>
    <dataValidation type="list" allowBlank="1" showInputMessage="1" showErrorMessage="1" sqref="O68">
      <formula1>"Activa,Inactiva"</formula1>
    </dataValidation>
    <dataValidation type="list" allowBlank="1" showInputMessage="1" showErrorMessage="1" sqref="J72">
      <formula1>"$,US$,UF"</formula1>
    </dataValidation>
    <dataValidation type="list" allowBlank="1" showInputMessage="1" showErrorMessage="1" sqref="K72">
      <formula1>"Usado,Nuevo"</formula1>
    </dataValidation>
    <dataValidation type="list" allowBlank="1" showInputMessage="1" showErrorMessage="1" sqref="L72">
      <formula1>"Mercado Envíos a cargo del comprador,Mercado Envíos gratis"</formula1>
    </dataValidation>
    <dataValidation type="list" allowBlank="1" showInputMessage="1" showErrorMessage="1" sqref="M72">
      <formula1>"Clásica,Premium"</formula1>
    </dataValidation>
    <dataValidation type="list" allowBlank="1" showInputMessage="1" showErrorMessage="1" sqref="O72">
      <formula1>"Activa,Inactiva"</formula1>
    </dataValidation>
    <dataValidation type="list" allowBlank="1" showInputMessage="1" showErrorMessage="1" sqref="J77">
      <formula1>"$,US$,UF"</formula1>
    </dataValidation>
    <dataValidation type="list" allowBlank="1" showInputMessage="1" showErrorMessage="1" sqref="K77">
      <formula1>"Usado,Nuevo"</formula1>
    </dataValidation>
    <dataValidation type="list" allowBlank="1" showInputMessage="1" showErrorMessage="1" sqref="L77">
      <formula1>"Mercado Envíos a cargo del comprador,Mercado Envíos gratis"</formula1>
    </dataValidation>
    <dataValidation type="list" allowBlank="1" showInputMessage="1" showErrorMessage="1" sqref="M77">
      <formula1>"Clásica,Premium"</formula1>
    </dataValidation>
    <dataValidation type="list" allowBlank="1" showInputMessage="1" showErrorMessage="1" sqref="O77">
      <formula1>"Activa,Inactiva"</formula1>
    </dataValidation>
    <dataValidation type="list" allowBlank="1" showInputMessage="1" showErrorMessage="1" sqref="J81">
      <formula1>"$,US$,UF"</formula1>
    </dataValidation>
    <dataValidation type="list" allowBlank="1" showInputMessage="1" showErrorMessage="1" sqref="K81">
      <formula1>"Usado,Nuevo"</formula1>
    </dataValidation>
    <dataValidation type="list" allowBlank="1" showInputMessage="1" showErrorMessage="1" sqref="L81">
      <formula1>"Mercado Envíos a cargo del comprador,Mercado Envíos gratis"</formula1>
    </dataValidation>
    <dataValidation type="list" allowBlank="1" showInputMessage="1" showErrorMessage="1" sqref="M81">
      <formula1>"Clásica,Premium"</formula1>
    </dataValidation>
    <dataValidation type="list" allowBlank="1" showInputMessage="1" showErrorMessage="1" sqref="O81">
      <formula1>"Activa,Inactiva"</formula1>
    </dataValidation>
    <dataValidation type="list" allowBlank="1" showInputMessage="1" showErrorMessage="1" sqref="J86">
      <formula1>"$,US$,UF"</formula1>
    </dataValidation>
    <dataValidation type="list" allowBlank="1" showInputMessage="1" showErrorMessage="1" sqref="K86">
      <formula1>"Usado,Nuevo"</formula1>
    </dataValidation>
    <dataValidation type="list" allowBlank="1" showInputMessage="1" showErrorMessage="1" sqref="L86">
      <formula1>"Mercado Envíos a cargo del comprador,Mercado Envíos por mi cuenta"</formula1>
    </dataValidation>
    <dataValidation type="list" allowBlank="1" showInputMessage="1" showErrorMessage="1" sqref="M86">
      <formula1>"Clásica,Premium"</formula1>
    </dataValidation>
    <dataValidation type="list" allowBlank="1" showInputMessage="1" showErrorMessage="1" sqref="O86">
      <formula1>"Activa,Inactiva"</formula1>
    </dataValidation>
    <dataValidation type="list" allowBlank="1" showInputMessage="1" showErrorMessage="1" sqref="J90">
      <formula1>"$,US$,UF"</formula1>
    </dataValidation>
    <dataValidation type="list" allowBlank="1" showInputMessage="1" showErrorMessage="1" sqref="K90">
      <formula1>"Usado,Nuevo"</formula1>
    </dataValidation>
    <dataValidation type="list" allowBlank="1" showInputMessage="1" showErrorMessage="1" sqref="L90">
      <formula1>"Mercado Envíos a cargo del comprador,Mercado Envíos por mi cuenta"</formula1>
    </dataValidation>
    <dataValidation type="list" allowBlank="1" showInputMessage="1" showErrorMessage="1" sqref="M90">
      <formula1>"Clásica,Premium"</formula1>
    </dataValidation>
    <dataValidation type="list" allowBlank="1" showInputMessage="1" showErrorMessage="1" sqref="O90">
      <formula1>"Activa,Inactiva"</formula1>
    </dataValidation>
    <dataValidation type="list" allowBlank="1" showInputMessage="1" showErrorMessage="1" sqref="J91">
      <formula1>"$,US$,UF"</formula1>
    </dataValidation>
    <dataValidation type="list" allowBlank="1" showInputMessage="1" showErrorMessage="1" sqref="K91">
      <formula1>"Usado,Nuevo"</formula1>
    </dataValidation>
    <dataValidation type="list" allowBlank="1" showInputMessage="1" showErrorMessage="1" sqref="L91">
      <formula1>"Mercado Envíos a cargo del comprador,Mercado Envíos gratis"</formula1>
    </dataValidation>
    <dataValidation type="list" allowBlank="1" showInputMessage="1" showErrorMessage="1" sqref="M91">
      <formula1>"Clásica,Premium"</formula1>
    </dataValidation>
    <dataValidation type="list" allowBlank="1" showInputMessage="1" showErrorMessage="1" sqref="O91">
      <formula1>"Activa,Inactiva"</formula1>
    </dataValidation>
    <dataValidation type="list" allowBlank="1" showInputMessage="1" showErrorMessage="1" sqref="J92">
      <formula1>"$,US$,UF"</formula1>
    </dataValidation>
    <dataValidation type="list" allowBlank="1" showInputMessage="1" showErrorMessage="1" sqref="K92">
      <formula1>"Usado,Nuevo"</formula1>
    </dataValidation>
    <dataValidation type="list" allowBlank="1" showInputMessage="1" showErrorMessage="1" sqref="L92">
      <formula1>"Mercado Envíos a cargo del comprador,Mercado Envíos gratis"</formula1>
    </dataValidation>
    <dataValidation type="list" allowBlank="1" showInputMessage="1" showErrorMessage="1" sqref="M92">
      <formula1>"Clásica,Premium"</formula1>
    </dataValidation>
    <dataValidation type="list" allowBlank="1" showInputMessage="1" showErrorMessage="1" sqref="O92">
      <formula1>"Activa,Inactiva"</formula1>
    </dataValidation>
    <dataValidation type="list" allowBlank="1" showInputMessage="1" showErrorMessage="1" sqref="J95">
      <formula1>"$,US$,UF"</formula1>
    </dataValidation>
    <dataValidation type="list" allowBlank="1" showInputMessage="1" showErrorMessage="1" sqref="K95">
      <formula1>"Usado,Nuevo"</formula1>
    </dataValidation>
    <dataValidation type="list" allowBlank="1" showInputMessage="1" showErrorMessage="1" sqref="L95">
      <formula1>"Mercado Envíos a cargo del comprador,Mercado Envíos gratis"</formula1>
    </dataValidation>
    <dataValidation type="list" allowBlank="1" showInputMessage="1" showErrorMessage="1" sqref="M95">
      <formula1>"Clásica,Premium"</formula1>
    </dataValidation>
    <dataValidation type="list" allowBlank="1" showInputMessage="1" showErrorMessage="1" sqref="O95">
      <formula1>"Activa,Inactiva"</formula1>
    </dataValidation>
    <dataValidation type="list" allowBlank="1" showInputMessage="1" showErrorMessage="1" sqref="J100">
      <formula1>"$,US$,UF"</formula1>
    </dataValidation>
    <dataValidation type="list" allowBlank="1" showInputMessage="1" showErrorMessage="1" sqref="K100">
      <formula1>"Usado,Nuevo"</formula1>
    </dataValidation>
    <dataValidation type="list" allowBlank="1" showInputMessage="1" showErrorMessage="1" sqref="L100">
      <formula1>"Mercado Envíos a cargo del comprador,Mercado Envíos gratis"</formula1>
    </dataValidation>
    <dataValidation type="list" allowBlank="1" showInputMessage="1" showErrorMessage="1" sqref="M100">
      <formula1>"Clásica,Premium"</formula1>
    </dataValidation>
    <dataValidation type="list" allowBlank="1" showInputMessage="1" showErrorMessage="1" sqref="O100">
      <formula1>"Activa,Inactiva"</formula1>
    </dataValidation>
    <dataValidation type="list" allowBlank="1" showInputMessage="1" showErrorMessage="1" sqref="J103">
      <formula1>"$,US$,UF"</formula1>
    </dataValidation>
    <dataValidation type="list" allowBlank="1" showInputMessage="1" showErrorMessage="1" sqref="K103">
      <formula1>"Usado,Nuevo"</formula1>
    </dataValidation>
    <dataValidation type="list" allowBlank="1" showInputMessage="1" showErrorMessage="1" sqref="L103">
      <formula1>"Mercado Envíos a cargo del comprador,Mercado Envíos gratis"</formula1>
    </dataValidation>
    <dataValidation type="list" allowBlank="1" showInputMessage="1" showErrorMessage="1" sqref="M103">
      <formula1>"Clásica,Premium"</formula1>
    </dataValidation>
    <dataValidation type="list" allowBlank="1" showInputMessage="1" showErrorMessage="1" sqref="O103">
      <formula1>"Activa,Inactiva"</formula1>
    </dataValidation>
    <dataValidation type="list" allowBlank="1" showInputMessage="1" showErrorMessage="1" sqref="J106">
      <formula1>"$,US$,UF"</formula1>
    </dataValidation>
    <dataValidation type="list" allowBlank="1" showInputMessage="1" showErrorMessage="1" sqref="K106">
      <formula1>"Usado,Nuevo"</formula1>
    </dataValidation>
    <dataValidation type="list" allowBlank="1" showInputMessage="1" showErrorMessage="1" sqref="L106">
      <formula1>"Mercado Envíos a cargo del comprador,Mercado Envíos gratis"</formula1>
    </dataValidation>
    <dataValidation type="list" allowBlank="1" showInputMessage="1" showErrorMessage="1" sqref="M106">
      <formula1>"Clásica,Premium"</formula1>
    </dataValidation>
    <dataValidation type="list" allowBlank="1" showInputMessage="1" showErrorMessage="1" sqref="O106">
      <formula1>"Activa,Inactiva"</formula1>
    </dataValidation>
    <dataValidation type="list" allowBlank="1" showInputMessage="1" showErrorMessage="1" sqref="J109">
      <formula1>"$,US$,UF"</formula1>
    </dataValidation>
    <dataValidation type="list" allowBlank="1" showInputMessage="1" showErrorMessage="1" sqref="K109">
      <formula1>"Usado,Nuevo"</formula1>
    </dataValidation>
    <dataValidation type="list" allowBlank="1" showInputMessage="1" showErrorMessage="1" sqref="L109">
      <formula1>"Mercado Envíos a cargo del comprador,Mercado Envíos gratis"</formula1>
    </dataValidation>
    <dataValidation type="list" allowBlank="1" showInputMessage="1" showErrorMessage="1" sqref="M109">
      <formula1>"Clásica,Premium"</formula1>
    </dataValidation>
    <dataValidation type="list" allowBlank="1" showInputMessage="1" showErrorMessage="1" sqref="O109">
      <formula1>"Activa,Inactiva"</formula1>
    </dataValidation>
    <dataValidation type="list" allowBlank="1" showInputMessage="1" showErrorMessage="1" sqref="J110">
      <formula1>"$,US$,UF"</formula1>
    </dataValidation>
    <dataValidation type="list" allowBlank="1" showInputMessage="1" showErrorMessage="1" sqref="K110">
      <formula1>"Usado,Nuevo"</formula1>
    </dataValidation>
    <dataValidation type="list" allowBlank="1" showInputMessage="1" showErrorMessage="1" sqref="L110">
      <formula1>"Mercado Envíos a cargo del comprador,Mercado Envíos gratis"</formula1>
    </dataValidation>
    <dataValidation type="list" allowBlank="1" showInputMessage="1" showErrorMessage="1" sqref="M110">
      <formula1>"Clásica,Premium"</formula1>
    </dataValidation>
    <dataValidation type="list" allowBlank="1" showInputMessage="1" showErrorMessage="1" sqref="O110">
      <formula1>"Activa,Inactiva"</formula1>
    </dataValidation>
    <dataValidation type="list" allowBlank="1" showInputMessage="1" showErrorMessage="1" sqref="J114">
      <formula1>"$,US$,UF"</formula1>
    </dataValidation>
    <dataValidation type="list" allowBlank="1" showInputMessage="1" showErrorMessage="1" sqref="K114">
      <formula1>"Usado,Nuevo"</formula1>
    </dataValidation>
    <dataValidation type="list" allowBlank="1" showInputMessage="1" showErrorMessage="1" sqref="L114">
      <formula1>"Mercado Envíos a cargo del comprador,Mercado Envíos gratis"</formula1>
    </dataValidation>
    <dataValidation type="list" allowBlank="1" showInputMessage="1" showErrorMessage="1" sqref="M114">
      <formula1>"Clásica,Premium"</formula1>
    </dataValidation>
    <dataValidation type="list" allowBlank="1" showInputMessage="1" showErrorMessage="1" sqref="O114">
      <formula1>"Activa,Inactiva"</formula1>
    </dataValidation>
    <dataValidation type="list" allowBlank="1" showInputMessage="1" showErrorMessage="1" sqref="J118">
      <formula1>"$,US$,UF"</formula1>
    </dataValidation>
    <dataValidation type="list" allowBlank="1" showInputMessage="1" showErrorMessage="1" sqref="K118">
      <formula1>"Usado,Nuevo"</formula1>
    </dataValidation>
    <dataValidation type="list" allowBlank="1" showInputMessage="1" showErrorMessage="1" sqref="L118">
      <formula1>"Mercado Envíos a cargo del comprador,Mercado Envíos gratis"</formula1>
    </dataValidation>
    <dataValidation type="list" allowBlank="1" showInputMessage="1" showErrorMessage="1" sqref="M118">
      <formula1>"Clásica,Premium"</formula1>
    </dataValidation>
    <dataValidation type="list" allowBlank="1" showInputMessage="1" showErrorMessage="1" sqref="O118">
      <formula1>"Activa,Inactiva"</formula1>
    </dataValidation>
    <dataValidation type="list" allowBlank="1" showInputMessage="1" showErrorMessage="1" sqref="J122">
      <formula1>"$,US$,UF"</formula1>
    </dataValidation>
    <dataValidation type="list" allowBlank="1" showInputMessage="1" showErrorMessage="1" sqref="K122">
      <formula1>"Usado,Nuevo"</formula1>
    </dataValidation>
    <dataValidation type="list" allowBlank="1" showInputMessage="1" showErrorMessage="1" sqref="L122">
      <formula1>"Mercado Envíos a cargo del comprador,Mercado Envíos gratis"</formula1>
    </dataValidation>
    <dataValidation type="list" allowBlank="1" showInputMessage="1" showErrorMessage="1" sqref="M122">
      <formula1>"Clásica,Premium"</formula1>
    </dataValidation>
    <dataValidation type="list" allowBlank="1" showInputMessage="1" showErrorMessage="1" sqref="O122">
      <formula1>"Activa,Inactiva"</formula1>
    </dataValidation>
    <dataValidation type="list" allowBlank="1" showInputMessage="1" showErrorMessage="1" sqref="J123">
      <formula1>"$,US$,UF"</formula1>
    </dataValidation>
    <dataValidation type="list" allowBlank="1" showInputMessage="1" showErrorMessage="1" sqref="K123">
      <formula1>"Usado,Nuevo"</formula1>
    </dataValidation>
    <dataValidation type="list" allowBlank="1" showInputMessage="1" showErrorMessage="1" sqref="L123">
      <formula1>"Mercado Envíos a cargo del comprador,Mercado Envíos por mi cuenta"</formula1>
    </dataValidation>
    <dataValidation type="list" allowBlank="1" showInputMessage="1" showErrorMessage="1" sqref="M123">
      <formula1>"Clásica,Premium"</formula1>
    </dataValidation>
    <dataValidation type="list" allowBlank="1" showInputMessage="1" showErrorMessage="1" sqref="O123">
      <formula1>"Activa,Inactiva"</formula1>
    </dataValidation>
    <dataValidation type="list" allowBlank="1" showInputMessage="1" showErrorMessage="1" sqref="J124">
      <formula1>"$,US$,UF"</formula1>
    </dataValidation>
    <dataValidation type="list" allowBlank="1" showInputMessage="1" showErrorMessage="1" sqref="K124">
      <formula1>"Usado,Nuevo"</formula1>
    </dataValidation>
    <dataValidation type="list" allowBlank="1" showInputMessage="1" showErrorMessage="1" sqref="L124">
      <formula1>"Mercado Envíos a cargo del comprador,Mercado Envíos gratis"</formula1>
    </dataValidation>
    <dataValidation type="list" allowBlank="1" showInputMessage="1" showErrorMessage="1" sqref="M124">
      <formula1>"Clásica,Premium"</formula1>
    </dataValidation>
    <dataValidation type="list" allowBlank="1" showInputMessage="1" showErrorMessage="1" sqref="O124">
      <formula1>"Activa,Inactiva"</formula1>
    </dataValidation>
    <dataValidation type="list" allowBlank="1" showInputMessage="1" showErrorMessage="1" sqref="J127">
      <formula1>"$,US$,UF"</formula1>
    </dataValidation>
    <dataValidation type="list" allowBlank="1" showInputMessage="1" showErrorMessage="1" sqref="K127">
      <formula1>"Usado,Nuevo"</formula1>
    </dataValidation>
    <dataValidation type="list" allowBlank="1" showInputMessage="1" showErrorMessage="1" sqref="L127">
      <formula1>"Mercado Envíos a cargo del comprador,Mercado Envíos por mi cuenta"</formula1>
    </dataValidation>
    <dataValidation type="list" allowBlank="1" showInputMessage="1" showErrorMessage="1" sqref="M127">
      <formula1>"Clásica,Premium"</formula1>
    </dataValidation>
    <dataValidation type="list" allowBlank="1" showInputMessage="1" showErrorMessage="1" sqref="O127">
      <formula1>"Activa,Inactiva"</formula1>
    </dataValidation>
    <dataValidation type="list" allowBlank="1" showInputMessage="1" showErrorMessage="1" sqref="J128">
      <formula1>"$,US$,UF"</formula1>
    </dataValidation>
    <dataValidation type="list" allowBlank="1" showInputMessage="1" showErrorMessage="1" sqref="K128">
      <formula1>"Usado,Nuevo"</formula1>
    </dataValidation>
    <dataValidation type="list" allowBlank="1" showInputMessage="1" showErrorMessage="1" sqref="L128">
      <formula1>"Mercado Envíos a cargo del comprador,Mercado Envíos por mi cuenta"</formula1>
    </dataValidation>
    <dataValidation type="list" allowBlank="1" showInputMessage="1" showErrorMessage="1" sqref="M128">
      <formula1>"Clásica,Premium"</formula1>
    </dataValidation>
    <dataValidation type="list" allowBlank="1" showInputMessage="1" showErrorMessage="1" sqref="O128">
      <formula1>"Activa,Inactiva"</formula1>
    </dataValidation>
    <dataValidation type="list" allowBlank="1" showInputMessage="1" showErrorMessage="1" sqref="J129">
      <formula1>"$,US$,UF"</formula1>
    </dataValidation>
    <dataValidation type="list" allowBlank="1" showInputMessage="1" showErrorMessage="1" sqref="K129">
      <formula1>"Usado,Nuevo"</formula1>
    </dataValidation>
    <dataValidation type="list" allowBlank="1" showInputMessage="1" showErrorMessage="1" sqref="L129">
      <formula1>"Mercado Envíos a cargo del comprador,Mercado Envíos por mi cuenta"</formula1>
    </dataValidation>
    <dataValidation type="list" allowBlank="1" showInputMessage="1" showErrorMessage="1" sqref="M129">
      <formula1>"Clásica,Premium"</formula1>
    </dataValidation>
    <dataValidation type="list" allowBlank="1" showInputMessage="1" showErrorMessage="1" sqref="O129">
      <formula1>"Activa,Inactiva"</formula1>
    </dataValidation>
    <dataValidation type="list" allowBlank="1" showInputMessage="1" showErrorMessage="1" sqref="J132">
      <formula1>"$,US$,UF"</formula1>
    </dataValidation>
    <dataValidation type="list" allowBlank="1" showInputMessage="1" showErrorMessage="1" sqref="K132">
      <formula1>"Usado,Nuevo"</formula1>
    </dataValidation>
    <dataValidation type="list" allowBlank="1" showInputMessage="1" showErrorMessage="1" sqref="L132">
      <formula1>"Mercado Envíos a cargo del comprador,Mercado Envíos por mi cuenta"</formula1>
    </dataValidation>
    <dataValidation type="list" allowBlank="1" showInputMessage="1" showErrorMessage="1" sqref="M132">
      <formula1>"Clásica,Premium"</formula1>
    </dataValidation>
    <dataValidation type="list" allowBlank="1" showInputMessage="1" showErrorMessage="1" sqref="O132">
      <formula1>"Activa,Inactiva"</formula1>
    </dataValidation>
    <dataValidation type="list" allowBlank="1" showInputMessage="1" showErrorMessage="1" sqref="J140">
      <formula1>"$,US$,UF"</formula1>
    </dataValidation>
    <dataValidation type="list" allowBlank="1" showInputMessage="1" showErrorMessage="1" sqref="K140">
      <formula1>"Usado,Nuevo"</formula1>
    </dataValidation>
    <dataValidation type="list" allowBlank="1" showInputMessage="1" showErrorMessage="1" sqref="L140">
      <formula1>"Mercado Envíos a cargo del comprador,Mercado Envíos gratis"</formula1>
    </dataValidation>
    <dataValidation type="list" allowBlank="1" showInputMessage="1" showErrorMessage="1" sqref="M140">
      <formula1>"Clásica,Premium"</formula1>
    </dataValidation>
    <dataValidation type="list" allowBlank="1" showInputMessage="1" showErrorMessage="1" sqref="O140">
      <formula1>"Activa,Inactiva"</formula1>
    </dataValidation>
    <dataValidation type="list" allowBlank="1" showInputMessage="1" showErrorMessage="1" sqref="J146">
      <formula1>"$,US$,UF"</formula1>
    </dataValidation>
    <dataValidation type="list" allowBlank="1" showInputMessage="1" showErrorMessage="1" sqref="K146">
      <formula1>"Usado,Nuevo"</formula1>
    </dataValidation>
    <dataValidation type="list" allowBlank="1" showInputMessage="1" showErrorMessage="1" sqref="L146">
      <formula1>"Mercado Envíos a cargo del comprador,Mercado Envíos por mi cuenta"</formula1>
    </dataValidation>
    <dataValidation type="list" allowBlank="1" showInputMessage="1" showErrorMessage="1" sqref="M146">
      <formula1>"Clásica,Premium"</formula1>
    </dataValidation>
    <dataValidation type="list" allowBlank="1" showInputMessage="1" showErrorMessage="1" sqref="O146">
      <formula1>"Activa,Inactiva"</formula1>
    </dataValidation>
    <dataValidation type="list" allowBlank="1" showInputMessage="1" showErrorMessage="1" sqref="J151">
      <formula1>"$,US$,UF"</formula1>
    </dataValidation>
    <dataValidation type="list" allowBlank="1" showInputMessage="1" showErrorMessage="1" sqref="K151">
      <formula1>"Usado,Nuevo"</formula1>
    </dataValidation>
    <dataValidation type="list" allowBlank="1" showInputMessage="1" showErrorMessage="1" sqref="L151">
      <formula1>"Mercado Envíos a cargo del comprador,Mercado Envíos gratis"</formula1>
    </dataValidation>
    <dataValidation type="list" allowBlank="1" showInputMessage="1" showErrorMessage="1" sqref="M151">
      <formula1>"Clásica,Premium"</formula1>
    </dataValidation>
    <dataValidation type="list" allowBlank="1" showInputMessage="1" showErrorMessage="1" sqref="O151">
      <formula1>"Activa,Inactiva"</formula1>
    </dataValidation>
    <dataValidation type="list" allowBlank="1" showInputMessage="1" showErrorMessage="1" sqref="J157">
      <formula1>"$,US$,UF"</formula1>
    </dataValidation>
    <dataValidation type="list" allowBlank="1" showInputMessage="1" showErrorMessage="1" sqref="K157">
      <formula1>"Usado,Nuevo"</formula1>
    </dataValidation>
    <dataValidation type="list" allowBlank="1" showInputMessage="1" showErrorMessage="1" sqref="L157">
      <formula1>"Mercado Envíos a cargo del comprador,Mercado Envíos gratis"</formula1>
    </dataValidation>
    <dataValidation type="list" allowBlank="1" showInputMessage="1" showErrorMessage="1" sqref="M157">
      <formula1>"Clásica,Premium"</formula1>
    </dataValidation>
    <dataValidation type="list" allowBlank="1" showInputMessage="1" showErrorMessage="1" sqref="O157">
      <formula1>"Activa,Inactiva"</formula1>
    </dataValidation>
    <dataValidation type="list" allowBlank="1" showInputMessage="1" showErrorMessage="1" sqref="J158">
      <formula1>"$,US$,UF"</formula1>
    </dataValidation>
    <dataValidation type="list" allowBlank="1" showInputMessage="1" showErrorMessage="1" sqref="K158">
      <formula1>"Usado,Nuevo"</formula1>
    </dataValidation>
    <dataValidation type="list" allowBlank="1" showInputMessage="1" showErrorMessage="1" sqref="L158">
      <formula1>"Mercado Envíos a cargo del comprador,Mercado Envíos gratis"</formula1>
    </dataValidation>
    <dataValidation type="list" allowBlank="1" showInputMessage="1" showErrorMessage="1" sqref="M158">
      <formula1>"Clásica,Premium"</formula1>
    </dataValidation>
    <dataValidation type="list" allowBlank="1" showInputMessage="1" showErrorMessage="1" sqref="O158">
      <formula1>"Activa,Inactiva"</formula1>
    </dataValidation>
    <dataValidation type="list" allowBlank="1" showInputMessage="1" showErrorMessage="1" sqref="J161">
      <formula1>"$,US$,UF"</formula1>
    </dataValidation>
    <dataValidation type="list" allowBlank="1" showInputMessage="1" showErrorMessage="1" sqref="K161">
      <formula1>"Usado,Nuevo"</formula1>
    </dataValidation>
    <dataValidation type="list" allowBlank="1" showInputMessage="1" showErrorMessage="1" sqref="L161">
      <formula1>"Mercado Envíos a cargo del comprador,Mercado Envíos gratis"</formula1>
    </dataValidation>
    <dataValidation type="list" allowBlank="1" showInputMessage="1" showErrorMessage="1" sqref="M161">
      <formula1>"Clásica,Premium"</formula1>
    </dataValidation>
    <dataValidation type="list" allowBlank="1" showInputMessage="1" showErrorMessage="1" sqref="O161">
      <formula1>"Activa,Inactiva"</formula1>
    </dataValidation>
    <dataValidation type="list" allowBlank="1" showInputMessage="1" showErrorMessage="1" sqref="J162">
      <formula1>"$,US$,UF"</formula1>
    </dataValidation>
    <dataValidation type="list" allowBlank="1" showInputMessage="1" showErrorMessage="1" sqref="K162">
      <formula1>"Usado,Nuevo"</formula1>
    </dataValidation>
    <dataValidation type="list" allowBlank="1" showInputMessage="1" showErrorMessage="1" sqref="L162">
      <formula1>"Mercado Envíos a cargo del comprador,Mercado Envíos gratis"</formula1>
    </dataValidation>
    <dataValidation type="list" allowBlank="1" showInputMessage="1" showErrorMessage="1" sqref="M162">
      <formula1>"Clásica,Premium"</formula1>
    </dataValidation>
    <dataValidation type="list" allowBlank="1" showInputMessage="1" showErrorMessage="1" sqref="O162">
      <formula1>"Activa,Inactiva"</formula1>
    </dataValidation>
    <dataValidation type="list" allowBlank="1" showInputMessage="1" showErrorMessage="1" sqref="J165">
      <formula1>"$,US$,UF"</formula1>
    </dataValidation>
    <dataValidation type="list" allowBlank="1" showInputMessage="1" showErrorMessage="1" sqref="K165">
      <formula1>"Usado,Nuevo"</formula1>
    </dataValidation>
    <dataValidation type="list" allowBlank="1" showInputMessage="1" showErrorMessage="1" sqref="L165">
      <formula1>"Mercado Envíos a cargo del comprador,Mercado Envíos gratis"</formula1>
    </dataValidation>
    <dataValidation type="list" allowBlank="1" showInputMessage="1" showErrorMessage="1" sqref="M165">
      <formula1>"Clásica,Premium"</formula1>
    </dataValidation>
    <dataValidation type="list" allowBlank="1" showInputMessage="1" showErrorMessage="1" sqref="O165">
      <formula1>"Activa,Inactiva"</formula1>
    </dataValidation>
    <dataValidation type="list" allowBlank="1" showInputMessage="1" showErrorMessage="1" sqref="J166">
      <formula1>"$,US$,UF"</formula1>
    </dataValidation>
    <dataValidation type="list" allowBlank="1" showInputMessage="1" showErrorMessage="1" sqref="K166">
      <formula1>"Usado,Nuevo"</formula1>
    </dataValidation>
    <dataValidation type="list" allowBlank="1" showInputMessage="1" showErrorMessage="1" sqref="L166">
      <formula1>"Mercado Envíos a cargo del comprador,Mercado Envíos gratis"</formula1>
    </dataValidation>
    <dataValidation type="list" allowBlank="1" showInputMessage="1" showErrorMessage="1" sqref="M166">
      <formula1>"Clásica,Premium"</formula1>
    </dataValidation>
    <dataValidation type="list" allowBlank="1" showInputMessage="1" showErrorMessage="1" sqref="O166">
      <formula1>"Activa,Inactiva"</formula1>
    </dataValidation>
    <dataValidation type="list" allowBlank="1" showInputMessage="1" showErrorMessage="1" sqref="J169">
      <formula1>"$,US$,UF"</formula1>
    </dataValidation>
    <dataValidation type="list" allowBlank="1" showInputMessage="1" showErrorMessage="1" sqref="K169">
      <formula1>"Usado,Nuevo"</formula1>
    </dataValidation>
    <dataValidation type="list" allowBlank="1" showInputMessage="1" showErrorMessage="1" sqref="L169">
      <formula1>"Mercado Envíos a cargo del comprador,Mercado Envíos gratis"</formula1>
    </dataValidation>
    <dataValidation type="list" allowBlank="1" showInputMessage="1" showErrorMessage="1" sqref="M169">
      <formula1>"Clásica,Premium"</formula1>
    </dataValidation>
    <dataValidation type="list" allowBlank="1" showInputMessage="1" showErrorMessage="1" sqref="O169">
      <formula1>"Activa,Inactiva"</formula1>
    </dataValidation>
    <dataValidation type="list" allowBlank="1" showInputMessage="1" showErrorMessage="1" sqref="J170">
      <formula1>"$,US$,UF"</formula1>
    </dataValidation>
    <dataValidation type="list" allowBlank="1" showInputMessage="1" showErrorMessage="1" sqref="K170">
      <formula1>"Nuevo"</formula1>
    </dataValidation>
    <dataValidation type="list" allowBlank="1" showInputMessage="1" showErrorMessage="1" sqref="L170">
      <formula1>"Mercado Envíos a cargo del comprador,Mercado Envíos gratis"</formula1>
    </dataValidation>
    <dataValidation type="list" allowBlank="1" showInputMessage="1" showErrorMessage="1" sqref="M170">
      <formula1>"Clásica,Premium"</formula1>
    </dataValidation>
    <dataValidation type="list" allowBlank="1" showInputMessage="1" showErrorMessage="1" sqref="O170">
      <formula1>"Activa,Inactiva"</formula1>
    </dataValidation>
    <dataValidation type="list" allowBlank="1" showInputMessage="1" showErrorMessage="1" sqref="J173">
      <formula1>"$,US$,UF"</formula1>
    </dataValidation>
    <dataValidation type="list" allowBlank="1" showInputMessage="1" showErrorMessage="1" sqref="K173">
      <formula1>"Usado,Nuevo"</formula1>
    </dataValidation>
    <dataValidation type="list" allowBlank="1" showInputMessage="1" showErrorMessage="1" sqref="L173">
      <formula1>"Mercado Envíos a cargo del comprador,Mercado Envíos gratis"</formula1>
    </dataValidation>
    <dataValidation type="list" allowBlank="1" showInputMessage="1" showErrorMessage="1" sqref="M173">
      <formula1>"Clásica,Premium"</formula1>
    </dataValidation>
    <dataValidation type="list" allowBlank="1" showInputMessage="1" showErrorMessage="1" sqref="O173">
      <formula1>"Activa,Inactiva"</formula1>
    </dataValidation>
    <dataValidation type="list" allowBlank="1" showInputMessage="1" showErrorMessage="1" sqref="J174">
      <formula1>"$,US$,UF"</formula1>
    </dataValidation>
    <dataValidation type="list" allowBlank="1" showInputMessage="1" showErrorMessage="1" sqref="K174">
      <formula1>"Usado,Nuevo"</formula1>
    </dataValidation>
    <dataValidation type="list" allowBlank="1" showInputMessage="1" showErrorMessage="1" sqref="L174">
      <formula1>"Mercado Envíos a cargo del comprador,Mercado Envíos por mi cuenta"</formula1>
    </dataValidation>
    <dataValidation type="list" allowBlank="1" showInputMessage="1" showErrorMessage="1" sqref="M174">
      <formula1>"Clásica,Premium"</formula1>
    </dataValidation>
    <dataValidation type="list" allowBlank="1" showInputMessage="1" showErrorMessage="1" sqref="O174">
      <formula1>"Activa,Inactiva"</formula1>
    </dataValidation>
    <dataValidation type="list" allowBlank="1" showInputMessage="1" showErrorMessage="1" sqref="J175">
      <formula1>"$,US$,UF"</formula1>
    </dataValidation>
    <dataValidation type="list" allowBlank="1" showInputMessage="1" showErrorMessage="1" sqref="K175">
      <formula1>"Usado,Nuevo"</formula1>
    </dataValidation>
    <dataValidation type="list" allowBlank="1" showInputMessage="1" showErrorMessage="1" sqref="L175">
      <formula1>"Mercado Envíos a cargo del comprador,Mercado Envíos gratis"</formula1>
    </dataValidation>
    <dataValidation type="list" allowBlank="1" showInputMessage="1" showErrorMessage="1" sqref="M175">
      <formula1>"Clásica,Premium"</formula1>
    </dataValidation>
    <dataValidation type="list" allowBlank="1" showInputMessage="1" showErrorMessage="1" sqref="O175">
      <formula1>"Activa,Inactiva"</formula1>
    </dataValidation>
    <dataValidation type="list" allowBlank="1" showInputMessage="1" showErrorMessage="1" sqref="J176">
      <formula1>"$,US$,UF"</formula1>
    </dataValidation>
    <dataValidation type="list" allowBlank="1" showInputMessage="1" showErrorMessage="1" sqref="K176">
      <formula1>"Nuevo"</formula1>
    </dataValidation>
    <dataValidation type="list" allowBlank="1" showInputMessage="1" showErrorMessage="1" sqref="L176">
      <formula1>"Mercado Envíos a cargo del comprador,Mercado Envíos por mi cuenta"</formula1>
    </dataValidation>
    <dataValidation type="list" allowBlank="1" showInputMessage="1" showErrorMessage="1" sqref="M176">
      <formula1>"Clásica,Premium"</formula1>
    </dataValidation>
    <dataValidation type="list" allowBlank="1" showInputMessage="1" showErrorMessage="1" sqref="O176">
      <formula1>"Activa,Inactiva"</formula1>
    </dataValidation>
    <dataValidation type="list" allowBlank="1" showInputMessage="1" showErrorMessage="1" sqref="J177">
      <formula1>"$,US$,UF"</formula1>
    </dataValidation>
    <dataValidation type="list" allowBlank="1" showInputMessage="1" showErrorMessage="1" sqref="K177">
      <formula1>"Usado,Nuevo"</formula1>
    </dataValidation>
    <dataValidation type="list" allowBlank="1" showInputMessage="1" showErrorMessage="1" sqref="L177">
      <formula1>"Mercado Envíos a cargo del comprador,Mercado Envíos gratis"</formula1>
    </dataValidation>
    <dataValidation type="list" allowBlank="1" showInputMessage="1" showErrorMessage="1" sqref="M177">
      <formula1>"Clásica,Premium"</formula1>
    </dataValidation>
    <dataValidation type="list" allowBlank="1" showInputMessage="1" showErrorMessage="1" sqref="O177">
      <formula1>"Activa,Inactiva"</formula1>
    </dataValidation>
    <dataValidation type="list" allowBlank="1" showInputMessage="1" showErrorMessage="1" sqref="J181">
      <formula1>"$,US$,UF"</formula1>
    </dataValidation>
    <dataValidation type="list" allowBlank="1" showInputMessage="1" showErrorMessage="1" sqref="K181">
      <formula1>"Usado,Nuevo"</formula1>
    </dataValidation>
    <dataValidation type="list" allowBlank="1" showInputMessage="1" showErrorMessage="1" sqref="L181">
      <formula1>"Mercado Envíos a cargo del comprador,Mercado Envíos gratis"</formula1>
    </dataValidation>
    <dataValidation type="list" allowBlank="1" showInputMessage="1" showErrorMessage="1" sqref="M181">
      <formula1>"Clásica,Premium"</formula1>
    </dataValidation>
    <dataValidation type="list" allowBlank="1" showInputMessage="1" showErrorMessage="1" sqref="O181">
      <formula1>"Activa,Inactiva"</formula1>
    </dataValidation>
    <dataValidation type="list" allowBlank="1" showInputMessage="1" showErrorMessage="1" sqref="J185">
      <formula1>"$,US$,UF"</formula1>
    </dataValidation>
    <dataValidation type="list" allowBlank="1" showInputMessage="1" showErrorMessage="1" sqref="K185">
      <formula1>"Usado,Nuevo"</formula1>
    </dataValidation>
    <dataValidation type="list" allowBlank="1" showInputMessage="1" showErrorMessage="1" sqref="L185">
      <formula1>"Mercado Envíos a cargo del comprador,Mercado Envíos gratis"</formula1>
    </dataValidation>
    <dataValidation type="list" allowBlank="1" showInputMessage="1" showErrorMessage="1" sqref="M185">
      <formula1>"Clásica,Premium"</formula1>
    </dataValidation>
    <dataValidation type="list" allowBlank="1" showInputMessage="1" showErrorMessage="1" sqref="O185">
      <formula1>"Activa,Inactiva"</formula1>
    </dataValidation>
    <dataValidation type="list" allowBlank="1" showInputMessage="1" showErrorMessage="1" sqref="J186">
      <formula1>"$,US$,UF"</formula1>
    </dataValidation>
    <dataValidation type="list" allowBlank="1" showInputMessage="1" showErrorMessage="1" sqref="K186">
      <formula1>"Usado,Nuevo"</formula1>
    </dataValidation>
    <dataValidation type="list" allowBlank="1" showInputMessage="1" showErrorMessage="1" sqref="L186">
      <formula1>"Mercado Envíos a cargo del comprador,Mercado Envíos por mi cuenta"</formula1>
    </dataValidation>
    <dataValidation type="list" allowBlank="1" showInputMessage="1" showErrorMessage="1" sqref="M186">
      <formula1>"Clásica,Premium"</formula1>
    </dataValidation>
    <dataValidation type="list" allowBlank="1" showInputMessage="1" showErrorMessage="1" sqref="O186">
      <formula1>"Activa,Inactiva"</formula1>
    </dataValidation>
    <dataValidation type="list" allowBlank="1" showInputMessage="1" showErrorMessage="1" sqref="J189">
      <formula1>"$,US$,UF"</formula1>
    </dataValidation>
    <dataValidation type="list" allowBlank="1" showInputMessage="1" showErrorMessage="1" sqref="K189">
      <formula1>"Usado,Nuevo"</formula1>
    </dataValidation>
    <dataValidation type="list" allowBlank="1" showInputMessage="1" showErrorMessage="1" sqref="L189">
      <formula1>"Mercado Envíos a cargo del comprador,Mercado Envíos gratis"</formula1>
    </dataValidation>
    <dataValidation type="list" allowBlank="1" showInputMessage="1" showErrorMessage="1" sqref="M189">
      <formula1>"Clásica,Premium"</formula1>
    </dataValidation>
    <dataValidation type="list" allowBlank="1" showInputMessage="1" showErrorMessage="1" sqref="O189">
      <formula1>"Activa,Inactiva"</formula1>
    </dataValidation>
    <dataValidation type="list" allowBlank="1" showInputMessage="1" showErrorMessage="1" sqref="J190">
      <formula1>"$,US$,UF"</formula1>
    </dataValidation>
    <dataValidation type="list" allowBlank="1" showInputMessage="1" showErrorMessage="1" sqref="K190">
      <formula1>"Usado,Nuevo"</formula1>
    </dataValidation>
    <dataValidation type="list" allowBlank="1" showInputMessage="1" showErrorMessage="1" sqref="L190">
      <formula1>"Mercado Envíos a cargo del comprador,Mercado Envíos gratis"</formula1>
    </dataValidation>
    <dataValidation type="list" allowBlank="1" showInputMessage="1" showErrorMessage="1" sqref="M190">
      <formula1>"Clásica,Premium"</formula1>
    </dataValidation>
    <dataValidation type="list" allowBlank="1" showInputMessage="1" showErrorMessage="1" sqref="O190">
      <formula1>"Activa,Inactiva"</formula1>
    </dataValidation>
    <dataValidation type="list" allowBlank="1" showInputMessage="1" showErrorMessage="1" sqref="J191">
      <formula1>"$,US$,UF"</formula1>
    </dataValidation>
    <dataValidation type="list" allowBlank="1" showInputMessage="1" showErrorMessage="1" sqref="L191">
      <formula1>"Mercado Envíos a cargo del comprador,Mercado Envíos gratis"</formula1>
    </dataValidation>
    <dataValidation type="list" allowBlank="1" showInputMessage="1" showErrorMessage="1" sqref="M191">
      <formula1>"Clásica,Premium"</formula1>
    </dataValidation>
    <dataValidation type="list" allowBlank="1" showInputMessage="1" showErrorMessage="1" sqref="O191">
      <formula1>"Activa,Inactiva"</formula1>
    </dataValidation>
    <dataValidation type="list" allowBlank="1" showInputMessage="1" showErrorMessage="1" sqref="J192">
      <formula1>"$,US$,UF"</formula1>
    </dataValidation>
    <dataValidation type="list" allowBlank="1" showInputMessage="1" showErrorMessage="1" sqref="K192">
      <formula1>"Usado,Nuevo"</formula1>
    </dataValidation>
    <dataValidation type="list" allowBlank="1" showInputMessage="1" showErrorMessage="1" sqref="L192">
      <formula1>"Mercado Envíos a cargo del comprador,Mercado Envíos gratis"</formula1>
    </dataValidation>
    <dataValidation type="list" allowBlank="1" showInputMessage="1" showErrorMessage="1" sqref="M192">
      <formula1>"Clásica,Premium"</formula1>
    </dataValidation>
    <dataValidation type="list" allowBlank="1" showInputMessage="1" showErrorMessage="1" sqref="O192">
      <formula1>"Activa,Inactiva"</formula1>
    </dataValidation>
    <dataValidation type="list" allowBlank="1" showInputMessage="1" showErrorMessage="1" sqref="J195">
      <formula1>"$,US$,UF"</formula1>
    </dataValidation>
    <dataValidation type="list" allowBlank="1" showInputMessage="1" showErrorMessage="1" sqref="K195">
      <formula1>"Usado,Nuevo"</formula1>
    </dataValidation>
    <dataValidation type="list" allowBlank="1" showInputMessage="1" showErrorMessage="1" sqref="L195">
      <formula1>"Mercado Envíos a cargo del comprador,Mercado Envíos gratis"</formula1>
    </dataValidation>
    <dataValidation type="list" allowBlank="1" showInputMessage="1" showErrorMessage="1" sqref="M195">
      <formula1>"Clásica,Premium"</formula1>
    </dataValidation>
    <dataValidation type="list" allowBlank="1" showInputMessage="1" showErrorMessage="1" sqref="O195">
      <formula1>"Activa,Inactiva"</formula1>
    </dataValidation>
    <dataValidation type="list" allowBlank="1" showInputMessage="1" showErrorMessage="1" sqref="J196">
      <formula1>"$,US$,UF"</formula1>
    </dataValidation>
    <dataValidation type="list" allowBlank="1" showInputMessage="1" showErrorMessage="1" sqref="K196">
      <formula1>"Usado,Nuevo"</formula1>
    </dataValidation>
    <dataValidation type="list" allowBlank="1" showInputMessage="1" showErrorMessage="1" sqref="L196">
      <formula1>"Mercado Envíos a cargo del comprador,Mercado Envíos gratis"</formula1>
    </dataValidation>
    <dataValidation type="list" allowBlank="1" showInputMessage="1" showErrorMessage="1" sqref="M196">
      <formula1>"Clásica,Premium"</formula1>
    </dataValidation>
    <dataValidation type="list" allowBlank="1" showInputMessage="1" showErrorMessage="1" sqref="O196">
      <formula1>"Activa,Inactiva"</formula1>
    </dataValidation>
    <dataValidation type="list" allowBlank="1" showInputMessage="1" showErrorMessage="1" sqref="J197">
      <formula1>"$,US$,UF"</formula1>
    </dataValidation>
    <dataValidation type="list" allowBlank="1" showInputMessage="1" showErrorMessage="1" sqref="K197">
      <formula1>"Usado,Nuevo"</formula1>
    </dataValidation>
    <dataValidation type="list" allowBlank="1" showInputMessage="1" showErrorMessage="1" sqref="L197">
      <formula1>"Mercado Envíos a cargo del comprador,Mercado Envíos por mi cuenta"</formula1>
    </dataValidation>
    <dataValidation type="list" allowBlank="1" showInputMessage="1" showErrorMessage="1" sqref="M197">
      <formula1>"Clásica,Premium"</formula1>
    </dataValidation>
    <dataValidation type="list" allowBlank="1" showInputMessage="1" showErrorMessage="1" sqref="O197">
      <formula1>"Activa,Inactiva"</formula1>
    </dataValidation>
    <dataValidation type="list" allowBlank="1" showInputMessage="1" showErrorMessage="1" sqref="J200">
      <formula1>"$,US$,UF"</formula1>
    </dataValidation>
    <dataValidation type="list" allowBlank="1" showInputMessage="1" showErrorMessage="1" sqref="K200">
      <formula1>"Nuevo"</formula1>
    </dataValidation>
    <dataValidation type="list" allowBlank="1" showInputMessage="1" showErrorMessage="1" sqref="L200">
      <formula1>"Mercado Envíos a cargo del comprador,Mercado Envíos gratis"</formula1>
    </dataValidation>
    <dataValidation type="list" allowBlank="1" showInputMessage="1" showErrorMessage="1" sqref="M200">
      <formula1>"Clásica,Premium"</formula1>
    </dataValidation>
    <dataValidation type="list" allowBlank="1" showInputMessage="1" showErrorMessage="1" sqref="O200">
      <formula1>"Activa,Inactiva"</formula1>
    </dataValidation>
    <dataValidation type="list" allowBlank="1" showInputMessage="1" showErrorMessage="1" sqref="J201">
      <formula1>"$,US$,UF"</formula1>
    </dataValidation>
    <dataValidation type="list" allowBlank="1" showInputMessage="1" showErrorMessage="1" sqref="K201">
      <formula1>"Usado,Nuevo"</formula1>
    </dataValidation>
    <dataValidation type="list" allowBlank="1" showInputMessage="1" showErrorMessage="1" sqref="L201">
      <formula1>"Mercado Envíos a cargo del comprador,Mercado Envíos gratis"</formula1>
    </dataValidation>
    <dataValidation type="list" allowBlank="1" showInputMessage="1" showErrorMessage="1" sqref="M201">
      <formula1>"Clásica,Premium"</formula1>
    </dataValidation>
    <dataValidation type="list" allowBlank="1" showInputMessage="1" showErrorMessage="1" sqref="O201">
      <formula1>"Activa,Inactiva"</formula1>
    </dataValidation>
    <dataValidation type="list" allowBlank="1" showInputMessage="1" showErrorMessage="1" sqref="J202">
      <formula1>"$,US$,UF"</formula1>
    </dataValidation>
    <dataValidation type="list" allowBlank="1" showInputMessage="1" showErrorMessage="1" sqref="K202">
      <formula1>"Usado,Nuevo"</formula1>
    </dataValidation>
    <dataValidation type="list" allowBlank="1" showInputMessage="1" showErrorMessage="1" sqref="L202">
      <formula1>"Mercado Envíos a cargo del comprador,Mercado Envíos gratis"</formula1>
    </dataValidation>
    <dataValidation type="list" allowBlank="1" showInputMessage="1" showErrorMessage="1" sqref="M202">
      <formula1>"Clásica,Premium"</formula1>
    </dataValidation>
    <dataValidation type="list" allowBlank="1" showInputMessage="1" showErrorMessage="1" sqref="O202">
      <formula1>"Activa,Inactiva"</formula1>
    </dataValidation>
    <dataValidation type="list" allowBlank="1" showInputMessage="1" showErrorMessage="1" sqref="J203">
      <formula1>"$,US$,UF"</formula1>
    </dataValidation>
    <dataValidation type="list" allowBlank="1" showInputMessage="1" showErrorMessage="1" sqref="K203">
      <formula1>"Usado,Nuevo"</formula1>
    </dataValidation>
    <dataValidation type="list" allowBlank="1" showInputMessage="1" showErrorMessage="1" sqref="L203">
      <formula1>"Mercado Envíos a cargo del comprador,Mercado Envíos gratis"</formula1>
    </dataValidation>
    <dataValidation type="list" allowBlank="1" showInputMessage="1" showErrorMessage="1" sqref="M203">
      <formula1>"Clásica,Premium"</formula1>
    </dataValidation>
    <dataValidation type="list" allowBlank="1" showInputMessage="1" showErrorMessage="1" sqref="O203">
      <formula1>"Activa,Inactiva"</formula1>
    </dataValidation>
    <dataValidation type="list" allowBlank="1" showInputMessage="1" showErrorMessage="1" sqref="J204">
      <formula1>"$,US$,UF"</formula1>
    </dataValidation>
    <dataValidation type="list" allowBlank="1" showInputMessage="1" showErrorMessage="1" sqref="K204">
      <formula1>"Usado,Nuevo"</formula1>
    </dataValidation>
    <dataValidation type="list" allowBlank="1" showInputMessage="1" showErrorMessage="1" sqref="L204">
      <formula1>"Mercado Envíos a cargo del comprador,Mercado Envíos gratis"</formula1>
    </dataValidation>
    <dataValidation type="list" allowBlank="1" showInputMessage="1" showErrorMessage="1" sqref="M204">
      <formula1>"Clásica,Premium"</formula1>
    </dataValidation>
    <dataValidation type="list" allowBlank="1" showInputMessage="1" showErrorMessage="1" sqref="O204">
      <formula1>"Activa,Inactiva"</formula1>
    </dataValidation>
    <dataValidation type="list" allowBlank="1" showInputMessage="1" showErrorMessage="1" sqref="J207">
      <formula1>"$,US$,UF"</formula1>
    </dataValidation>
    <dataValidation type="list" allowBlank="1" showInputMessage="1" showErrorMessage="1" sqref="K207">
      <formula1>"Usado,Nuevo"</formula1>
    </dataValidation>
    <dataValidation type="list" allowBlank="1" showInputMessage="1" showErrorMessage="1" sqref="L207">
      <formula1>"Mercado Envíos a cargo del comprador,Mercado Envíos gratis"</formula1>
    </dataValidation>
    <dataValidation type="list" allowBlank="1" showInputMessage="1" showErrorMessage="1" sqref="M207">
      <formula1>"Clásica,Premium"</formula1>
    </dataValidation>
    <dataValidation type="list" allowBlank="1" showInputMessage="1" showErrorMessage="1" sqref="O207">
      <formula1>"Activa,Inactiva"</formula1>
    </dataValidation>
    <dataValidation type="list" allowBlank="1" showInputMessage="1" showErrorMessage="1" sqref="J208">
      <formula1>"$,US$,UF"</formula1>
    </dataValidation>
    <dataValidation type="list" allowBlank="1" showInputMessage="1" showErrorMessage="1" sqref="K208">
      <formula1>"Nuevo"</formula1>
    </dataValidation>
    <dataValidation type="list" allowBlank="1" showInputMessage="1" showErrorMessage="1" sqref="L208">
      <formula1>"Mercado Envíos a cargo del comprador,Mercado Envíos gratis"</formula1>
    </dataValidation>
    <dataValidation type="list" allowBlank="1" showInputMessage="1" showErrorMessage="1" sqref="M208">
      <formula1>"Clásica,Premium"</formula1>
    </dataValidation>
    <dataValidation type="list" allowBlank="1" showInputMessage="1" showErrorMessage="1" sqref="O208">
      <formula1>"Activa,Inactiva"</formula1>
    </dataValidation>
    <dataValidation type="list" allowBlank="1" showInputMessage="1" showErrorMessage="1" sqref="J211">
      <formula1>"$,US$,UF"</formula1>
    </dataValidation>
    <dataValidation type="list" allowBlank="1" showInputMessage="1" showErrorMessage="1" sqref="K211">
      <formula1>"Usado,Nuevo"</formula1>
    </dataValidation>
    <dataValidation type="list" allowBlank="1" showInputMessage="1" showErrorMessage="1" sqref="L211">
      <formula1>"Mercado Envíos a cargo del comprador,Mercado Envíos gratis"</formula1>
    </dataValidation>
    <dataValidation type="list" allowBlank="1" showInputMessage="1" showErrorMessage="1" sqref="M211">
      <formula1>"Clásica,Premium"</formula1>
    </dataValidation>
    <dataValidation type="list" allowBlank="1" showInputMessage="1" showErrorMessage="1" sqref="O211">
      <formula1>"Activa,Inactiva"</formula1>
    </dataValidation>
    <dataValidation type="list" allowBlank="1" showInputMessage="1" showErrorMessage="1" sqref="J212">
      <formula1>"$,US$,UF"</formula1>
    </dataValidation>
    <dataValidation type="list" allowBlank="1" showInputMessage="1" showErrorMessage="1" sqref="K212">
      <formula1>"Usado,Nuevo"</formula1>
    </dataValidation>
    <dataValidation type="list" allowBlank="1" showInputMessage="1" showErrorMessage="1" sqref="L212">
      <formula1>"Mercado Envíos a cargo del comprador,Mercado Envíos por mi cuenta"</formula1>
    </dataValidation>
    <dataValidation type="list" allowBlank="1" showInputMessage="1" showErrorMessage="1" sqref="M212">
      <formula1>"Clásica,Premium"</formula1>
    </dataValidation>
    <dataValidation type="list" allowBlank="1" showInputMessage="1" showErrorMessage="1" sqref="O212">
      <formula1>"Activa,Inactiva"</formula1>
    </dataValidation>
    <dataValidation type="list" allowBlank="1" showInputMessage="1" showErrorMessage="1" sqref="J215">
      <formula1>"$,US$,UF"</formula1>
    </dataValidation>
    <dataValidation type="list" allowBlank="1" showInputMessage="1" showErrorMessage="1" sqref="K215">
      <formula1>"Usado,Nuevo"</formula1>
    </dataValidation>
    <dataValidation type="list" allowBlank="1" showInputMessage="1" showErrorMessage="1" sqref="L215">
      <formula1>"Mercado Envíos a cargo del comprador,Mercado Envíos por mi cuenta"</formula1>
    </dataValidation>
    <dataValidation type="list" allowBlank="1" showInputMessage="1" showErrorMessage="1" sqref="M215">
      <formula1>"Clásica,Premium"</formula1>
    </dataValidation>
    <dataValidation type="list" allowBlank="1" showInputMessage="1" showErrorMessage="1" sqref="O215">
      <formula1>"Activa,Inactiva"</formula1>
    </dataValidation>
    <dataValidation type="list" allowBlank="1" showInputMessage="1" showErrorMessage="1" sqref="J218">
      <formula1>"$,US$,UF"</formula1>
    </dataValidation>
    <dataValidation type="list" allowBlank="1" showInputMessage="1" showErrorMessage="1" sqref="K218">
      <formula1>"Usado,Nuevo"</formula1>
    </dataValidation>
    <dataValidation type="list" allowBlank="1" showInputMessage="1" showErrorMessage="1" sqref="L218">
      <formula1>"Mercado Envíos a cargo del comprador,Mercado Envíos gratis"</formula1>
    </dataValidation>
    <dataValidation type="list" allowBlank="1" showInputMessage="1" showErrorMessage="1" sqref="M218">
      <formula1>"Clásica,Premium"</formula1>
    </dataValidation>
    <dataValidation type="list" allowBlank="1" showInputMessage="1" showErrorMessage="1" sqref="O218">
      <formula1>"Activa,Inactiva"</formula1>
    </dataValidation>
    <dataValidation type="list" allowBlank="1" showInputMessage="1" showErrorMessage="1" sqref="J221">
      <formula1>"$,US$,UF"</formula1>
    </dataValidation>
    <dataValidation type="list" allowBlank="1" showInputMessage="1" showErrorMessage="1" sqref="K221">
      <formula1>"Usado,Nuevo"</formula1>
    </dataValidation>
    <dataValidation type="list" allowBlank="1" showInputMessage="1" showErrorMessage="1" sqref="L221">
      <formula1>"Mercado Envíos a cargo del comprador,Mercado Envíos gratis"</formula1>
    </dataValidation>
    <dataValidation type="list" allowBlank="1" showInputMessage="1" showErrorMessage="1" sqref="M221">
      <formula1>"Clásica,Premium"</formula1>
    </dataValidation>
    <dataValidation type="list" allowBlank="1" showInputMessage="1" showErrorMessage="1" sqref="O221">
      <formula1>"Activa,Inactiva"</formula1>
    </dataValidation>
    <dataValidation type="list" allowBlank="1" showInputMessage="1" showErrorMessage="1" sqref="J225">
      <formula1>"$,US$,UF"</formula1>
    </dataValidation>
    <dataValidation type="list" allowBlank="1" showInputMessage="1" showErrorMessage="1" sqref="K225">
      <formula1>"Usado,Nuevo"</formula1>
    </dataValidation>
    <dataValidation type="list" allowBlank="1" showInputMessage="1" showErrorMessage="1" sqref="L225">
      <formula1>"Mercado Envíos a cargo del comprador,Mercado Envíos gratis"</formula1>
    </dataValidation>
    <dataValidation type="list" allowBlank="1" showInputMessage="1" showErrorMessage="1" sqref="M225">
      <formula1>"Clásica,Premium"</formula1>
    </dataValidation>
    <dataValidation type="list" allowBlank="1" showInputMessage="1" showErrorMessage="1" sqref="O225">
      <formula1>"Activa,Inactiva"</formula1>
    </dataValidation>
    <dataValidation type="list" allowBlank="1" showInputMessage="1" showErrorMessage="1" sqref="J228">
      <formula1>"$,US$,UF"</formula1>
    </dataValidation>
    <dataValidation type="list" allowBlank="1" showInputMessage="1" showErrorMessage="1" sqref="K228">
      <formula1>"Usado,Nuevo"</formula1>
    </dataValidation>
    <dataValidation type="list" allowBlank="1" showInputMessage="1" showErrorMessage="1" sqref="L228">
      <formula1>"Mercado Envíos a cargo del comprador,Mercado Envíos por mi cuenta"</formula1>
    </dataValidation>
    <dataValidation type="list" allowBlank="1" showInputMessage="1" showErrorMessage="1" sqref="M228">
      <formula1>"Clásica,Premium"</formula1>
    </dataValidation>
    <dataValidation type="list" allowBlank="1" showInputMessage="1" showErrorMessage="1" sqref="O228">
      <formula1>"Activa,Inactiva"</formula1>
    </dataValidation>
    <dataValidation type="list" allowBlank="1" showInputMessage="1" showErrorMessage="1" sqref="J233">
      <formula1>"$,US$,UF"</formula1>
    </dataValidation>
    <dataValidation type="list" allowBlank="1" showInputMessage="1" showErrorMessage="1" sqref="K233">
      <formula1>"Nuevo"</formula1>
    </dataValidation>
    <dataValidation type="list" allowBlank="1" showInputMessage="1" showErrorMessage="1" sqref="L233">
      <formula1>"Mercado Envíos a cargo del comprador,Mercado Envíos gratis"</formula1>
    </dataValidation>
    <dataValidation type="list" allowBlank="1" showInputMessage="1" showErrorMessage="1" sqref="M233">
      <formula1>"Clásica,Premium"</formula1>
    </dataValidation>
    <dataValidation type="list" allowBlank="1" showInputMessage="1" showErrorMessage="1" sqref="O233">
      <formula1>"Activa,Inactiva"</formula1>
    </dataValidation>
    <dataValidation type="list" allowBlank="1" showInputMessage="1" showErrorMessage="1" sqref="J234">
      <formula1>"$,US$,UF"</formula1>
    </dataValidation>
    <dataValidation type="list" allowBlank="1" showInputMessage="1" showErrorMessage="1" sqref="K234">
      <formula1>"Usado,Nuevo"</formula1>
    </dataValidation>
    <dataValidation type="list" allowBlank="1" showInputMessage="1" showErrorMessage="1" sqref="L234">
      <formula1>"Mercado Envíos a cargo del comprador,Mercado Envíos por mi cuenta"</formula1>
    </dataValidation>
    <dataValidation type="list" allowBlank="1" showInputMessage="1" showErrorMessage="1" sqref="M234">
      <formula1>"Clásica,Premium"</formula1>
    </dataValidation>
    <dataValidation type="list" allowBlank="1" showInputMessage="1" showErrorMessage="1" sqref="O234">
      <formula1>"Activa,Inactiva"</formula1>
    </dataValidation>
    <dataValidation type="list" allowBlank="1" showInputMessage="1" showErrorMessage="1" sqref="J235">
      <formula1>"$,US$,UF"</formula1>
    </dataValidation>
    <dataValidation type="list" allowBlank="1" showInputMessage="1" showErrorMessage="1" sqref="K235">
      <formula1>"Usado,Nuevo"</formula1>
    </dataValidation>
    <dataValidation type="list" allowBlank="1" showInputMessage="1" showErrorMessage="1" sqref="L235">
      <formula1>"Mercado Envíos a cargo del comprador,Mercado Envíos por mi cuenta"</formula1>
    </dataValidation>
    <dataValidation type="list" allowBlank="1" showInputMessage="1" showErrorMessage="1" sqref="M235">
      <formula1>"Clásica,Premium"</formula1>
    </dataValidation>
    <dataValidation type="list" allowBlank="1" showInputMessage="1" showErrorMessage="1" sqref="O235">
      <formula1>"Activa,Inactiva"</formula1>
    </dataValidation>
    <dataValidation type="list" allowBlank="1" showInputMessage="1" showErrorMessage="1" sqref="J239">
      <formula1>"$,US$,UF"</formula1>
    </dataValidation>
    <dataValidation type="list" allowBlank="1" showInputMessage="1" showErrorMessage="1" sqref="K239">
      <formula1>"Usado,Nuevo"</formula1>
    </dataValidation>
    <dataValidation type="list" allowBlank="1" showInputMessage="1" showErrorMessage="1" sqref="L239">
      <formula1>"Mercado Envíos a cargo del comprador,Mercado Envíos gratis"</formula1>
    </dataValidation>
    <dataValidation type="list" allowBlank="1" showInputMessage="1" showErrorMessage="1" sqref="M239">
      <formula1>"Clásica,Premium"</formula1>
    </dataValidation>
    <dataValidation type="list" allowBlank="1" showInputMessage="1" showErrorMessage="1" sqref="O239">
      <formula1>"Activa,Inactiva"</formula1>
    </dataValidation>
    <dataValidation type="list" allowBlank="1" showInputMessage="1" showErrorMessage="1" sqref="J240">
      <formula1>"$,US$,UF"</formula1>
    </dataValidation>
    <dataValidation type="list" allowBlank="1" showInputMessage="1" showErrorMessage="1" sqref="K240">
      <formula1>"Usado,Nuevo"</formula1>
    </dataValidation>
    <dataValidation type="list" allowBlank="1" showInputMessage="1" showErrorMessage="1" sqref="L240">
      <formula1>"Mercado Envíos a cargo del comprador,Mercado Envíos gratis"</formula1>
    </dataValidation>
    <dataValidation type="list" allowBlank="1" showInputMessage="1" showErrorMessage="1" sqref="M240">
      <formula1>"Clásica,Premium"</formula1>
    </dataValidation>
    <dataValidation type="list" allowBlank="1" showInputMessage="1" showErrorMessage="1" sqref="O240">
      <formula1>"Activa,Inactiva"</formula1>
    </dataValidation>
    <dataValidation type="list" allowBlank="1" showInputMessage="1" showErrorMessage="1" sqref="J244">
      <formula1>"$,US$,UF"</formula1>
    </dataValidation>
    <dataValidation type="list" allowBlank="1" showInputMessage="1" showErrorMessage="1" sqref="K244">
      <formula1>"Usado,Nuevo"</formula1>
    </dataValidation>
    <dataValidation type="list" allowBlank="1" showInputMessage="1" showErrorMessage="1" sqref="L244">
      <formula1>"Mercado Envíos a cargo del comprador,Mercado Envíos gratis"</formula1>
    </dataValidation>
    <dataValidation type="list" allowBlank="1" showInputMessage="1" showErrorMessage="1" sqref="M244">
      <formula1>"Clásica,Premium"</formula1>
    </dataValidation>
    <dataValidation type="list" allowBlank="1" showInputMessage="1" showErrorMessage="1" sqref="O244">
      <formula1>"Activa,Inactiva"</formula1>
    </dataValidation>
    <dataValidation type="list" allowBlank="1" showInputMessage="1" showErrorMessage="1" sqref="J247">
      <formula1>"$,US$,UF"</formula1>
    </dataValidation>
    <dataValidation type="list" allowBlank="1" showInputMessage="1" showErrorMessage="1" sqref="K247">
      <formula1>"Usado,Nuevo"</formula1>
    </dataValidation>
    <dataValidation type="list" allowBlank="1" showInputMessage="1" showErrorMessage="1" sqref="L247">
      <formula1>"Mercado Envíos a cargo del comprador,Mercado Envíos por mi cuenta"</formula1>
    </dataValidation>
    <dataValidation type="list" allowBlank="1" showInputMessage="1" showErrorMessage="1" sqref="M247">
      <formula1>"Clásica,Premium"</formula1>
    </dataValidation>
    <dataValidation type="list" allowBlank="1" showInputMessage="1" showErrorMessage="1" sqref="O247">
      <formula1>"Activa,Inactiva"</formula1>
    </dataValidation>
    <dataValidation type="list" allowBlank="1" showInputMessage="1" showErrorMessage="1" sqref="J250">
      <formula1>"$,US$,UF"</formula1>
    </dataValidation>
    <dataValidation type="list" allowBlank="1" showInputMessage="1" showErrorMessage="1" sqref="K250">
      <formula1>"Usado,Nuevo"</formula1>
    </dataValidation>
    <dataValidation type="list" allowBlank="1" showInputMessage="1" showErrorMessage="1" sqref="L250">
      <formula1>"Mercado Envíos a cargo del comprador,Mercado Envíos gratis"</formula1>
    </dataValidation>
    <dataValidation type="list" allowBlank="1" showInputMessage="1" showErrorMessage="1" sqref="M250">
      <formula1>"Clásica,Premium"</formula1>
    </dataValidation>
    <dataValidation type="list" allowBlank="1" showInputMessage="1" showErrorMessage="1" sqref="O250">
      <formula1>"Activa,Inactiva"</formula1>
    </dataValidation>
    <dataValidation type="list" allowBlank="1" showInputMessage="1" showErrorMessage="1" sqref="J253">
      <formula1>"$,US$,UF"</formula1>
    </dataValidation>
    <dataValidation type="list" allowBlank="1" showInputMessage="1" showErrorMessage="1" sqref="K253">
      <formula1>"Usado,Nuevo"</formula1>
    </dataValidation>
    <dataValidation type="list" allowBlank="1" showInputMessage="1" showErrorMessage="1" sqref="L253">
      <formula1>"Mercado Envíos a cargo del comprador,Mercado Envíos por mi cuenta"</formula1>
    </dataValidation>
    <dataValidation type="list" allowBlank="1" showInputMessage="1" showErrorMessage="1" sqref="M253">
      <formula1>"Clásica,Premium"</formula1>
    </dataValidation>
    <dataValidation type="list" allowBlank="1" showInputMessage="1" showErrorMessage="1" sqref="O253">
      <formula1>"Activa,Inactiva"</formula1>
    </dataValidation>
    <dataValidation type="list" allowBlank="1" showInputMessage="1" showErrorMessage="1" sqref="J254">
      <formula1>"$,US$,UF"</formula1>
    </dataValidation>
    <dataValidation type="list" allowBlank="1" showInputMessage="1" showErrorMessage="1" sqref="K254">
      <formula1>"Usado,Nuevo"</formula1>
    </dataValidation>
    <dataValidation type="list" allowBlank="1" showInputMessage="1" showErrorMessage="1" sqref="L254">
      <formula1>"Mercado Envíos a cargo del comprador,Mercado Envíos gratis"</formula1>
    </dataValidation>
    <dataValidation type="list" allowBlank="1" showInputMessage="1" showErrorMessage="1" sqref="M254">
      <formula1>"Clásica,Premium"</formula1>
    </dataValidation>
    <dataValidation type="list" allowBlank="1" showInputMessage="1" showErrorMessage="1" sqref="O254">
      <formula1>"Activa,Inactiva"</formula1>
    </dataValidation>
    <dataValidation type="list" allowBlank="1" showInputMessage="1" showErrorMessage="1" sqref="J255">
      <formula1>"$,US$,UF"</formula1>
    </dataValidation>
    <dataValidation type="list" allowBlank="1" showInputMessage="1" showErrorMessage="1" sqref="K255">
      <formula1>"Usado,Nuevo"</formula1>
    </dataValidation>
    <dataValidation type="list" allowBlank="1" showInputMessage="1" showErrorMessage="1" sqref="L255">
      <formula1>"Mercado Envíos a cargo del comprador,Mercado Envíos gratis"</formula1>
    </dataValidation>
    <dataValidation type="list" allowBlank="1" showInputMessage="1" showErrorMessage="1" sqref="M255">
      <formula1>"Clásica,Premium"</formula1>
    </dataValidation>
    <dataValidation type="list" allowBlank="1" showInputMessage="1" showErrorMessage="1" sqref="O255">
      <formula1>"Activa,Inactiva"</formula1>
    </dataValidation>
    <dataValidation type="list" allowBlank="1" showInputMessage="1" showErrorMessage="1" sqref="J256">
      <formula1>"$,US$,UF"</formula1>
    </dataValidation>
    <dataValidation type="list" allowBlank="1" showInputMessage="1" showErrorMessage="1" sqref="K256">
      <formula1>"Usado,Nuevo"</formula1>
    </dataValidation>
    <dataValidation type="list" allowBlank="1" showInputMessage="1" showErrorMessage="1" sqref="L256">
      <formula1>"Mercado Envíos a cargo del comprador,Mercado Envíos gratis"</formula1>
    </dataValidation>
    <dataValidation type="list" allowBlank="1" showInputMessage="1" showErrorMessage="1" sqref="M256">
      <formula1>"Clásica,Premium"</formula1>
    </dataValidation>
    <dataValidation type="list" allowBlank="1" showInputMessage="1" showErrorMessage="1" sqref="O256">
      <formula1>"Activa,Inactiva"</formula1>
    </dataValidation>
    <dataValidation type="list" allowBlank="1" showInputMessage="1" showErrorMessage="1" sqref="J257">
      <formula1>"$,US$,UF"</formula1>
    </dataValidation>
    <dataValidation type="list" allowBlank="1" showInputMessage="1" showErrorMessage="1" sqref="K257">
      <formula1>"Usado,Nuevo"</formula1>
    </dataValidation>
    <dataValidation type="list" allowBlank="1" showInputMessage="1" showErrorMessage="1" sqref="L257">
      <formula1>"Mercado Envíos a cargo del comprador,Mercado Envíos gratis"</formula1>
    </dataValidation>
    <dataValidation type="list" allowBlank="1" showInputMessage="1" showErrorMessage="1" sqref="M257">
      <formula1>"Clásica,Premium"</formula1>
    </dataValidation>
    <dataValidation type="list" allowBlank="1" showInputMessage="1" showErrorMessage="1" sqref="O257">
      <formula1>"Activa,Inactiva"</formula1>
    </dataValidation>
    <dataValidation type="list" allowBlank="1" showInputMessage="1" showErrorMessage="1" sqref="J258">
      <formula1>"$,US$,UF"</formula1>
    </dataValidation>
    <dataValidation type="list" allowBlank="1" showInputMessage="1" showErrorMessage="1" sqref="K258">
      <formula1>"Usado,Nuevo"</formula1>
    </dataValidation>
    <dataValidation type="list" allowBlank="1" showInputMessage="1" showErrorMessage="1" sqref="L258">
      <formula1>"Mercado Envíos a cargo del comprador,Mercado Envíos gratis"</formula1>
    </dataValidation>
    <dataValidation type="list" allowBlank="1" showInputMessage="1" showErrorMessage="1" sqref="M258">
      <formula1>"Clásica,Premium"</formula1>
    </dataValidation>
    <dataValidation type="list" allowBlank="1" showInputMessage="1" showErrorMessage="1" sqref="O258">
      <formula1>"Activa,Inactiva"</formula1>
    </dataValidation>
    <dataValidation type="list" allowBlank="1" showInputMessage="1" showErrorMessage="1" sqref="J259">
      <formula1>"$,US$,UF"</formula1>
    </dataValidation>
    <dataValidation type="list" allowBlank="1" showInputMessage="1" showErrorMessage="1" sqref="K259">
      <formula1>"Usado,Nuevo"</formula1>
    </dataValidation>
    <dataValidation type="list" allowBlank="1" showInputMessage="1" showErrorMessage="1" sqref="L259">
      <formula1>"Mercado Envíos a cargo del comprador,Mercado Envíos gratis"</formula1>
    </dataValidation>
    <dataValidation type="list" allowBlank="1" showInputMessage="1" showErrorMessage="1" sqref="M259">
      <formula1>"Clásica,Premium"</formula1>
    </dataValidation>
    <dataValidation type="list" allowBlank="1" showInputMessage="1" showErrorMessage="1" sqref="O259">
      <formula1>"Activa,Inactiva"</formula1>
    </dataValidation>
    <dataValidation type="list" allowBlank="1" showInputMessage="1" showErrorMessage="1" sqref="J264">
      <formula1>"$,US$,UF"</formula1>
    </dataValidation>
    <dataValidation type="list" allowBlank="1" showInputMessage="1" showErrorMessage="1" sqref="K264">
      <formula1>"Usado,Nuevo"</formula1>
    </dataValidation>
    <dataValidation type="list" allowBlank="1" showInputMessage="1" showErrorMessage="1" sqref="L264">
      <formula1>"Mercado Envíos a cargo del comprador,Mercado Envíos gratis"</formula1>
    </dataValidation>
    <dataValidation type="list" allowBlank="1" showInputMessage="1" showErrorMessage="1" sqref="M264">
      <formula1>"Clásica,Premium"</formula1>
    </dataValidation>
    <dataValidation type="list" allowBlank="1" showInputMessage="1" showErrorMessage="1" sqref="O264">
      <formula1>"Activa,Inactiva"</formula1>
    </dataValidation>
    <dataValidation type="list" allowBlank="1" showInputMessage="1" showErrorMessage="1" sqref="J268">
      <formula1>"$,US$,UF"</formula1>
    </dataValidation>
    <dataValidation type="list" allowBlank="1" showInputMessage="1" showErrorMessage="1" sqref="K268">
      <formula1>"Usado,Nuevo"</formula1>
    </dataValidation>
    <dataValidation type="list" allowBlank="1" showInputMessage="1" showErrorMessage="1" sqref="L268">
      <formula1>"Mercado Envíos a cargo del comprador,Mercado Envíos gratis"</formula1>
    </dataValidation>
    <dataValidation type="list" allowBlank="1" showInputMessage="1" showErrorMessage="1" sqref="M268">
      <formula1>"Clásica,Premium"</formula1>
    </dataValidation>
    <dataValidation type="list" allowBlank="1" showInputMessage="1" showErrorMessage="1" sqref="O268">
      <formula1>"Activa,Inactiva"</formula1>
    </dataValidation>
    <dataValidation type="list" allowBlank="1" showInputMessage="1" showErrorMessage="1" sqref="J269">
      <formula1>"$,US$,UF"</formula1>
    </dataValidation>
    <dataValidation type="list" allowBlank="1" showInputMessage="1" showErrorMessage="1" sqref="K269">
      <formula1>"Usado,Nuevo"</formula1>
    </dataValidation>
    <dataValidation type="list" allowBlank="1" showInputMessage="1" showErrorMessage="1" sqref="L269">
      <formula1>"Mercado Envíos a cargo del comprador,Mercado Envíos gratis"</formula1>
    </dataValidation>
    <dataValidation type="list" allowBlank="1" showInputMessage="1" showErrorMessage="1" sqref="M269">
      <formula1>"Clásica,Premium"</formula1>
    </dataValidation>
    <dataValidation type="list" allowBlank="1" showInputMessage="1" showErrorMessage="1" sqref="O269">
      <formula1>"Activa,Inactiva"</formula1>
    </dataValidation>
    <dataValidation type="list" allowBlank="1" showInputMessage="1" showErrorMessage="1" sqref="J275">
      <formula1>"$,US$,UF"</formula1>
    </dataValidation>
    <dataValidation type="list" allowBlank="1" showInputMessage="1" showErrorMessage="1" sqref="K275">
      <formula1>"Usado,Nuevo"</formula1>
    </dataValidation>
    <dataValidation type="list" allowBlank="1" showInputMessage="1" showErrorMessage="1" sqref="L275">
      <formula1>"Mercado Envíos a cargo del comprador,Mercado Envíos gratis"</formula1>
    </dataValidation>
    <dataValidation type="list" allowBlank="1" showInputMessage="1" showErrorMessage="1" sqref="M275">
      <formula1>"Clásica,Premium"</formula1>
    </dataValidation>
    <dataValidation type="list" allowBlank="1" showInputMessage="1" showErrorMessage="1" sqref="O275">
      <formula1>"Activa,Inactiva"</formula1>
    </dataValidation>
    <dataValidation type="list" allowBlank="1" showInputMessage="1" showErrorMessage="1" sqref="J276">
      <formula1>"$,US$,UF"</formula1>
    </dataValidation>
    <dataValidation type="list" allowBlank="1" showInputMessage="1" showErrorMessage="1" sqref="K276">
      <formula1>"Usado,Nuevo"</formula1>
    </dataValidation>
    <dataValidation type="list" allowBlank="1" showInputMessage="1" showErrorMessage="1" sqref="L276">
      <formula1>"Mercado Envíos a cargo del comprador,Mercado Envíos por mi cuenta"</formula1>
    </dataValidation>
    <dataValidation type="list" allowBlank="1" showInputMessage="1" showErrorMessage="1" sqref="M276">
      <formula1>"Clásica,Premium"</formula1>
    </dataValidation>
    <dataValidation type="list" allowBlank="1" showInputMessage="1" showErrorMessage="1" sqref="O276">
      <formula1>"Activa,Inactiva"</formula1>
    </dataValidation>
    <dataValidation type="list" allowBlank="1" showInputMessage="1" showErrorMessage="1" sqref="J279">
      <formula1>"$,US$,UF"</formula1>
    </dataValidation>
    <dataValidation type="list" allowBlank="1" showInputMessage="1" showErrorMessage="1" sqref="K279">
      <formula1>"Usado,Nuevo"</formula1>
    </dataValidation>
    <dataValidation type="list" allowBlank="1" showInputMessage="1" showErrorMessage="1" sqref="L279">
      <formula1>"Mercado Envíos a cargo del comprador,Mercado Envíos gratis"</formula1>
    </dataValidation>
    <dataValidation type="list" allowBlank="1" showInputMessage="1" showErrorMessage="1" sqref="M279">
      <formula1>"Clásica,Premium"</formula1>
    </dataValidation>
    <dataValidation type="list" allowBlank="1" showInputMessage="1" showErrorMessage="1" sqref="O279">
      <formula1>"Activa,Inactiva"</formula1>
    </dataValidation>
    <dataValidation type="list" allowBlank="1" showInputMessage="1" showErrorMessage="1" sqref="J283">
      <formula1>"$,US$,UF"</formula1>
    </dataValidation>
    <dataValidation type="list" allowBlank="1" showInputMessage="1" showErrorMessage="1" sqref="K283">
      <formula1>"Usado,Nuevo"</formula1>
    </dataValidation>
    <dataValidation type="list" allowBlank="1" showInputMessage="1" showErrorMessage="1" sqref="L283">
      <formula1>"Mercado Envíos a cargo del comprador,Mercado Envíos por mi cuenta"</formula1>
    </dataValidation>
    <dataValidation type="list" allowBlank="1" showInputMessage="1" showErrorMessage="1" sqref="M283">
      <formula1>"Clásica,Premium"</formula1>
    </dataValidation>
    <dataValidation type="list" allowBlank="1" showInputMessage="1" showErrorMessage="1" sqref="O283">
      <formula1>"Activa,Inactiva"</formula1>
    </dataValidation>
    <dataValidation type="list" allowBlank="1" showInputMessage="1" showErrorMessage="1" sqref="J286">
      <formula1>"$,US$,UF"</formula1>
    </dataValidation>
    <dataValidation type="list" allowBlank="1" showInputMessage="1" showErrorMessage="1" sqref="K286">
      <formula1>"Usado,Nuevo"</formula1>
    </dataValidation>
    <dataValidation type="list" allowBlank="1" showInputMessage="1" showErrorMessage="1" sqref="L286">
      <formula1>"Mercado Envíos a cargo del comprador,Mercado Envíos gratis"</formula1>
    </dataValidation>
    <dataValidation type="list" allowBlank="1" showInputMessage="1" showErrorMessage="1" sqref="M286">
      <formula1>"Clásica,Premium"</formula1>
    </dataValidation>
    <dataValidation type="list" allowBlank="1" showInputMessage="1" showErrorMessage="1" sqref="O286">
      <formula1>"Activa,Inactiva"</formula1>
    </dataValidation>
    <dataValidation type="list" allowBlank="1" showInputMessage="1" showErrorMessage="1" sqref="J289">
      <formula1>"$,US$,UF"</formula1>
    </dataValidation>
    <dataValidation type="list" allowBlank="1" showInputMessage="1" showErrorMessage="1" sqref="K289">
      <formula1>"Usado,Nuevo"</formula1>
    </dataValidation>
    <dataValidation type="list" allowBlank="1" showInputMessage="1" showErrorMessage="1" sqref="L289">
      <formula1>"Mercado Envíos a cargo del comprador,Mercado Envíos gratis"</formula1>
    </dataValidation>
    <dataValidation type="list" allowBlank="1" showInputMessage="1" showErrorMessage="1" sqref="M289">
      <formula1>"Clásica,Premium"</formula1>
    </dataValidation>
    <dataValidation type="list" allowBlank="1" showInputMessage="1" showErrorMessage="1" sqref="O289">
      <formula1>"Activa,Inactiva"</formula1>
    </dataValidation>
    <dataValidation type="list" allowBlank="1" showInputMessage="1" showErrorMessage="1" sqref="J290">
      <formula1>"$,US$,UF"</formula1>
    </dataValidation>
    <dataValidation type="list" allowBlank="1" showInputMessage="1" showErrorMessage="1" sqref="K290">
      <formula1>"Nuevo"</formula1>
    </dataValidation>
    <dataValidation type="list" allowBlank="1" showInputMessage="1" showErrorMessage="1" sqref="L290">
      <formula1>"Mercado Envíos a cargo del comprador,Mercado Envíos gratis"</formula1>
    </dataValidation>
    <dataValidation type="list" allowBlank="1" showInputMessage="1" showErrorMessage="1" sqref="M290">
      <formula1>"Clásica,Premium"</formula1>
    </dataValidation>
    <dataValidation type="list" allowBlank="1" showInputMessage="1" showErrorMessage="1" sqref="O290">
      <formula1>"Activa,Inactiva"</formula1>
    </dataValidation>
    <dataValidation type="list" allowBlank="1" showInputMessage="1" showErrorMessage="1" sqref="J291">
      <formula1>"$,US$,UF"</formula1>
    </dataValidation>
    <dataValidation type="list" allowBlank="1" showInputMessage="1" showErrorMessage="1" sqref="K291">
      <formula1>"Nuevo"</formula1>
    </dataValidation>
    <dataValidation type="list" allowBlank="1" showInputMessage="1" showErrorMessage="1" sqref="L291">
      <formula1>"Mercado Envíos a cargo del comprador,Mercado Envíos por mi cuenta"</formula1>
    </dataValidation>
    <dataValidation type="list" allowBlank="1" showInputMessage="1" showErrorMessage="1" sqref="M291">
      <formula1>"Clásica,Premium"</formula1>
    </dataValidation>
    <dataValidation type="list" allowBlank="1" showInputMessage="1" showErrorMessage="1" sqref="O291">
      <formula1>"Activa,Inactiva"</formula1>
    </dataValidation>
    <dataValidation type="list" allowBlank="1" showInputMessage="1" showErrorMessage="1" sqref="J292">
      <formula1>"$,US$,UF"</formula1>
    </dataValidation>
    <dataValidation type="list" allowBlank="1" showInputMessage="1" showErrorMessage="1" sqref="K292">
      <formula1>"Usado,Nuevo"</formula1>
    </dataValidation>
    <dataValidation type="list" allowBlank="1" showInputMessage="1" showErrorMessage="1" sqref="L292">
      <formula1>"Mercado Envíos a cargo del comprador,Mercado Envíos gratis"</formula1>
    </dataValidation>
    <dataValidation type="list" allowBlank="1" showInputMessage="1" showErrorMessage="1" sqref="M292">
      <formula1>"Clásica,Premium"</formula1>
    </dataValidation>
    <dataValidation type="list" allowBlank="1" showInputMessage="1" showErrorMessage="1" sqref="O292">
      <formula1>"Activa,Inactiva"</formula1>
    </dataValidation>
    <dataValidation type="list" allowBlank="1" showInputMessage="1" showErrorMessage="1" sqref="J293">
      <formula1>"$,US$,UF"</formula1>
    </dataValidation>
    <dataValidation type="list" allowBlank="1" showInputMessage="1" showErrorMessage="1" sqref="K293">
      <formula1>"Usado,Nuevo,Reacondicionado"</formula1>
    </dataValidation>
    <dataValidation type="list" allowBlank="1" showInputMessage="1" showErrorMessage="1" sqref="L293">
      <formula1>"Mercado Envíos a cargo del comprador,Mercado Envíos gratis"</formula1>
    </dataValidation>
    <dataValidation type="list" allowBlank="1" showInputMessage="1" showErrorMessage="1" sqref="M293">
      <formula1>"Clásica,Premium"</formula1>
    </dataValidation>
    <dataValidation type="list" allowBlank="1" showInputMessage="1" showErrorMessage="1" sqref="O293">
      <formula1>"Activa,Inactiva"</formula1>
    </dataValidation>
    <dataValidation type="list" allowBlank="1" showInputMessage="1" showErrorMessage="1" sqref="J294">
      <formula1>"$,US$,UF"</formula1>
    </dataValidation>
    <dataValidation type="list" allowBlank="1" showInputMessage="1" showErrorMessage="1" sqref="K294">
      <formula1>"Usado,Nuevo"</formula1>
    </dataValidation>
    <dataValidation type="list" allowBlank="1" showInputMessage="1" showErrorMessage="1" sqref="L294">
      <formula1>"Mercado Envíos a cargo del comprador,Mercado Envíos gratis"</formula1>
    </dataValidation>
    <dataValidation type="list" allowBlank="1" showInputMessage="1" showErrorMessage="1" sqref="M294">
      <formula1>"Clásica,Premium"</formula1>
    </dataValidation>
    <dataValidation type="list" allowBlank="1" showInputMessage="1" showErrorMessage="1" sqref="O294">
      <formula1>"Activa,Inactiva"</formula1>
    </dataValidation>
    <dataValidation type="list" allowBlank="1" showInputMessage="1" showErrorMessage="1" sqref="J295">
      <formula1>"$,US$,UF"</formula1>
    </dataValidation>
    <dataValidation type="list" allowBlank="1" showInputMessage="1" showErrorMessage="1" sqref="K295">
      <formula1>"Usado,Nuevo"</formula1>
    </dataValidation>
    <dataValidation type="list" allowBlank="1" showInputMessage="1" showErrorMessage="1" sqref="L295">
      <formula1>"Mercado Envíos a cargo del comprador,Mercado Envíos gratis"</formula1>
    </dataValidation>
    <dataValidation type="list" allowBlank="1" showInputMessage="1" showErrorMessage="1" sqref="M295">
      <formula1>"Clásica,Premium"</formula1>
    </dataValidation>
    <dataValidation type="list" allowBlank="1" showInputMessage="1" showErrorMessage="1" sqref="O295">
      <formula1>"Activa,Inactiva"</formula1>
    </dataValidation>
    <dataValidation type="list" allowBlank="1" showInputMessage="1" showErrorMessage="1" sqref="J296">
      <formula1>"$,US$,UF"</formula1>
    </dataValidation>
    <dataValidation type="list" allowBlank="1" showInputMessage="1" showErrorMessage="1" sqref="K296">
      <formula1>"Usado,Nuevo"</formula1>
    </dataValidation>
    <dataValidation type="list" allowBlank="1" showInputMessage="1" showErrorMessage="1" sqref="L296">
      <formula1>"Mercado Envíos a cargo del comprador,Mercado Envíos gratis"</formula1>
    </dataValidation>
    <dataValidation type="list" allowBlank="1" showInputMessage="1" showErrorMessage="1" sqref="M296">
      <formula1>"Clásica,Premium"</formula1>
    </dataValidation>
    <dataValidation type="list" allowBlank="1" showInputMessage="1" showErrorMessage="1" sqref="O296">
      <formula1>"Activa,Inactiva"</formula1>
    </dataValidation>
    <dataValidation type="list" allowBlank="1" showInputMessage="1" showErrorMessage="1" sqref="J297">
      <formula1>"$,US$,UF"</formula1>
    </dataValidation>
    <dataValidation type="list" allowBlank="1" showInputMessage="1" showErrorMessage="1" sqref="K297">
      <formula1>"Usado,Nuevo"</formula1>
    </dataValidation>
    <dataValidation type="list" allowBlank="1" showInputMessage="1" showErrorMessage="1" sqref="L297">
      <formula1>"Mercado Envíos a cargo del comprador,Mercado Envíos gratis"</formula1>
    </dataValidation>
    <dataValidation type="list" allowBlank="1" showInputMessage="1" showErrorMessage="1" sqref="M297">
      <formula1>"Clásica,Premium"</formula1>
    </dataValidation>
    <dataValidation type="list" allowBlank="1" showInputMessage="1" showErrorMessage="1" sqref="O297">
      <formula1>"Activa,Inactiva"</formula1>
    </dataValidation>
    <dataValidation type="list" allowBlank="1" showInputMessage="1" showErrorMessage="1" sqref="J298">
      <formula1>"$,US$,UF"</formula1>
    </dataValidation>
    <dataValidation type="list" allowBlank="1" showInputMessage="1" showErrorMessage="1" sqref="K298">
      <formula1>"Usado,Nuevo"</formula1>
    </dataValidation>
    <dataValidation type="list" allowBlank="1" showInputMessage="1" showErrorMessage="1" sqref="L298">
      <formula1>"Mercado Envíos a cargo del comprador,Mercado Envíos gratis"</formula1>
    </dataValidation>
    <dataValidation type="list" allowBlank="1" showInputMessage="1" showErrorMessage="1" sqref="M298">
      <formula1>"Clásica,Premium"</formula1>
    </dataValidation>
    <dataValidation type="list" allowBlank="1" showInputMessage="1" showErrorMessage="1" sqref="O298">
      <formula1>"Activa,Inactiva"</formula1>
    </dataValidation>
    <dataValidation type="list" allowBlank="1" showInputMessage="1" showErrorMessage="1" sqref="J302">
      <formula1>"$,US$,UF"</formula1>
    </dataValidation>
    <dataValidation type="list" allowBlank="1" showInputMessage="1" showErrorMessage="1" sqref="L302">
      <formula1>"Mercado Envíos a cargo del comprador,Mercado Envíos gratis"</formula1>
    </dataValidation>
    <dataValidation type="list" allowBlank="1" showInputMessage="1" showErrorMessage="1" sqref="M302">
      <formula1>"Clásica,Premium"</formula1>
    </dataValidation>
    <dataValidation type="list" allowBlank="1" showInputMessage="1" showErrorMessage="1" sqref="O302">
      <formula1>"Activa,Inactiva"</formula1>
    </dataValidation>
    <dataValidation type="list" allowBlank="1" showInputMessage="1" showErrorMessage="1" sqref="J303">
      <formula1>"$,US$,UF"</formula1>
    </dataValidation>
    <dataValidation type="list" allowBlank="1" showInputMessage="1" showErrorMessage="1" sqref="K303">
      <formula1>"Usado,Nuevo"</formula1>
    </dataValidation>
    <dataValidation type="list" allowBlank="1" showInputMessage="1" showErrorMessage="1" sqref="L303">
      <formula1>"Mercado Envíos a cargo del comprador,Mercado Envíos gratis"</formula1>
    </dataValidation>
    <dataValidation type="list" allowBlank="1" showInputMessage="1" showErrorMessage="1" sqref="M303">
      <formula1>"Clásica,Premium"</formula1>
    </dataValidation>
    <dataValidation type="list" allowBlank="1" showInputMessage="1" showErrorMessage="1" sqref="O303">
      <formula1>"Activa,Inactiva"</formula1>
    </dataValidation>
    <dataValidation type="list" allowBlank="1" showInputMessage="1" showErrorMessage="1" sqref="J307">
      <formula1>"$,US$,UF"</formula1>
    </dataValidation>
    <dataValidation type="list" allowBlank="1" showInputMessage="1" showErrorMessage="1" sqref="K307">
      <formula1>"Usado,Nuevo"</formula1>
    </dataValidation>
    <dataValidation type="list" allowBlank="1" showInputMessage="1" showErrorMessage="1" sqref="L307">
      <formula1>"Mercado Envíos a cargo del comprador,Mercado Envíos gratis"</formula1>
    </dataValidation>
    <dataValidation type="list" allowBlank="1" showInputMessage="1" showErrorMessage="1" sqref="M307">
      <formula1>"Clásica,Premium"</formula1>
    </dataValidation>
    <dataValidation type="list" allowBlank="1" showInputMessage="1" showErrorMessage="1" sqref="O307">
      <formula1>"Activa,Inactiva"</formula1>
    </dataValidation>
    <dataValidation type="list" allowBlank="1" showInputMessage="1" showErrorMessage="1" sqref="J311">
      <formula1>"$,US$,UF"</formula1>
    </dataValidation>
    <dataValidation type="list" allowBlank="1" showInputMessage="1" showErrorMessage="1" sqref="K311">
      <formula1>"Usado,Nuevo"</formula1>
    </dataValidation>
    <dataValidation type="list" allowBlank="1" showInputMessage="1" showErrorMessage="1" sqref="L311">
      <formula1>"Mercado Envíos a cargo del comprador,Mercado Envíos por mi cuenta"</formula1>
    </dataValidation>
    <dataValidation type="list" allowBlank="1" showInputMessage="1" showErrorMessage="1" sqref="M311">
      <formula1>"Clásica,Premium"</formula1>
    </dataValidation>
    <dataValidation type="list" allowBlank="1" showInputMessage="1" showErrorMessage="1" sqref="O311">
      <formula1>"Activa,Inactiva"</formula1>
    </dataValidation>
    <dataValidation type="list" allowBlank="1" showInputMessage="1" showErrorMessage="1" sqref="J312">
      <formula1>"$,US$,UF"</formula1>
    </dataValidation>
    <dataValidation type="list" allowBlank="1" showInputMessage="1" showErrorMessage="1" sqref="K312">
      <formula1>"Usado,Nuevo"</formula1>
    </dataValidation>
    <dataValidation type="list" allowBlank="1" showInputMessage="1" showErrorMessage="1" sqref="L312">
      <formula1>"Mercado Envíos a cargo del comprador,Mercado Envíos gratis"</formula1>
    </dataValidation>
    <dataValidation type="list" allowBlank="1" showInputMessage="1" showErrorMessage="1" sqref="M312">
      <formula1>"Clásica,Premium"</formula1>
    </dataValidation>
    <dataValidation type="list" allowBlank="1" showInputMessage="1" showErrorMessage="1" sqref="O312">
      <formula1>"Activa,Inactiva"</formula1>
    </dataValidation>
    <dataValidation type="list" allowBlank="1" showInputMessage="1" showErrorMessage="1" sqref="J315">
      <formula1>"$,US$,UF"</formula1>
    </dataValidation>
    <dataValidation type="list" allowBlank="1" showInputMessage="1" showErrorMessage="1" sqref="K315">
      <formula1>"Usado,Nuevo"</formula1>
    </dataValidation>
    <dataValidation type="list" allowBlank="1" showInputMessage="1" showErrorMessage="1" sqref="L315">
      <formula1>"Mercado Envíos a cargo del comprador,Mercado Envíos por mi cuenta"</formula1>
    </dataValidation>
    <dataValidation type="list" allowBlank="1" showInputMessage="1" showErrorMessage="1" sqref="M315">
      <formula1>"Clásica,Premium"</formula1>
    </dataValidation>
    <dataValidation type="list" allowBlank="1" showInputMessage="1" showErrorMessage="1" sqref="O315">
      <formula1>"Activa,Inactiva"</formula1>
    </dataValidation>
    <dataValidation type="list" allowBlank="1" showInputMessage="1" showErrorMessage="1" sqref="J316">
      <formula1>"$,US$,UF"</formula1>
    </dataValidation>
    <dataValidation type="list" allowBlank="1" showInputMessage="1" showErrorMessage="1" sqref="K316">
      <formula1>"Usado,Nuevo"</formula1>
    </dataValidation>
    <dataValidation type="list" allowBlank="1" showInputMessage="1" showErrorMessage="1" sqref="L316">
      <formula1>"Mercado Envíos a cargo del comprador,Mercado Envíos por mi cuenta"</formula1>
    </dataValidation>
    <dataValidation type="list" allowBlank="1" showInputMessage="1" showErrorMessage="1" sqref="M316">
      <formula1>"Clásica,Premium"</formula1>
    </dataValidation>
    <dataValidation type="list" allowBlank="1" showInputMessage="1" showErrorMessage="1" sqref="O316">
      <formula1>"Activa,Inactiva"</formula1>
    </dataValidation>
    <dataValidation type="list" allowBlank="1" showInputMessage="1" showErrorMessage="1" sqref="J321">
      <formula1>"$,US$,UF"</formula1>
    </dataValidation>
    <dataValidation type="list" allowBlank="1" showInputMessage="1" showErrorMessage="1" sqref="K321">
      <formula1>"Usado,Nuevo"</formula1>
    </dataValidation>
    <dataValidation type="list" allowBlank="1" showInputMessage="1" showErrorMessage="1" sqref="L321">
      <formula1>"Mercado Envíos a cargo del comprador,Mercado Envíos gratis"</formula1>
    </dataValidation>
    <dataValidation type="list" allowBlank="1" showInputMessage="1" showErrorMessage="1" sqref="M321">
      <formula1>"Clásica,Premium"</formula1>
    </dataValidation>
    <dataValidation type="list" allowBlank="1" showInputMessage="1" showErrorMessage="1" sqref="O321">
      <formula1>"Activa,Inactiva"</formula1>
    </dataValidation>
    <dataValidation type="list" allowBlank="1" showInputMessage="1" showErrorMessage="1" sqref="J322">
      <formula1>"$,US$,UF"</formula1>
    </dataValidation>
    <dataValidation type="list" allowBlank="1" showInputMessage="1" showErrorMessage="1" sqref="K322">
      <formula1>"Usado,Nuevo"</formula1>
    </dataValidation>
    <dataValidation type="list" allowBlank="1" showInputMessage="1" showErrorMessage="1" sqref="L322">
      <formula1>"Mercado Envíos a cargo del comprador,Mercado Envíos gratis"</formula1>
    </dataValidation>
    <dataValidation type="list" allowBlank="1" showInputMessage="1" showErrorMessage="1" sqref="M322">
      <formula1>"Clásica,Premium"</formula1>
    </dataValidation>
    <dataValidation type="list" allowBlank="1" showInputMessage="1" showErrorMessage="1" sqref="O322">
      <formula1>"Activa,Inactiva"</formula1>
    </dataValidation>
    <dataValidation type="list" allowBlank="1" showInputMessage="1" showErrorMessage="1" sqref="J326">
      <formula1>"$,US$,UF"</formula1>
    </dataValidation>
    <dataValidation type="list" allowBlank="1" showInputMessage="1" showErrorMessage="1" sqref="K326">
      <formula1>"Usado,Nuevo"</formula1>
    </dataValidation>
    <dataValidation type="list" allowBlank="1" showInputMessage="1" showErrorMessage="1" sqref="L326">
      <formula1>"Mercado Envíos a cargo del comprador,Mercado Envíos gratis"</formula1>
    </dataValidation>
    <dataValidation type="list" allowBlank="1" showInputMessage="1" showErrorMessage="1" sqref="M326">
      <formula1>"Clásica,Premium"</formula1>
    </dataValidation>
    <dataValidation type="list" allowBlank="1" showInputMessage="1" showErrorMessage="1" sqref="O326">
      <formula1>"Activa,Inactiva"</formula1>
    </dataValidation>
    <dataValidation type="list" allowBlank="1" showInputMessage="1" showErrorMessage="1" sqref="J327">
      <formula1>"$,US$,UF"</formula1>
    </dataValidation>
    <dataValidation type="list" allowBlank="1" showInputMessage="1" showErrorMessage="1" sqref="K327">
      <formula1>"Usado,Nuevo"</formula1>
    </dataValidation>
    <dataValidation type="list" allowBlank="1" showInputMessage="1" showErrorMessage="1" sqref="L327">
      <formula1>"Mercado Envíos a cargo del comprador,Mercado Envíos gratis"</formula1>
    </dataValidation>
    <dataValidation type="list" allowBlank="1" showInputMessage="1" showErrorMessage="1" sqref="M327">
      <formula1>"Clásica,Premium"</formula1>
    </dataValidation>
    <dataValidation type="list" allowBlank="1" showInputMessage="1" showErrorMessage="1" sqref="O327">
      <formula1>"Activa,Inactiva"</formula1>
    </dataValidation>
    <dataValidation type="list" allowBlank="1" showInputMessage="1" showErrorMessage="1" sqref="J328">
      <formula1>"$,US$,UF"</formula1>
    </dataValidation>
    <dataValidation type="list" allowBlank="1" showInputMessage="1" showErrorMessage="1" sqref="K328">
      <formula1>"Usado,Nuevo"</formula1>
    </dataValidation>
    <dataValidation type="list" allowBlank="1" showInputMessage="1" showErrorMessage="1" sqref="L328">
      <formula1>"Mercado Envíos a cargo del comprador,Mercado Envíos gratis"</formula1>
    </dataValidation>
    <dataValidation type="list" allowBlank="1" showInputMessage="1" showErrorMessage="1" sqref="M328">
      <formula1>"Clásica,Premium"</formula1>
    </dataValidation>
    <dataValidation type="list" allowBlank="1" showInputMessage="1" showErrorMessage="1" sqref="O328">
      <formula1>"Activa,Inactiva"</formula1>
    </dataValidation>
    <dataValidation type="list" allowBlank="1" showInputMessage="1" showErrorMessage="1" sqref="J332">
      <formula1>"$,US$,UF"</formula1>
    </dataValidation>
    <dataValidation type="list" allowBlank="1" showInputMessage="1" showErrorMessage="1" sqref="K332">
      <formula1>"Usado,Nuevo"</formula1>
    </dataValidation>
    <dataValidation type="list" allowBlank="1" showInputMessage="1" showErrorMessage="1" sqref="L332">
      <formula1>"Mercado Envíos a cargo del comprador,Mercado Envíos gratis"</formula1>
    </dataValidation>
    <dataValidation type="list" allowBlank="1" showInputMessage="1" showErrorMessage="1" sqref="M332">
      <formula1>"Clásica,Premium"</formula1>
    </dataValidation>
    <dataValidation type="list" allowBlank="1" showInputMessage="1" showErrorMessage="1" sqref="O332">
      <formula1>"Activa,Inactiva"</formula1>
    </dataValidation>
    <dataValidation type="list" allowBlank="1" showInputMessage="1" showErrorMessage="1" sqref="J333">
      <formula1>"$,US$,UF"</formula1>
    </dataValidation>
    <dataValidation type="list" allowBlank="1" showInputMessage="1" showErrorMessage="1" sqref="K333">
      <formula1>"Usado,Nuevo"</formula1>
    </dataValidation>
    <dataValidation type="list" allowBlank="1" showInputMessage="1" showErrorMessage="1" sqref="L333">
      <formula1>"Mercado Envíos a cargo del comprador,Mercado Envíos gratis"</formula1>
    </dataValidation>
    <dataValidation type="list" allowBlank="1" showInputMessage="1" showErrorMessage="1" sqref="M333">
      <formula1>"Clásica,Premium"</formula1>
    </dataValidation>
    <dataValidation type="list" allowBlank="1" showInputMessage="1" showErrorMessage="1" sqref="O333">
      <formula1>"Activa,Inactiva"</formula1>
    </dataValidation>
    <dataValidation type="list" allowBlank="1" showInputMessage="1" showErrorMessage="1" sqref="J334">
      <formula1>"$,US$,UF"</formula1>
    </dataValidation>
    <dataValidation type="list" allowBlank="1" showInputMessage="1" showErrorMessage="1" sqref="K334">
      <formula1>"Usado,Nuevo"</formula1>
    </dataValidation>
    <dataValidation type="list" allowBlank="1" showInputMessage="1" showErrorMessage="1" sqref="L334">
      <formula1>"Mercado Envíos a cargo del comprador,Mercado Envíos gratis"</formula1>
    </dataValidation>
    <dataValidation type="list" allowBlank="1" showInputMessage="1" showErrorMessage="1" sqref="M334">
      <formula1>"Clásica,Premium"</formula1>
    </dataValidation>
    <dataValidation type="list" allowBlank="1" showInputMessage="1" showErrorMessage="1" sqref="O334">
      <formula1>"Activa,Inactiva"</formula1>
    </dataValidation>
    <dataValidation type="list" allowBlank="1" showInputMessage="1" showErrorMessage="1" sqref="J338">
      <formula1>"$,US$,UF"</formula1>
    </dataValidation>
    <dataValidation type="list" allowBlank="1" showInputMessage="1" showErrorMessage="1" sqref="K338">
      <formula1>"Usado,Nuevo"</formula1>
    </dataValidation>
    <dataValidation type="list" allowBlank="1" showInputMessage="1" showErrorMessage="1" sqref="L338">
      <formula1>"Mercado Envíos a cargo del comprador,Mercado Envíos gratis"</formula1>
    </dataValidation>
    <dataValidation type="list" allowBlank="1" showInputMessage="1" showErrorMessage="1" sqref="M338">
      <formula1>"Clásica,Premium"</formula1>
    </dataValidation>
    <dataValidation type="list" allowBlank="1" showInputMessage="1" showErrorMessage="1" sqref="O338">
      <formula1>"Activa,Inactiva"</formula1>
    </dataValidation>
    <dataValidation type="list" allowBlank="1" showInputMessage="1" showErrorMessage="1" sqref="J339">
      <formula1>"$,US$,UF"</formula1>
    </dataValidation>
    <dataValidation type="list" allowBlank="1" showInputMessage="1" showErrorMessage="1" sqref="K339">
      <formula1>"Usado,Nuevo"</formula1>
    </dataValidation>
    <dataValidation type="list" allowBlank="1" showInputMessage="1" showErrorMessage="1" sqref="L339">
      <formula1>"Mercado Envíos a cargo del comprador,Mercado Envíos gratis"</formula1>
    </dataValidation>
    <dataValidation type="list" allowBlank="1" showInputMessage="1" showErrorMessage="1" sqref="M339">
      <formula1>"Clásica,Premium"</formula1>
    </dataValidation>
    <dataValidation type="list" allowBlank="1" showInputMessage="1" showErrorMessage="1" sqref="O339">
      <formula1>"Activa,Inactiva"</formula1>
    </dataValidation>
    <dataValidation type="list" allowBlank="1" showInputMessage="1" showErrorMessage="1" sqref="J340">
      <formula1>"$,US$,UF"</formula1>
    </dataValidation>
    <dataValidation type="list" allowBlank="1" showInputMessage="1" showErrorMessage="1" sqref="K340">
      <formula1>"Usado,Nuevo"</formula1>
    </dataValidation>
    <dataValidation type="list" allowBlank="1" showInputMessage="1" showErrorMessage="1" sqref="L340">
      <formula1>"Mercado Envíos a cargo del comprador,Mercado Envíos gratis"</formula1>
    </dataValidation>
    <dataValidation type="list" allowBlank="1" showInputMessage="1" showErrorMessage="1" sqref="M340">
      <formula1>"Clásica,Premium"</formula1>
    </dataValidation>
    <dataValidation type="list" allowBlank="1" showInputMessage="1" showErrorMessage="1" sqref="O340">
      <formula1>"Activa,Inactiva"</formula1>
    </dataValidation>
    <dataValidation type="list" allowBlank="1" showInputMessage="1" showErrorMessage="1" sqref="J341">
      <formula1>"$,US$,UF"</formula1>
    </dataValidation>
    <dataValidation type="list" allowBlank="1" showInputMessage="1" showErrorMessage="1" sqref="K341">
      <formula1>"Usado,Nuevo"</formula1>
    </dataValidation>
    <dataValidation type="list" allowBlank="1" showInputMessage="1" showErrorMessage="1" sqref="L341">
      <formula1>"Mercado Envíos a cargo del comprador,Mercado Envíos gratis"</formula1>
    </dataValidation>
    <dataValidation type="list" allowBlank="1" showInputMessage="1" showErrorMessage="1" sqref="M341">
      <formula1>"Clásica,Premium"</formula1>
    </dataValidation>
    <dataValidation type="list" allowBlank="1" showInputMessage="1" showErrorMessage="1" sqref="O341">
      <formula1>"Activa,Inactiva"</formula1>
    </dataValidation>
    <dataValidation type="list" allowBlank="1" showInputMessage="1" showErrorMessage="1" sqref="J342">
      <formula1>"$,US$,UF"</formula1>
    </dataValidation>
    <dataValidation type="list" allowBlank="1" showInputMessage="1" showErrorMessage="1" sqref="K342">
      <formula1>"Nuevo"</formula1>
    </dataValidation>
    <dataValidation type="list" allowBlank="1" showInputMessage="1" showErrorMessage="1" sqref="L342">
      <formula1>"Mercado Envíos a cargo del comprador,Mercado Envíos gratis"</formula1>
    </dataValidation>
    <dataValidation type="list" allowBlank="1" showInputMessage="1" showErrorMessage="1" sqref="M342">
      <formula1>"Clásica,Premium"</formula1>
    </dataValidation>
    <dataValidation type="list" allowBlank="1" showInputMessage="1" showErrorMessage="1" sqref="O342">
      <formula1>"Activa,Inactiva"</formula1>
    </dataValidation>
    <dataValidation type="list" allowBlank="1" showInputMessage="1" showErrorMessage="1" sqref="J343">
      <formula1>"$,US$,UF"</formula1>
    </dataValidation>
    <dataValidation type="list" allowBlank="1" showInputMessage="1" showErrorMessage="1" sqref="K343">
      <formula1>"Usado,Nuevo"</formula1>
    </dataValidation>
    <dataValidation type="list" allowBlank="1" showInputMessage="1" showErrorMessage="1" sqref="L343">
      <formula1>"Mercado Envíos a cargo del comprador,Mercado Envíos gratis"</formula1>
    </dataValidation>
    <dataValidation type="list" allowBlank="1" showInputMessage="1" showErrorMessage="1" sqref="M343">
      <formula1>"Clásica,Premium"</formula1>
    </dataValidation>
    <dataValidation type="list" allowBlank="1" showInputMessage="1" showErrorMessage="1" sqref="O343">
      <formula1>"Activa,Inactiva"</formula1>
    </dataValidation>
    <dataValidation type="list" allowBlank="1" showInputMessage="1" showErrorMessage="1" sqref="J344">
      <formula1>"$,US$,UF"</formula1>
    </dataValidation>
    <dataValidation type="list" allowBlank="1" showInputMessage="1" showErrorMessage="1" sqref="K344">
      <formula1>"Usado,Nuevo"</formula1>
    </dataValidation>
    <dataValidation type="list" allowBlank="1" showInputMessage="1" showErrorMessage="1" sqref="L344">
      <formula1>"Mercado Envíos a cargo del comprador,Mercado Envíos gratis"</formula1>
    </dataValidation>
    <dataValidation type="list" allowBlank="1" showInputMessage="1" showErrorMessage="1" sqref="M344">
      <formula1>"Clásica,Premium"</formula1>
    </dataValidation>
    <dataValidation type="list" allowBlank="1" showInputMessage="1" showErrorMessage="1" sqref="O344">
      <formula1>"Activa,Inactiva"</formula1>
    </dataValidation>
    <dataValidation type="list" allowBlank="1" showInputMessage="1" showErrorMessage="1" sqref="J347">
      <formula1>"$,US$,UF"</formula1>
    </dataValidation>
    <dataValidation type="list" allowBlank="1" showInputMessage="1" showErrorMessage="1" sqref="K347">
      <formula1>"Usado,Nuevo"</formula1>
    </dataValidation>
    <dataValidation type="list" allowBlank="1" showInputMessage="1" showErrorMessage="1" sqref="L347">
      <formula1>"Mercado Envíos a cargo del comprador,Mercado Envíos gratis"</formula1>
    </dataValidation>
    <dataValidation type="list" allowBlank="1" showInputMessage="1" showErrorMessage="1" sqref="M347">
      <formula1>"Clásica,Premium"</formula1>
    </dataValidation>
    <dataValidation type="list" allowBlank="1" showInputMessage="1" showErrorMessage="1" sqref="O347">
      <formula1>"Activa,Inactiva"</formula1>
    </dataValidation>
    <dataValidation type="list" allowBlank="1" showInputMessage="1" showErrorMessage="1" sqref="J348">
      <formula1>"$,US$,UF"</formula1>
    </dataValidation>
    <dataValidation type="list" allowBlank="1" showInputMessage="1" showErrorMessage="1" sqref="K348">
      <formula1>"Usado,Nuevo"</formula1>
    </dataValidation>
    <dataValidation type="list" allowBlank="1" showInputMessage="1" showErrorMessage="1" sqref="L348">
      <formula1>"Mercado Envíos a cargo del comprador,Mercado Envíos gratis"</formula1>
    </dataValidation>
    <dataValidation type="list" allowBlank="1" showInputMessage="1" showErrorMessage="1" sqref="M348">
      <formula1>"Clásica,Premium"</formula1>
    </dataValidation>
    <dataValidation type="list" allowBlank="1" showInputMessage="1" showErrorMessage="1" sqref="O348">
      <formula1>"Activa,Inactiva"</formula1>
    </dataValidation>
    <dataValidation type="list" allowBlank="1" showInputMessage="1" showErrorMessage="1" sqref="J349">
      <formula1>"$,US$,UF"</formula1>
    </dataValidation>
    <dataValidation type="list" allowBlank="1" showInputMessage="1" showErrorMessage="1" sqref="K349">
      <formula1>"Usado,Nuevo"</formula1>
    </dataValidation>
    <dataValidation type="list" allowBlank="1" showInputMessage="1" showErrorMessage="1" sqref="L349">
      <formula1>"Mercado Envíos a cargo del comprador,Mercado Envíos gratis"</formula1>
    </dataValidation>
    <dataValidation type="list" allowBlank="1" showInputMessage="1" showErrorMessage="1" sqref="M349">
      <formula1>"Clásica,Premium"</formula1>
    </dataValidation>
    <dataValidation type="list" allowBlank="1" showInputMessage="1" showErrorMessage="1" sqref="O349">
      <formula1>"Activa,Inactiva"</formula1>
    </dataValidation>
    <dataValidation type="list" allowBlank="1" showInputMessage="1" showErrorMessage="1" sqref="J350">
      <formula1>"$,US$,UF"</formula1>
    </dataValidation>
    <dataValidation type="list" allowBlank="1" showInputMessage="1" showErrorMessage="1" sqref="K350">
      <formula1>"Usado,Nuevo"</formula1>
    </dataValidation>
    <dataValidation type="list" allowBlank="1" showInputMessage="1" showErrorMessage="1" sqref="L350">
      <formula1>"Mercado Envíos a cargo del comprador,Mercado Envíos por mi cuenta"</formula1>
    </dataValidation>
    <dataValidation type="list" allowBlank="1" showInputMessage="1" showErrorMessage="1" sqref="M350">
      <formula1>"Clásica,Premium"</formula1>
    </dataValidation>
    <dataValidation type="list" allowBlank="1" showInputMessage="1" showErrorMessage="1" sqref="O350">
      <formula1>"Activa,Inactiva"</formula1>
    </dataValidation>
    <dataValidation type="list" allowBlank="1" showInputMessage="1" showErrorMessage="1" sqref="J353">
      <formula1>"$,US$,UF"</formula1>
    </dataValidation>
    <dataValidation type="list" allowBlank="1" showInputMessage="1" showErrorMessage="1" sqref="K353">
      <formula1>"Usado,Nuevo"</formula1>
    </dataValidation>
    <dataValidation type="list" allowBlank="1" showInputMessage="1" showErrorMessage="1" sqref="L353">
      <formula1>"Mercado Envíos a cargo del comprador,Mercado Envíos gratis"</formula1>
    </dataValidation>
    <dataValidation type="list" allowBlank="1" showInputMessage="1" showErrorMessage="1" sqref="M353">
      <formula1>"Clásica,Premium"</formula1>
    </dataValidation>
    <dataValidation type="list" allowBlank="1" showInputMessage="1" showErrorMessage="1" sqref="O353">
      <formula1>"Activa,Inactiva"</formula1>
    </dataValidation>
    <dataValidation type="list" allowBlank="1" showInputMessage="1" showErrorMessage="1" sqref="J354">
      <formula1>"$,US$,UF"</formula1>
    </dataValidation>
    <dataValidation type="list" allowBlank="1" showInputMessage="1" showErrorMessage="1" sqref="K354">
      <formula1>"Usado,Nuevo"</formula1>
    </dataValidation>
    <dataValidation type="list" allowBlank="1" showInputMessage="1" showErrorMessage="1" sqref="L354">
      <formula1>"Mercado Envíos a cargo del comprador,Mercado Envíos por mi cuenta"</formula1>
    </dataValidation>
    <dataValidation type="list" allowBlank="1" showInputMessage="1" showErrorMessage="1" sqref="M354">
      <formula1>"Clásica,Premium"</formula1>
    </dataValidation>
    <dataValidation type="list" allowBlank="1" showInputMessage="1" showErrorMessage="1" sqref="O354">
      <formula1>"Activa,Inactiva"</formula1>
    </dataValidation>
    <dataValidation type="list" allowBlank="1" showInputMessage="1" showErrorMessage="1" sqref="J355">
      <formula1>"$,US$,UF"</formula1>
    </dataValidation>
    <dataValidation type="list" allowBlank="1" showInputMessage="1" showErrorMessage="1" sqref="K355">
      <formula1>"Usado,Nuevo"</formula1>
    </dataValidation>
    <dataValidation type="list" allowBlank="1" showInputMessage="1" showErrorMessage="1" sqref="L355">
      <formula1>"Mercado Envíos a cargo del comprador,Mercado Envíos gratis"</formula1>
    </dataValidation>
    <dataValidation type="list" allowBlank="1" showInputMessage="1" showErrorMessage="1" sqref="M355">
      <formula1>"Clásica,Premium"</formula1>
    </dataValidation>
    <dataValidation type="list" allowBlank="1" showInputMessage="1" showErrorMessage="1" sqref="O355">
      <formula1>"Activa,Inactiva"</formula1>
    </dataValidation>
    <dataValidation type="list" allowBlank="1" showInputMessage="1" showErrorMessage="1" sqref="J356">
      <formula1>"$,US$,UF"</formula1>
    </dataValidation>
    <dataValidation type="list" allowBlank="1" showInputMessage="1" showErrorMessage="1" sqref="K356">
      <formula1>"Usado,Nuevo"</formula1>
    </dataValidation>
    <dataValidation type="list" allowBlank="1" showInputMessage="1" showErrorMessage="1" sqref="L356">
      <formula1>"Mercado Envíos a cargo del comprador,Mercado Envíos gratis"</formula1>
    </dataValidation>
    <dataValidation type="list" allowBlank="1" showInputMessage="1" showErrorMessage="1" sqref="M356">
      <formula1>"Clásica,Premium"</formula1>
    </dataValidation>
    <dataValidation type="list" allowBlank="1" showInputMessage="1" showErrorMessage="1" sqref="O356">
      <formula1>"Activa,Inactiva"</formula1>
    </dataValidation>
    <dataValidation type="list" allowBlank="1" showInputMessage="1" showErrorMessage="1" sqref="J359">
      <formula1>"$,US$,UF"</formula1>
    </dataValidation>
    <dataValidation type="list" allowBlank="1" showInputMessage="1" showErrorMessage="1" sqref="K359">
      <formula1>"Usado,Nuevo"</formula1>
    </dataValidation>
    <dataValidation type="list" allowBlank="1" showInputMessage="1" showErrorMessage="1" sqref="L359">
      <formula1>"Mercado Envíos a cargo del comprador,Mercado Envíos gratis"</formula1>
    </dataValidation>
    <dataValidation type="list" allowBlank="1" showInputMessage="1" showErrorMessage="1" sqref="M359">
      <formula1>"Clásica,Premium"</formula1>
    </dataValidation>
    <dataValidation type="list" allowBlank="1" showInputMessage="1" showErrorMessage="1" sqref="O359">
      <formula1>"Activa,Inactiva"</formula1>
    </dataValidation>
    <dataValidation type="list" allowBlank="1" showInputMessage="1" showErrorMessage="1" sqref="J360">
      <formula1>"$,US$,UF"</formula1>
    </dataValidation>
    <dataValidation type="list" allowBlank="1" showInputMessage="1" showErrorMessage="1" sqref="K360">
      <formula1>"Nuevo"</formula1>
    </dataValidation>
    <dataValidation type="list" allowBlank="1" showInputMessage="1" showErrorMessage="1" sqref="L360">
      <formula1>"Mercado Envíos a cargo del comprador,Mercado Envíos gratis"</formula1>
    </dataValidation>
    <dataValidation type="list" allowBlank="1" showInputMessage="1" showErrorMessage="1" sqref="M360">
      <formula1>"Clásica,Premium"</formula1>
    </dataValidation>
    <dataValidation type="list" allowBlank="1" showInputMessage="1" showErrorMessage="1" sqref="O360">
      <formula1>"Activa,Inactiva"</formula1>
    </dataValidation>
    <dataValidation type="list" allowBlank="1" showInputMessage="1" showErrorMessage="1" sqref="J361">
      <formula1>"$,US$,UF"</formula1>
    </dataValidation>
    <dataValidation type="list" allowBlank="1" showInputMessage="1" showErrorMessage="1" sqref="K361">
      <formula1>"Usado,Nuevo"</formula1>
    </dataValidation>
    <dataValidation type="list" allowBlank="1" showInputMessage="1" showErrorMessage="1" sqref="L361">
      <formula1>"Mercado Envíos a cargo del comprador,Mercado Envíos por mi cuenta"</formula1>
    </dataValidation>
    <dataValidation type="list" allowBlank="1" showInputMessage="1" showErrorMessage="1" sqref="M361">
      <formula1>"Clásica,Premium"</formula1>
    </dataValidation>
    <dataValidation type="list" allowBlank="1" showInputMessage="1" showErrorMessage="1" sqref="O361">
      <formula1>"Activa,Inactiva"</formula1>
    </dataValidation>
    <dataValidation type="list" allowBlank="1" showInputMessage="1" showErrorMessage="1" sqref="J362">
      <formula1>"$,US$,UF"</formula1>
    </dataValidation>
    <dataValidation type="list" allowBlank="1" showInputMessage="1" showErrorMessage="1" sqref="K362">
      <formula1>"Usado,Nuevo"</formula1>
    </dataValidation>
    <dataValidation type="list" allowBlank="1" showInputMessage="1" showErrorMessage="1" sqref="L362">
      <formula1>"Mercado Envíos a cargo del comprador,Mercado Envíos gratis"</formula1>
    </dataValidation>
    <dataValidation type="list" allowBlank="1" showInputMessage="1" showErrorMessage="1" sqref="M362">
      <formula1>"Clásica,Premium"</formula1>
    </dataValidation>
    <dataValidation type="list" allowBlank="1" showInputMessage="1" showErrorMessage="1" sqref="O362">
      <formula1>"Activa,Inactiva"</formula1>
    </dataValidation>
    <dataValidation type="list" allowBlank="1" showInputMessage="1" showErrorMessage="1" sqref="J363">
      <formula1>"$,US$,UF"</formula1>
    </dataValidation>
    <dataValidation type="list" allowBlank="1" showInputMessage="1" showErrorMessage="1" sqref="K363">
      <formula1>"Usado,Nuevo"</formula1>
    </dataValidation>
    <dataValidation type="list" allowBlank="1" showInputMessage="1" showErrorMessage="1" sqref="L363">
      <formula1>"Mercado Envíos a cargo del comprador,Mercado Envíos gratis"</formula1>
    </dataValidation>
    <dataValidation type="list" allowBlank="1" showInputMessage="1" showErrorMessage="1" sqref="M363">
      <formula1>"Clásica,Premium"</formula1>
    </dataValidation>
    <dataValidation type="list" allowBlank="1" showInputMessage="1" showErrorMessage="1" sqref="O363">
      <formula1>"Activa,Inactiva"</formula1>
    </dataValidation>
    <dataValidation type="list" allowBlank="1" showInputMessage="1" showErrorMessage="1" sqref="J364">
      <formula1>"$,US$,UF"</formula1>
    </dataValidation>
    <dataValidation type="list" allowBlank="1" showInputMessage="1" showErrorMessage="1" sqref="K364">
      <formula1>"Usado,Nuevo"</formula1>
    </dataValidation>
    <dataValidation type="list" allowBlank="1" showInputMessage="1" showErrorMessage="1" sqref="L364">
      <formula1>"Mercado Envíos a cargo del comprador,Mercado Envíos gratis"</formula1>
    </dataValidation>
    <dataValidation type="list" allowBlank="1" showInputMessage="1" showErrorMessage="1" sqref="M364">
      <formula1>"Clásica,Premium"</formula1>
    </dataValidation>
    <dataValidation type="list" allowBlank="1" showInputMessage="1" showErrorMessage="1" sqref="O364">
      <formula1>"Activa,Inactiva"</formula1>
    </dataValidation>
    <dataValidation type="list" allowBlank="1" showInputMessage="1" showErrorMessage="1" sqref="J365">
      <formula1>"$,US$,UF"</formula1>
    </dataValidation>
    <dataValidation type="list" allowBlank="1" showInputMessage="1" showErrorMessage="1" sqref="K365">
      <formula1>"Usado,Nuevo,Reacondicionado"</formula1>
    </dataValidation>
    <dataValidation type="list" allowBlank="1" showInputMessage="1" showErrorMessage="1" sqref="L365">
      <formula1>"Mercado Envíos a cargo del comprador,Mercado Envíos gratis"</formula1>
    </dataValidation>
    <dataValidation type="list" allowBlank="1" showInputMessage="1" showErrorMessage="1" sqref="M365">
      <formula1>"Clásica,Premium"</formula1>
    </dataValidation>
    <dataValidation type="list" allowBlank="1" showInputMessage="1" showErrorMessage="1" sqref="O365">
      <formula1>"Activa,Inactiva"</formula1>
    </dataValidation>
    <dataValidation type="list" allowBlank="1" showInputMessage="1" showErrorMessage="1" sqref="J366">
      <formula1>"$,US$,UF"</formula1>
    </dataValidation>
    <dataValidation type="list" allowBlank="1" showInputMessage="1" showErrorMessage="1" sqref="K366">
      <formula1>"Usado,Nuevo"</formula1>
    </dataValidation>
    <dataValidation type="list" allowBlank="1" showInputMessage="1" showErrorMessage="1" sqref="L366">
      <formula1>"Mercado Envíos a cargo del comprador,Mercado Envíos gratis"</formula1>
    </dataValidation>
    <dataValidation type="list" allowBlank="1" showInputMessage="1" showErrorMessage="1" sqref="M366">
      <formula1>"Clásica,Premium"</formula1>
    </dataValidation>
    <dataValidation type="list" allowBlank="1" showInputMessage="1" showErrorMessage="1" sqref="O366">
      <formula1>"Activa,Inactiva"</formula1>
    </dataValidation>
    <dataValidation type="list" allowBlank="1" showInputMessage="1" showErrorMessage="1" sqref="J367">
      <formula1>"$,US$,UF"</formula1>
    </dataValidation>
    <dataValidation type="list" allowBlank="1" showInputMessage="1" showErrorMessage="1" sqref="K367">
      <formula1>"Nuevo"</formula1>
    </dataValidation>
    <dataValidation type="list" allowBlank="1" showInputMessage="1" showErrorMessage="1" sqref="L367">
      <formula1>"Mercado Envíos a cargo del comprador,Mercado Envíos gratis"</formula1>
    </dataValidation>
    <dataValidation type="list" allowBlank="1" showInputMessage="1" showErrorMessage="1" sqref="M367">
      <formula1>"Clásica,Premium"</formula1>
    </dataValidation>
    <dataValidation type="list" allowBlank="1" showInputMessage="1" showErrorMessage="1" sqref="O367">
      <formula1>"Activa,Inactiva"</formula1>
    </dataValidation>
    <dataValidation type="list" allowBlank="1" showInputMessage="1" showErrorMessage="1" sqref="J368">
      <formula1>"$,US$,UF"</formula1>
    </dataValidation>
    <dataValidation type="list" allowBlank="1" showInputMessage="1" showErrorMessage="1" sqref="K368">
      <formula1>"Usado,Nuevo"</formula1>
    </dataValidation>
    <dataValidation type="list" allowBlank="1" showInputMessage="1" showErrorMessage="1" sqref="L368">
      <formula1>"Mercado Envíos a cargo del comprador,Mercado Envíos gratis"</formula1>
    </dataValidation>
    <dataValidation type="list" allowBlank="1" showInputMessage="1" showErrorMessage="1" sqref="M368">
      <formula1>"Clásica,Premium"</formula1>
    </dataValidation>
    <dataValidation type="list" allowBlank="1" showInputMessage="1" showErrorMessage="1" sqref="O368">
      <formula1>"Activa,Inactiva"</formula1>
    </dataValidation>
    <dataValidation type="list" allowBlank="1" showInputMessage="1" showErrorMessage="1" sqref="J369">
      <formula1>"$,US$,UF"</formula1>
    </dataValidation>
    <dataValidation type="list" allowBlank="1" showInputMessage="1" showErrorMessage="1" sqref="K369">
      <formula1>"Nuevo"</formula1>
    </dataValidation>
    <dataValidation type="list" allowBlank="1" showInputMessage="1" showErrorMessage="1" sqref="L369">
      <formula1>"Mercado Envíos a cargo del comprador,Mercado Envíos por mi cuenta"</formula1>
    </dataValidation>
    <dataValidation type="list" allowBlank="1" showInputMessage="1" showErrorMessage="1" sqref="M369">
      <formula1>"Clásica,Premium"</formula1>
    </dataValidation>
    <dataValidation type="list" allowBlank="1" showInputMessage="1" showErrorMessage="1" sqref="O369">
      <formula1>"Activa,Inactiva"</formula1>
    </dataValidation>
    <dataValidation type="list" allowBlank="1" showInputMessage="1" showErrorMessage="1" sqref="J370">
      <formula1>"$,US$,UF"</formula1>
    </dataValidation>
    <dataValidation type="list" allowBlank="1" showInputMessage="1" showErrorMessage="1" sqref="K370">
      <formula1>"Usado,Nuevo"</formula1>
    </dataValidation>
    <dataValidation type="list" allowBlank="1" showInputMessage="1" showErrorMessage="1" sqref="L370">
      <formula1>"Mercado Envíos a cargo del comprador,Mercado Envíos gratis"</formula1>
    </dataValidation>
    <dataValidation type="list" allowBlank="1" showInputMessage="1" showErrorMessage="1" sqref="M370">
      <formula1>"Clásica,Premium"</formula1>
    </dataValidation>
    <dataValidation type="list" allowBlank="1" showInputMessage="1" showErrorMessage="1" sqref="O370">
      <formula1>"Activa,Inactiva"</formula1>
    </dataValidation>
    <dataValidation type="list" allowBlank="1" showInputMessage="1" showErrorMessage="1" sqref="J371">
      <formula1>"$,US$,UF"</formula1>
    </dataValidation>
    <dataValidation type="list" allowBlank="1" showInputMessage="1" showErrorMessage="1" sqref="K371">
      <formula1>"Usado,Nuevo"</formula1>
    </dataValidation>
    <dataValidation type="list" allowBlank="1" showInputMessage="1" showErrorMessage="1" sqref="L371">
      <formula1>"Mercado Envíos a cargo del comprador,Mercado Envíos por mi cuenta"</formula1>
    </dataValidation>
    <dataValidation type="list" allowBlank="1" showInputMessage="1" showErrorMessage="1" sqref="M371">
      <formula1>"Clásica,Premium"</formula1>
    </dataValidation>
    <dataValidation type="list" allowBlank="1" showInputMessage="1" showErrorMessage="1" sqref="O371">
      <formula1>"Activa,Inactiva"</formula1>
    </dataValidation>
    <dataValidation type="list" allowBlank="1" showInputMessage="1" showErrorMessage="1" sqref="J372">
      <formula1>"$,US$,UF"</formula1>
    </dataValidation>
    <dataValidation type="list" allowBlank="1" showInputMessage="1" showErrorMessage="1" sqref="K372">
      <formula1>"Nuevo,Usado,Reacondicionado"</formula1>
    </dataValidation>
    <dataValidation type="list" allowBlank="1" showInputMessage="1" showErrorMessage="1" sqref="L372">
      <formula1>"Mercado Envíos a cargo del comprador,Mercado Envíos gratis"</formula1>
    </dataValidation>
    <dataValidation type="list" allowBlank="1" showInputMessage="1" showErrorMessage="1" sqref="M372">
      <formula1>"Clásica,Premium"</formula1>
    </dataValidation>
    <dataValidation type="list" allowBlank="1" showInputMessage="1" showErrorMessage="1" sqref="O372">
      <formula1>"Activa,Inactiva"</formula1>
    </dataValidation>
    <dataValidation type="list" allowBlank="1" showInputMessage="1" showErrorMessage="1" sqref="J373">
      <formula1>"$,US$,UF"</formula1>
    </dataValidation>
    <dataValidation type="list" allowBlank="1" showInputMessage="1" showErrorMessage="1" sqref="L373">
      <formula1>"Mercado Envíos a cargo del comprador,Mercado Envíos gratis"</formula1>
    </dataValidation>
    <dataValidation type="list" allowBlank="1" showInputMessage="1" showErrorMessage="1" sqref="M373">
      <formula1>"Clásica,Premium"</formula1>
    </dataValidation>
    <dataValidation type="list" allowBlank="1" showInputMessage="1" showErrorMessage="1" sqref="O373">
      <formula1>"Activa,Inactiva"</formula1>
    </dataValidation>
    <dataValidation type="list" allowBlank="1" showInputMessage="1" showErrorMessage="1" sqref="J374">
      <formula1>"$,US$,UF"</formula1>
    </dataValidation>
    <dataValidation type="list" allowBlank="1" showInputMessage="1" showErrorMessage="1" sqref="K374">
      <formula1>"Usado,Nuevo"</formula1>
    </dataValidation>
    <dataValidation type="list" allowBlank="1" showInputMessage="1" showErrorMessage="1" sqref="L374">
      <formula1>"Mercado Envíos a cargo del comprador,Mercado Envíos gratis"</formula1>
    </dataValidation>
    <dataValidation type="list" allowBlank="1" showInputMessage="1" showErrorMessage="1" sqref="M374">
      <formula1>"Clásica,Premium"</formula1>
    </dataValidation>
    <dataValidation type="list" allowBlank="1" showInputMessage="1" showErrorMessage="1" sqref="O374">
      <formula1>"Activa,Inactiva"</formula1>
    </dataValidation>
    <dataValidation type="list" allowBlank="1" showInputMessage="1" showErrorMessage="1" sqref="J375">
      <formula1>"$,US$,UF"</formula1>
    </dataValidation>
    <dataValidation type="list" allowBlank="1" showInputMessage="1" showErrorMessage="1" sqref="K375">
      <formula1>"Usado,Nuevo"</formula1>
    </dataValidation>
    <dataValidation type="list" allowBlank="1" showInputMessage="1" showErrorMessage="1" sqref="L375">
      <formula1>"Mercado Envíos a cargo del comprador,Mercado Envíos gratis"</formula1>
    </dataValidation>
    <dataValidation type="list" allowBlank="1" showInputMessage="1" showErrorMessage="1" sqref="M375">
      <formula1>"Clásica,Premium"</formula1>
    </dataValidation>
    <dataValidation type="list" allowBlank="1" showInputMessage="1" showErrorMessage="1" sqref="O375">
      <formula1>"Activa,Inactiva"</formula1>
    </dataValidation>
    <dataValidation type="list" allowBlank="1" showInputMessage="1" showErrorMessage="1" sqref="J376">
      <formula1>"$,US$,UF"</formula1>
    </dataValidation>
    <dataValidation type="list" allowBlank="1" showInputMessage="1" showErrorMessage="1" sqref="K376">
      <formula1>"Usado,Nuevo"</formula1>
    </dataValidation>
    <dataValidation type="list" allowBlank="1" showInputMessage="1" showErrorMessage="1" sqref="L376">
      <formula1>"Mercado Envíos a cargo del comprador,Mercado Envíos gratis"</formula1>
    </dataValidation>
    <dataValidation type="list" allowBlank="1" showInputMessage="1" showErrorMessage="1" sqref="M376">
      <formula1>"Clásica,Premium"</formula1>
    </dataValidation>
    <dataValidation type="list" allowBlank="1" showInputMessage="1" showErrorMessage="1" sqref="O376">
      <formula1>"Activa,Inactiva"</formula1>
    </dataValidation>
    <dataValidation type="list" allowBlank="1" showInputMessage="1" showErrorMessage="1" sqref="J377">
      <formula1>"$,US$,UF"</formula1>
    </dataValidation>
    <dataValidation type="list" allowBlank="1" showInputMessage="1" showErrorMessage="1" sqref="K377">
      <formula1>"Usado,Nuevo"</formula1>
    </dataValidation>
    <dataValidation type="list" allowBlank="1" showInputMessage="1" showErrorMessage="1" sqref="L377">
      <formula1>"Mercado Envíos a cargo del comprador,Mercado Envíos por mi cuenta"</formula1>
    </dataValidation>
    <dataValidation type="list" allowBlank="1" showInputMessage="1" showErrorMessage="1" sqref="M377">
      <formula1>"Clásica,Premium"</formula1>
    </dataValidation>
    <dataValidation type="list" allowBlank="1" showInputMessage="1" showErrorMessage="1" sqref="O377">
      <formula1>"Activa,Inactiva"</formula1>
    </dataValidation>
    <dataValidation type="list" allowBlank="1" showInputMessage="1" showErrorMessage="1" sqref="J378">
      <formula1>"$,US$,UF"</formula1>
    </dataValidation>
    <dataValidation type="list" allowBlank="1" showInputMessage="1" showErrorMessage="1" sqref="K378">
      <formula1>"Usado,Nuevo"</formula1>
    </dataValidation>
    <dataValidation type="list" allowBlank="1" showInputMessage="1" showErrorMessage="1" sqref="L378">
      <formula1>"Mercado Envíos a cargo del comprador,Mercado Envíos gratis"</formula1>
    </dataValidation>
    <dataValidation type="list" allowBlank="1" showInputMessage="1" showErrorMessage="1" sqref="M378">
      <formula1>"Clásica,Premium"</formula1>
    </dataValidation>
    <dataValidation type="list" allowBlank="1" showInputMessage="1" showErrorMessage="1" sqref="O378">
      <formula1>"Activa,Inactiva"</formula1>
    </dataValidation>
    <dataValidation type="list" allowBlank="1" showInputMessage="1" showErrorMessage="1" sqref="J379">
      <formula1>"$,US$,UF"</formula1>
    </dataValidation>
    <dataValidation type="list" allowBlank="1" showInputMessage="1" showErrorMessage="1" sqref="K379">
      <formula1>"Usado,Nuevo"</formula1>
    </dataValidation>
    <dataValidation type="list" allowBlank="1" showInputMessage="1" showErrorMessage="1" sqref="L379">
      <formula1>"Mercado Envíos a cargo del comprador,Mercado Envíos gratis"</formula1>
    </dataValidation>
    <dataValidation type="list" allowBlank="1" showInputMessage="1" showErrorMessage="1" sqref="M379">
      <formula1>"Clásica,Premium"</formula1>
    </dataValidation>
    <dataValidation type="list" allowBlank="1" showInputMessage="1" showErrorMessage="1" sqref="O379">
      <formula1>"Activa,Inactiva"</formula1>
    </dataValidation>
    <dataValidation type="list" allowBlank="1" showInputMessage="1" showErrorMessage="1" sqref="J380">
      <formula1>"$,US$,UF"</formula1>
    </dataValidation>
    <dataValidation type="list" allowBlank="1" showInputMessage="1" showErrorMessage="1" sqref="K380">
      <formula1>"Usado,Nuevo"</formula1>
    </dataValidation>
    <dataValidation type="list" allowBlank="1" showInputMessage="1" showErrorMessage="1" sqref="L380">
      <formula1>"Mercado Envíos a cargo del comprador,Mercado Envíos por mi cuenta"</formula1>
    </dataValidation>
    <dataValidation type="list" allowBlank="1" showInputMessage="1" showErrorMessage="1" sqref="M380">
      <formula1>"Clásica,Premium"</formula1>
    </dataValidation>
    <dataValidation type="list" allowBlank="1" showInputMessage="1" showErrorMessage="1" sqref="O380">
      <formula1>"Activa,Inactiva"</formula1>
    </dataValidation>
    <dataValidation type="list" allowBlank="1" showInputMessage="1" showErrorMessage="1" sqref="J381">
      <formula1>"$,US$,UF"</formula1>
    </dataValidation>
    <dataValidation type="list" allowBlank="1" showInputMessage="1" showErrorMessage="1" sqref="K381">
      <formula1>"Usado,Nuevo"</formula1>
    </dataValidation>
    <dataValidation type="list" allowBlank="1" showInputMessage="1" showErrorMessage="1" sqref="L381">
      <formula1>"Mercado Envíos a cargo del comprador,Mercado Envíos gratis"</formula1>
    </dataValidation>
    <dataValidation type="list" allowBlank="1" showInputMessage="1" showErrorMessage="1" sqref="M381">
      <formula1>"Clásica,Premium"</formula1>
    </dataValidation>
    <dataValidation type="list" allowBlank="1" showInputMessage="1" showErrorMessage="1" sqref="O381">
      <formula1>"Activa,Inactiva"</formula1>
    </dataValidation>
    <dataValidation type="list" allowBlank="1" showInputMessage="1" showErrorMessage="1" sqref="J382">
      <formula1>"$,US$,UF"</formula1>
    </dataValidation>
    <dataValidation type="list" allowBlank="1" showInputMessage="1" showErrorMessage="1" sqref="K382">
      <formula1>"Usado,Nuevo"</formula1>
    </dataValidation>
    <dataValidation type="list" allowBlank="1" showInputMessage="1" showErrorMessage="1" sqref="L382">
      <formula1>"Mercado Envíos a cargo del comprador,Mercado Envíos por mi cuenta"</formula1>
    </dataValidation>
    <dataValidation type="list" allowBlank="1" showInputMessage="1" showErrorMessage="1" sqref="M382">
      <formula1>"Clásica,Premium"</formula1>
    </dataValidation>
    <dataValidation type="list" allowBlank="1" showInputMessage="1" showErrorMessage="1" sqref="O382">
      <formula1>"Activa,Inactiva"</formula1>
    </dataValidation>
    <dataValidation type="list" allowBlank="1" showInputMessage="1" showErrorMessage="1" sqref="J383">
      <formula1>"$,US$,UF"</formula1>
    </dataValidation>
    <dataValidation type="list" allowBlank="1" showInputMessage="1" showErrorMessage="1" sqref="K383">
      <formula1>"Usado,Nuevo"</formula1>
    </dataValidation>
    <dataValidation type="list" allowBlank="1" showInputMessage="1" showErrorMessage="1" sqref="M383">
      <formula1>"Clásica,Premium"</formula1>
    </dataValidation>
    <dataValidation type="list" allowBlank="1" showInputMessage="1" showErrorMessage="1" sqref="O383">
      <formula1>"Activa,Inactiva"</formula1>
    </dataValidation>
    <dataValidation type="list" allowBlank="1" showInputMessage="1" showErrorMessage="1" sqref="J386">
      <formula1>"$,US$,UF"</formula1>
    </dataValidation>
    <dataValidation type="list" allowBlank="1" showInputMessage="1" showErrorMessage="1" sqref="K386">
      <formula1>"Usado,Nuevo"</formula1>
    </dataValidation>
    <dataValidation type="list" allowBlank="1" showInputMessage="1" showErrorMessage="1" sqref="L386">
      <formula1>"Mercado Envíos a cargo del comprador,Mercado Envíos por mi cuenta"</formula1>
    </dataValidation>
    <dataValidation type="list" allowBlank="1" showInputMessage="1" showErrorMessage="1" sqref="M386">
      <formula1>"Clásica,Premium"</formula1>
    </dataValidation>
    <dataValidation type="list" allowBlank="1" showInputMessage="1" showErrorMessage="1" sqref="O386">
      <formula1>"Activa,Inactiva"</formula1>
    </dataValidation>
    <dataValidation type="list" allowBlank="1" showInputMessage="1" showErrorMessage="1" sqref="J387">
      <formula1>"$,US$,UF"</formula1>
    </dataValidation>
    <dataValidation type="list" allowBlank="1" showInputMessage="1" showErrorMessage="1" sqref="K387">
      <formula1>"Usado,Nuevo,Reacondicionado"</formula1>
    </dataValidation>
    <dataValidation type="list" allowBlank="1" showInputMessage="1" showErrorMessage="1" sqref="L387">
      <formula1>"Mercado Envíos a cargo del comprador,Mercado Envíos gratis"</formula1>
    </dataValidation>
    <dataValidation type="list" allowBlank="1" showInputMessage="1" showErrorMessage="1" sqref="M387">
      <formula1>"Clásica,Premium"</formula1>
    </dataValidation>
    <dataValidation type="list" allowBlank="1" showInputMessage="1" showErrorMessage="1" sqref="O387">
      <formula1>"Activa,Inactiva"</formula1>
    </dataValidation>
    <dataValidation type="list" allowBlank="1" showInputMessage="1" showErrorMessage="1" sqref="J388">
      <formula1>"$,US$,UF"</formula1>
    </dataValidation>
    <dataValidation type="list" allowBlank="1" showInputMessage="1" showErrorMessage="1" sqref="K388">
      <formula1>"Usado,Nuevo"</formula1>
    </dataValidation>
    <dataValidation type="list" allowBlank="1" showInputMessage="1" showErrorMessage="1" sqref="L388">
      <formula1>"Mercado Envíos a cargo del comprador,Mercado Envíos gratis"</formula1>
    </dataValidation>
    <dataValidation type="list" allowBlank="1" showInputMessage="1" showErrorMessage="1" sqref="M388">
      <formula1>"Clásica,Premium"</formula1>
    </dataValidation>
    <dataValidation type="list" allowBlank="1" showInputMessage="1" showErrorMessage="1" sqref="O388">
      <formula1>"Activa,Inactiva"</formula1>
    </dataValidation>
    <dataValidation type="list" allowBlank="1" showInputMessage="1" showErrorMessage="1" sqref="J389">
      <formula1>"$,US$,UF"</formula1>
    </dataValidation>
    <dataValidation type="list" allowBlank="1" showInputMessage="1" showErrorMessage="1" sqref="K389">
      <formula1>"Usado,Nuevo"</formula1>
    </dataValidation>
    <dataValidation type="list" allowBlank="1" showInputMessage="1" showErrorMessage="1" sqref="L389">
      <formula1>"Mercado Envíos a cargo del comprador,Mercado Envíos gratis"</formula1>
    </dataValidation>
    <dataValidation type="list" allowBlank="1" showInputMessage="1" showErrorMessage="1" sqref="M389">
      <formula1>"Clásica,Premium"</formula1>
    </dataValidation>
    <dataValidation type="list" allowBlank="1" showInputMessage="1" showErrorMessage="1" sqref="O389">
      <formula1>"Activa,Inactiva"</formula1>
    </dataValidation>
    <dataValidation type="list" allowBlank="1" showInputMessage="1" showErrorMessage="1" sqref="J390">
      <formula1>"$,US$,UF"</formula1>
    </dataValidation>
    <dataValidation type="list" allowBlank="1" showInputMessage="1" showErrorMessage="1" sqref="K390">
      <formula1>"Usado,Nuevo"</formula1>
    </dataValidation>
    <dataValidation type="list" allowBlank="1" showInputMessage="1" showErrorMessage="1" sqref="L390">
      <formula1>"Mercado Envíos a cargo del comprador,Mercado Envíos gratis"</formula1>
    </dataValidation>
    <dataValidation type="list" allowBlank="1" showInputMessage="1" showErrorMessage="1" sqref="M390">
      <formula1>"Clásica,Premium"</formula1>
    </dataValidation>
    <dataValidation type="list" allowBlank="1" showInputMessage="1" showErrorMessage="1" sqref="O390">
      <formula1>"Activa,Inactiva"</formula1>
    </dataValidation>
    <dataValidation type="list" allowBlank="1" showInputMessage="1" showErrorMessage="1" sqref="J391">
      <formula1>"$,US$,UF"</formula1>
    </dataValidation>
    <dataValidation type="list" allowBlank="1" showInputMessage="1" showErrorMessage="1" sqref="K391">
      <formula1>"Usado,Nuevo"</formula1>
    </dataValidation>
    <dataValidation type="list" allowBlank="1" showInputMessage="1" showErrorMessage="1" sqref="L391">
      <formula1>"Mercado Envíos a cargo del comprador,Mercado Envíos gratis"</formula1>
    </dataValidation>
    <dataValidation type="list" allowBlank="1" showInputMessage="1" showErrorMessage="1" sqref="M391">
      <formula1>"Clásica,Premium"</formula1>
    </dataValidation>
    <dataValidation type="list" allowBlank="1" showInputMessage="1" showErrorMessage="1" sqref="O391">
      <formula1>"Activa,Inactiva"</formula1>
    </dataValidation>
    <dataValidation type="list" allowBlank="1" showInputMessage="1" showErrorMessage="1" sqref="J394">
      <formula1>"$,US$,UF"</formula1>
    </dataValidation>
    <dataValidation type="list" allowBlank="1" showInputMessage="1" showErrorMessage="1" sqref="K394">
      <formula1>"Usado,Nuevo"</formula1>
    </dataValidation>
    <dataValidation type="list" allowBlank="1" showInputMessage="1" showErrorMessage="1" sqref="L394">
      <formula1>"Mercado Envíos a cargo del comprador,Mercado Envíos gratis"</formula1>
    </dataValidation>
    <dataValidation type="list" allowBlank="1" showInputMessage="1" showErrorMessage="1" sqref="M394">
      <formula1>"Clásica,Premium"</formula1>
    </dataValidation>
    <dataValidation type="list" allowBlank="1" showInputMessage="1" showErrorMessage="1" sqref="O394">
      <formula1>"Activa,Inactiva"</formula1>
    </dataValidation>
    <dataValidation type="list" allowBlank="1" showInputMessage="1" showErrorMessage="1" sqref="J395">
      <formula1>"$,US$,UF"</formula1>
    </dataValidation>
    <dataValidation type="list" allowBlank="1" showInputMessage="1" showErrorMessage="1" sqref="K395">
      <formula1>"Usado,Nuevo"</formula1>
    </dataValidation>
    <dataValidation type="list" allowBlank="1" showInputMessage="1" showErrorMessage="1" sqref="L395">
      <formula1>"Mercado Envíos a cargo del comprador,Mercado Envíos gratis"</formula1>
    </dataValidation>
    <dataValidation type="list" allowBlank="1" showInputMessage="1" showErrorMessage="1" sqref="M395">
      <formula1>"Clásica,Premium"</formula1>
    </dataValidation>
    <dataValidation type="list" allowBlank="1" showInputMessage="1" showErrorMessage="1" sqref="O395">
      <formula1>"Activa,Inactiva"</formula1>
    </dataValidation>
    <dataValidation type="list" allowBlank="1" showInputMessage="1" showErrorMessage="1" sqref="J396">
      <formula1>"$,US$,UF"</formula1>
    </dataValidation>
    <dataValidation type="list" allowBlank="1" showInputMessage="1" showErrorMessage="1" sqref="K396">
      <formula1>"Usado,Nuevo"</formula1>
    </dataValidation>
    <dataValidation type="list" allowBlank="1" showInputMessage="1" showErrorMessage="1" sqref="L396">
      <formula1>"Mercado Envíos a cargo del comprador,Mercado Envíos gratis"</formula1>
    </dataValidation>
    <dataValidation type="list" allowBlank="1" showInputMessage="1" showErrorMessage="1" sqref="M396">
      <formula1>"Clásica,Premium"</formula1>
    </dataValidation>
    <dataValidation type="list" allowBlank="1" showInputMessage="1" showErrorMessage="1" sqref="O396">
      <formula1>"Activa,Inactiva"</formula1>
    </dataValidation>
    <dataValidation type="list" allowBlank="1" showInputMessage="1" showErrorMessage="1" sqref="J397">
      <formula1>"$,US$,UF"</formula1>
    </dataValidation>
    <dataValidation type="list" allowBlank="1" showInputMessage="1" showErrorMessage="1" sqref="K397">
      <formula1>"Nuevo"</formula1>
    </dataValidation>
    <dataValidation type="list" allowBlank="1" showInputMessage="1" showErrorMessage="1" sqref="L397">
      <formula1>"Mercado Envíos a cargo del comprador,Mercado Envíos gratis"</formula1>
    </dataValidation>
    <dataValidation type="list" allowBlank="1" showInputMessage="1" showErrorMessage="1" sqref="M397">
      <formula1>"Clásica,Premium"</formula1>
    </dataValidation>
    <dataValidation type="list" allowBlank="1" showInputMessage="1" showErrorMessage="1" sqref="O397">
      <formula1>"Activa,Inactiva"</formula1>
    </dataValidation>
    <dataValidation type="list" allowBlank="1" showInputMessage="1" showErrorMessage="1" sqref="J398">
      <formula1>"$,US$,UF"</formula1>
    </dataValidation>
    <dataValidation type="list" allowBlank="1" showInputMessage="1" showErrorMessage="1" sqref="K398">
      <formula1>"Usado,Nuevo"</formula1>
    </dataValidation>
    <dataValidation type="list" allowBlank="1" showInputMessage="1" showErrorMessage="1" sqref="L398">
      <formula1>"Mercado Envíos a cargo del comprador,Mercado Envíos por mi cuenta"</formula1>
    </dataValidation>
    <dataValidation type="list" allowBlank="1" showInputMessage="1" showErrorMessage="1" sqref="M398">
      <formula1>"Clásica,Premium"</formula1>
    </dataValidation>
    <dataValidation type="list" allowBlank="1" showInputMessage="1" showErrorMessage="1" sqref="O398">
      <formula1>"Activa,Inactiva"</formula1>
    </dataValidation>
    <dataValidation type="list" allowBlank="1" showInputMessage="1" showErrorMessage="1" sqref="J401">
      <formula1>"$,US$,UF"</formula1>
    </dataValidation>
    <dataValidation type="list" allowBlank="1" showInputMessage="1" showErrorMessage="1" sqref="K401">
      <formula1>"Usado,Nuevo"</formula1>
    </dataValidation>
    <dataValidation type="list" allowBlank="1" showInputMessage="1" showErrorMessage="1" sqref="L401">
      <formula1>"Mercado Envíos a cargo del comprador,Mercado Envíos gratis"</formula1>
    </dataValidation>
    <dataValidation type="list" allowBlank="1" showInputMessage="1" showErrorMessage="1" sqref="M401">
      <formula1>"Clásica,Premium"</formula1>
    </dataValidation>
    <dataValidation type="list" allowBlank="1" showInputMessage="1" showErrorMessage="1" sqref="O401">
      <formula1>"Activa,Inactiva"</formula1>
    </dataValidation>
    <dataValidation type="list" allowBlank="1" showInputMessage="1" showErrorMessage="1" sqref="J402">
      <formula1>"$,US$,UF"</formula1>
    </dataValidation>
    <dataValidation type="list" allowBlank="1" showInputMessage="1" showErrorMessage="1" sqref="K402">
      <formula1>"Usado,Nuevo"</formula1>
    </dataValidation>
    <dataValidation type="list" allowBlank="1" showInputMessage="1" showErrorMessage="1" sqref="L402">
      <formula1>"Mercado Envíos a cargo del comprador,Mercado Envíos gratis"</formula1>
    </dataValidation>
    <dataValidation type="list" allowBlank="1" showInputMessage="1" showErrorMessage="1" sqref="M402">
      <formula1>"Clásica,Premium"</formula1>
    </dataValidation>
    <dataValidation type="list" allowBlank="1" showInputMessage="1" showErrorMessage="1" sqref="O402">
      <formula1>"Activa,Inactiva"</formula1>
    </dataValidation>
    <dataValidation type="list" allowBlank="1" showInputMessage="1" showErrorMessage="1" sqref="J403">
      <formula1>"$,US$,UF"</formula1>
    </dataValidation>
    <dataValidation type="list" allowBlank="1" showInputMessage="1" showErrorMessage="1" sqref="K403">
      <formula1>"Usado,Nuevo"</formula1>
    </dataValidation>
    <dataValidation type="list" allowBlank="1" showInputMessage="1" showErrorMessage="1" sqref="L403">
      <formula1>"Mercado Envíos a cargo del comprador,Mercado Envíos gratis"</formula1>
    </dataValidation>
    <dataValidation type="list" allowBlank="1" showInputMessage="1" showErrorMessage="1" sqref="M403">
      <formula1>"Clásica,Premium"</formula1>
    </dataValidation>
    <dataValidation type="list" allowBlank="1" showInputMessage="1" showErrorMessage="1" sqref="O403">
      <formula1>"Activa,Inactiva"</formula1>
    </dataValidation>
    <dataValidation type="list" allowBlank="1" showInputMessage="1" showErrorMessage="1" sqref="J406">
      <formula1>"$,US$,UF"</formula1>
    </dataValidation>
    <dataValidation type="list" allowBlank="1" showInputMessage="1" showErrorMessage="1" sqref="K406">
      <formula1>"Usado,Nuevo"</formula1>
    </dataValidation>
    <dataValidation type="list" allowBlank="1" showInputMessage="1" showErrorMessage="1" sqref="L406">
      <formula1>"Mercado Envíos a cargo del comprador,Mercado Envíos gratis"</formula1>
    </dataValidation>
    <dataValidation type="list" allowBlank="1" showInputMessage="1" showErrorMessage="1" sqref="M406">
      <formula1>"Clásica,Premium"</formula1>
    </dataValidation>
    <dataValidation type="list" allowBlank="1" showInputMessage="1" showErrorMessage="1" sqref="O406">
      <formula1>"Activa,Inactiva"</formula1>
    </dataValidation>
    <dataValidation type="list" allowBlank="1" showInputMessage="1" showErrorMessage="1" sqref="J407">
      <formula1>"$,US$,UF"</formula1>
    </dataValidation>
    <dataValidation type="list" allowBlank="1" showInputMessage="1" showErrorMessage="1" sqref="K407">
      <formula1>"Usado,Nuevo"</formula1>
    </dataValidation>
    <dataValidation type="list" allowBlank="1" showInputMessage="1" showErrorMessage="1" sqref="L407">
      <formula1>"Mercado Envíos a cargo del comprador,Mercado Envíos gratis"</formula1>
    </dataValidation>
    <dataValidation type="list" allowBlank="1" showInputMessage="1" showErrorMessage="1" sqref="M407">
      <formula1>"Clásica,Premium"</formula1>
    </dataValidation>
    <dataValidation type="list" allowBlank="1" showInputMessage="1" showErrorMessage="1" sqref="O407">
      <formula1>"Activa,Inactiva"</formula1>
    </dataValidation>
    <dataValidation type="list" allowBlank="1" showInputMessage="1" showErrorMessage="1" sqref="J408">
      <formula1>"$,US$,UF"</formula1>
    </dataValidation>
    <dataValidation type="list" allowBlank="1" showInputMessage="1" showErrorMessage="1" sqref="K408">
      <formula1>"Nuevo"</formula1>
    </dataValidation>
    <dataValidation type="list" allowBlank="1" showInputMessage="1" showErrorMessage="1" sqref="L408">
      <formula1>"Mercado Envíos a cargo del comprador,Mercado Envíos gratis"</formula1>
    </dataValidation>
    <dataValidation type="list" allowBlank="1" showInputMessage="1" showErrorMessage="1" sqref="M408">
      <formula1>"Clásica,Premium"</formula1>
    </dataValidation>
    <dataValidation type="list" allowBlank="1" showInputMessage="1" showErrorMessage="1" sqref="O408">
      <formula1>"Activa,Inactiva"</formula1>
    </dataValidation>
    <dataValidation type="list" allowBlank="1" showInputMessage="1" showErrorMessage="1" sqref="J409">
      <formula1>"$,US$,UF"</formula1>
    </dataValidation>
    <dataValidation type="list" allowBlank="1" showInputMessage="1" showErrorMessage="1" sqref="K409">
      <formula1>"Usado,Nuevo"</formula1>
    </dataValidation>
    <dataValidation type="list" allowBlank="1" showInputMessage="1" showErrorMessage="1" sqref="L409">
      <formula1>"Mercado Envíos a cargo del comprador,Mercado Envíos gratis"</formula1>
    </dataValidation>
    <dataValidation type="list" allowBlank="1" showInputMessage="1" showErrorMessage="1" sqref="M409">
      <formula1>"Clásica,Premium"</formula1>
    </dataValidation>
    <dataValidation type="list" allowBlank="1" showInputMessage="1" showErrorMessage="1" sqref="O409">
      <formula1>"Activa,Inactiva"</formula1>
    </dataValidation>
    <dataValidation type="list" allowBlank="1" showInputMessage="1" showErrorMessage="1" sqref="J412">
      <formula1>"$,US$,UF"</formula1>
    </dataValidation>
    <dataValidation type="list" allowBlank="1" showInputMessage="1" showErrorMessage="1" sqref="K412">
      <formula1>"Usado,Nuevo"</formula1>
    </dataValidation>
    <dataValidation type="list" allowBlank="1" showInputMessage="1" showErrorMessage="1" sqref="L412">
      <formula1>"Mercado Envíos a cargo del comprador,Mercado Envíos gratis"</formula1>
    </dataValidation>
    <dataValidation type="list" allowBlank="1" showInputMessage="1" showErrorMessage="1" sqref="M412">
      <formula1>"Clásica,Premium"</formula1>
    </dataValidation>
    <dataValidation type="list" allowBlank="1" showInputMessage="1" showErrorMessage="1" sqref="O412">
      <formula1>"Activa,Inactiva"</formula1>
    </dataValidation>
    <dataValidation type="list" allowBlank="1" showInputMessage="1" showErrorMessage="1" sqref="J413">
      <formula1>"$,US$,UF"</formula1>
    </dataValidation>
    <dataValidation type="list" allowBlank="1" showInputMessage="1" showErrorMessage="1" sqref="K413">
      <formula1>"Usado,Nuevo"</formula1>
    </dataValidation>
    <dataValidation type="list" allowBlank="1" showInputMessage="1" showErrorMessage="1" sqref="L413">
      <formula1>"Mercado Envíos a cargo del comprador,Mercado Envíos gratis"</formula1>
    </dataValidation>
    <dataValidation type="list" allowBlank="1" showInputMessage="1" showErrorMessage="1" sqref="M413">
      <formula1>"Clásica,Premium"</formula1>
    </dataValidation>
    <dataValidation type="list" allowBlank="1" showInputMessage="1" showErrorMessage="1" sqref="O413">
      <formula1>"Activa,Inactiva"</formula1>
    </dataValidation>
    <dataValidation type="list" allowBlank="1" showInputMessage="1" showErrorMessage="1" sqref="J414">
      <formula1>"$,US$,UF"</formula1>
    </dataValidation>
    <dataValidation type="list" allowBlank="1" showInputMessage="1" showErrorMessage="1" sqref="K414">
      <formula1>"Usado,Nuevo"</formula1>
    </dataValidation>
    <dataValidation type="list" allowBlank="1" showInputMessage="1" showErrorMessage="1" sqref="L414">
      <formula1>"Mercado Envíos a cargo del comprador,Mercado Envíos gratis"</formula1>
    </dataValidation>
    <dataValidation type="list" allowBlank="1" showInputMessage="1" showErrorMessage="1" sqref="M414">
      <formula1>"Clásica,Premium"</formula1>
    </dataValidation>
    <dataValidation type="list" allowBlank="1" showInputMessage="1" showErrorMessage="1" sqref="O414">
      <formula1>"Activa,Inactiva"</formula1>
    </dataValidation>
    <dataValidation type="list" allowBlank="1" showInputMessage="1" showErrorMessage="1" sqref="J415">
      <formula1>"$,US$,UF"</formula1>
    </dataValidation>
    <dataValidation type="list" allowBlank="1" showInputMessage="1" showErrorMessage="1" sqref="K415">
      <formula1>"Usado,Nuevo"</formula1>
    </dataValidation>
    <dataValidation type="list" allowBlank="1" showInputMessage="1" showErrorMessage="1" sqref="L415">
      <formula1>"Mercado Envíos a cargo del comprador,Mercado Envíos gratis"</formula1>
    </dataValidation>
    <dataValidation type="list" allowBlank="1" showInputMessage="1" showErrorMessage="1" sqref="M415">
      <formula1>"Clásica,Premium"</formula1>
    </dataValidation>
    <dataValidation type="list" allowBlank="1" showInputMessage="1" showErrorMessage="1" sqref="O415">
      <formula1>"Activa,Inactiva"</formula1>
    </dataValidation>
    <dataValidation type="list" allowBlank="1" showInputMessage="1" showErrorMessage="1" sqref="J416">
      <formula1>"$,US$,UF"</formula1>
    </dataValidation>
    <dataValidation type="list" allowBlank="1" showInputMessage="1" showErrorMessage="1" sqref="K416">
      <formula1>"Usado,Nuevo"</formula1>
    </dataValidation>
    <dataValidation type="list" allowBlank="1" showInputMessage="1" showErrorMessage="1" sqref="L416">
      <formula1>"Mercado Envíos a cargo del comprador,Mercado Envíos gratis"</formula1>
    </dataValidation>
    <dataValidation type="list" allowBlank="1" showInputMessage="1" showErrorMessage="1" sqref="M416">
      <formula1>"Clásica,Premium"</formula1>
    </dataValidation>
    <dataValidation type="list" allowBlank="1" showInputMessage="1" showErrorMessage="1" sqref="O416">
      <formula1>"Activa,Inactiva"</formula1>
    </dataValidation>
    <dataValidation type="list" allowBlank="1" showInputMessage="1" showErrorMessage="1" sqref="J417">
      <formula1>"$,US$,UF"</formula1>
    </dataValidation>
    <dataValidation type="list" allowBlank="1" showInputMessage="1" showErrorMessage="1" sqref="K417">
      <formula1>"Usado,Nuevo"</formula1>
    </dataValidation>
    <dataValidation type="list" allowBlank="1" showInputMessage="1" showErrorMessage="1" sqref="L417">
      <formula1>"Mercado Envíos a cargo del comprador,Mercado Envíos gratis"</formula1>
    </dataValidation>
    <dataValidation type="list" allowBlank="1" showInputMessage="1" showErrorMessage="1" sqref="M417">
      <formula1>"Clásica,Premium"</formula1>
    </dataValidation>
    <dataValidation type="list" allowBlank="1" showInputMessage="1" showErrorMessage="1" sqref="O417">
      <formula1>"Activa,Inactiva"</formula1>
    </dataValidation>
    <dataValidation type="list" allowBlank="1" showInputMessage="1" showErrorMessage="1" sqref="J418">
      <formula1>"$,US$,UF"</formula1>
    </dataValidation>
    <dataValidation type="list" allowBlank="1" showInputMessage="1" showErrorMessage="1" sqref="K418">
      <formula1>"Usado,Nuevo"</formula1>
    </dataValidation>
    <dataValidation type="list" allowBlank="1" showInputMessage="1" showErrorMessage="1" sqref="L418">
      <formula1>"Mercado Envíos a cargo del comprador,Mercado Envíos por mi cuenta"</formula1>
    </dataValidation>
    <dataValidation type="list" allowBlank="1" showInputMessage="1" showErrorMessage="1" sqref="M418">
      <formula1>"Clásica,Premium"</formula1>
    </dataValidation>
    <dataValidation type="list" allowBlank="1" showInputMessage="1" showErrorMessage="1" sqref="O418">
      <formula1>"Activa,Inactiva"</formula1>
    </dataValidation>
    <dataValidation type="list" allowBlank="1" showInputMessage="1" showErrorMessage="1" sqref="J419">
      <formula1>"$,US$,UF"</formula1>
    </dataValidation>
    <dataValidation type="list" allowBlank="1" showInputMessage="1" showErrorMessage="1" sqref="K419">
      <formula1>"Usado,Nuevo"</formula1>
    </dataValidation>
    <dataValidation type="list" allowBlank="1" showInputMessage="1" showErrorMessage="1" sqref="L419">
      <formula1>"Mercado Envíos a cargo del comprador,Mercado Envíos gratis"</formula1>
    </dataValidation>
    <dataValidation type="list" allowBlank="1" showInputMessage="1" showErrorMessage="1" sqref="M419">
      <formula1>"Clásica,Premium"</formula1>
    </dataValidation>
    <dataValidation type="list" allowBlank="1" showInputMessage="1" showErrorMessage="1" sqref="O419">
      <formula1>"Activa,Inactiva"</formula1>
    </dataValidation>
    <dataValidation type="list" allowBlank="1" showInputMessage="1" showErrorMessage="1" sqref="J420">
      <formula1>"$,US$,UF"</formula1>
    </dataValidation>
    <dataValidation type="list" allowBlank="1" showInputMessage="1" showErrorMessage="1" sqref="K420">
      <formula1>"Usado,Nuevo"</formula1>
    </dataValidation>
    <dataValidation type="list" allowBlank="1" showInputMessage="1" showErrorMessage="1" sqref="L420">
      <formula1>"Mercado Envíos a cargo del comprador,Mercado Envíos gratis"</formula1>
    </dataValidation>
    <dataValidation type="list" allowBlank="1" showInputMessage="1" showErrorMessage="1" sqref="M420">
      <formula1>"Clásica,Premium"</formula1>
    </dataValidation>
    <dataValidation type="list" allowBlank="1" showInputMessage="1" showErrorMessage="1" sqref="O420">
      <formula1>"Activa,Inactiva"</formula1>
    </dataValidation>
    <dataValidation type="list" allowBlank="1" showInputMessage="1" showErrorMessage="1" sqref="J421">
      <formula1>"$,US$,UF"</formula1>
    </dataValidation>
    <dataValidation type="list" allowBlank="1" showInputMessage="1" showErrorMessage="1" sqref="K421">
      <formula1>"Usado,Nuevo"</formula1>
    </dataValidation>
    <dataValidation type="list" allowBlank="1" showInputMessage="1" showErrorMessage="1" sqref="L421">
      <formula1>"Mercado Envíos a cargo del comprador,Mercado Envíos gratis"</formula1>
    </dataValidation>
    <dataValidation type="list" allowBlank="1" showInputMessage="1" showErrorMessage="1" sqref="M421">
      <formula1>"Clásica,Premium"</formula1>
    </dataValidation>
    <dataValidation type="list" allowBlank="1" showInputMessage="1" showErrorMessage="1" sqref="O421">
      <formula1>"Activa,Inactiva"</formula1>
    </dataValidation>
    <dataValidation type="list" allowBlank="1" showInputMessage="1" showErrorMessage="1" sqref="J424">
      <formula1>"$,US$,UF"</formula1>
    </dataValidation>
    <dataValidation type="list" allowBlank="1" showInputMessage="1" showErrorMessage="1" sqref="K424">
      <formula1>"Usado,Nuevo"</formula1>
    </dataValidation>
    <dataValidation type="list" allowBlank="1" showInputMessage="1" showErrorMessage="1" sqref="L424">
      <formula1>"Mercado Envíos a cargo del comprador,Mercado Envíos gratis"</formula1>
    </dataValidation>
    <dataValidation type="list" allowBlank="1" showInputMessage="1" showErrorMessage="1" sqref="M424">
      <formula1>"Clásica,Premium"</formula1>
    </dataValidation>
    <dataValidation type="list" allowBlank="1" showInputMessage="1" showErrorMessage="1" sqref="O424">
      <formula1>"Activa,Inactiva"</formula1>
    </dataValidation>
    <dataValidation type="list" allowBlank="1" showInputMessage="1" showErrorMessage="1" sqref="J427">
      <formula1>"$,US$,UF"</formula1>
    </dataValidation>
    <dataValidation type="list" allowBlank="1" showInputMessage="1" showErrorMessage="1" sqref="K427">
      <formula1>"Usado,Nuevo"</formula1>
    </dataValidation>
    <dataValidation type="list" allowBlank="1" showInputMessage="1" showErrorMessage="1" sqref="L427">
      <formula1>"Mercado Envíos a cargo del comprador,Mercado Envíos gratis"</formula1>
    </dataValidation>
    <dataValidation type="list" allowBlank="1" showInputMessage="1" showErrorMessage="1" sqref="M427">
      <formula1>"Clásica,Premium"</formula1>
    </dataValidation>
    <dataValidation type="list" allowBlank="1" showInputMessage="1" showErrorMessage="1" sqref="O427">
      <formula1>"Activa,Inactiva"</formula1>
    </dataValidation>
    <dataValidation type="list" allowBlank="1" showInputMessage="1" showErrorMessage="1" sqref="J428">
      <formula1>"$,US$,UF"</formula1>
    </dataValidation>
    <dataValidation type="list" allowBlank="1" showInputMessage="1" showErrorMessage="1" sqref="K428">
      <formula1>"Usado,Nuevo"</formula1>
    </dataValidation>
    <dataValidation type="list" allowBlank="1" showInputMessage="1" showErrorMessage="1" sqref="L428">
      <formula1>"Mercado Envíos a cargo del comprador,Mercado Envíos gratis"</formula1>
    </dataValidation>
    <dataValidation type="list" allowBlank="1" showInputMessage="1" showErrorMessage="1" sqref="M428">
      <formula1>"Clásica,Premium"</formula1>
    </dataValidation>
    <dataValidation type="list" allowBlank="1" showInputMessage="1" showErrorMessage="1" sqref="O428">
      <formula1>"Activa,Inactiva"</formula1>
    </dataValidation>
    <dataValidation type="list" allowBlank="1" showInputMessage="1" showErrorMessage="1" sqref="J429">
      <formula1>"$,US$,UF"</formula1>
    </dataValidation>
    <dataValidation type="list" allowBlank="1" showInputMessage="1" showErrorMessage="1" sqref="K429">
      <formula1>"Usado,Nuevo"</formula1>
    </dataValidation>
    <dataValidation type="list" allowBlank="1" showInputMessage="1" showErrorMessage="1" sqref="L429">
      <formula1>"Mercado Envíos a cargo del comprador,Mercado Envíos gratis"</formula1>
    </dataValidation>
    <dataValidation type="list" allowBlank="1" showInputMessage="1" showErrorMessage="1" sqref="M429">
      <formula1>"Clásica,Premium"</formula1>
    </dataValidation>
    <dataValidation type="list" allowBlank="1" showInputMessage="1" showErrorMessage="1" sqref="O429">
      <formula1>"Activa,Inactiva"</formula1>
    </dataValidation>
    <dataValidation type="list" allowBlank="1" showInputMessage="1" showErrorMessage="1" sqref="J430">
      <formula1>"$,US$,UF"</formula1>
    </dataValidation>
    <dataValidation type="list" allowBlank="1" showInputMessage="1" showErrorMessage="1" sqref="K430">
      <formula1>"Usado,Nuevo"</formula1>
    </dataValidation>
    <dataValidation type="list" allowBlank="1" showInputMessage="1" showErrorMessage="1" sqref="L430">
      <formula1>"Mercado Envíos a cargo del comprador,Mercado Envíos gratis"</formula1>
    </dataValidation>
    <dataValidation type="list" allowBlank="1" showInputMessage="1" showErrorMessage="1" sqref="M430">
      <formula1>"Clásica,Premium"</formula1>
    </dataValidation>
    <dataValidation type="list" allowBlank="1" showInputMessage="1" showErrorMessage="1" sqref="O430">
      <formula1>"Activa,Inactiva"</formula1>
    </dataValidation>
    <dataValidation type="list" allowBlank="1" showInputMessage="1" showErrorMessage="1" sqref="J431">
      <formula1>"$,US$,UF"</formula1>
    </dataValidation>
    <dataValidation type="list" allowBlank="1" showInputMessage="1" showErrorMessage="1" sqref="L431">
      <formula1>"Mercado Envíos a cargo del comprador,Mercado Envíos gratis"</formula1>
    </dataValidation>
    <dataValidation type="list" allowBlank="1" showInputMessage="1" showErrorMessage="1" sqref="M431">
      <formula1>"Clásica,Premium"</formula1>
    </dataValidation>
    <dataValidation type="list" allowBlank="1" showInputMessage="1" showErrorMessage="1" sqref="O431">
      <formula1>"Activa,Inactiva"</formula1>
    </dataValidation>
    <dataValidation type="list" allowBlank="1" showInputMessage="1" showErrorMessage="1" sqref="J432">
      <formula1>"$,US$,UF"</formula1>
    </dataValidation>
    <dataValidation type="list" allowBlank="1" showInputMessage="1" showErrorMessage="1" sqref="K432">
      <formula1>"Nuevo"</formula1>
    </dataValidation>
    <dataValidation type="list" allowBlank="1" showInputMessage="1" showErrorMessage="1" sqref="L432">
      <formula1>"Mercado Envíos a cargo del comprador,Mercado Envíos gratis"</formula1>
    </dataValidation>
    <dataValidation type="list" allowBlank="1" showInputMessage="1" showErrorMessage="1" sqref="M432">
      <formula1>"Clásica,Premium"</formula1>
    </dataValidation>
    <dataValidation type="list" allowBlank="1" showInputMessage="1" showErrorMessage="1" sqref="O432">
      <formula1>"Activa,Inactiva"</formula1>
    </dataValidation>
    <dataValidation type="list" allowBlank="1" showInputMessage="1" showErrorMessage="1" sqref="J433">
      <formula1>"$,US$,UF"</formula1>
    </dataValidation>
    <dataValidation type="list" allowBlank="1" showInputMessage="1" showErrorMessage="1" sqref="K433">
      <formula1>"Usado,Nuevo"</formula1>
    </dataValidation>
    <dataValidation type="list" allowBlank="1" showInputMessage="1" showErrorMessage="1" sqref="L433">
      <formula1>"Mercado Envíos a cargo del comprador,Mercado Envíos gratis"</formula1>
    </dataValidation>
    <dataValidation type="list" allowBlank="1" showInputMessage="1" showErrorMessage="1" sqref="M433">
      <formula1>"Clásica,Premium"</formula1>
    </dataValidation>
    <dataValidation type="list" allowBlank="1" showInputMessage="1" showErrorMessage="1" sqref="O433">
      <formula1>"Activa,Inactiva"</formula1>
    </dataValidation>
    <dataValidation type="list" allowBlank="1" showInputMessage="1" showErrorMessage="1" sqref="J434">
      <formula1>"$,US$,UF"</formula1>
    </dataValidation>
    <dataValidation type="list" allowBlank="1" showInputMessage="1" showErrorMessage="1" sqref="K434">
      <formula1>"Usado,Nuevo"</formula1>
    </dataValidation>
    <dataValidation type="list" allowBlank="1" showInputMessage="1" showErrorMessage="1" sqref="L434">
      <formula1>"Mercado Envíos a cargo del comprador,Mercado Envíos gratis"</formula1>
    </dataValidation>
    <dataValidation type="list" allowBlank="1" showInputMessage="1" showErrorMessage="1" sqref="M434">
      <formula1>"Clásica,Premium"</formula1>
    </dataValidation>
    <dataValidation type="list" allowBlank="1" showInputMessage="1" showErrorMessage="1" sqref="O434">
      <formula1>"Activa,Inactiva"</formula1>
    </dataValidation>
    <dataValidation type="list" allowBlank="1" showInputMessage="1" showErrorMessage="1" sqref="J435">
      <formula1>"$,US$,UF"</formula1>
    </dataValidation>
    <dataValidation type="list" allowBlank="1" showInputMessage="1" showErrorMessage="1" sqref="K435">
      <formula1>"Usado,Nuevo"</formula1>
    </dataValidation>
    <dataValidation type="list" allowBlank="1" showInputMessage="1" showErrorMessage="1" sqref="L435">
      <formula1>"Mercado Envíos a cargo del comprador,Mercado Envíos gratis"</formula1>
    </dataValidation>
    <dataValidation type="list" allowBlank="1" showInputMessage="1" showErrorMessage="1" sqref="M435">
      <formula1>"Clásica,Premium"</formula1>
    </dataValidation>
    <dataValidation type="list" allowBlank="1" showInputMessage="1" showErrorMessage="1" sqref="O435">
      <formula1>"Activa,Inactiva"</formula1>
    </dataValidation>
    <dataValidation type="list" allowBlank="1" showInputMessage="1" showErrorMessage="1" sqref="J436">
      <formula1>"$,US$,UF"</formula1>
    </dataValidation>
    <dataValidation type="list" allowBlank="1" showInputMessage="1" showErrorMessage="1" sqref="K436">
      <formula1>"Usado,Nuevo"</formula1>
    </dataValidation>
    <dataValidation type="list" allowBlank="1" showInputMessage="1" showErrorMessage="1" sqref="L436">
      <formula1>"Mercado Envíos a cargo del comprador,Mercado Envíos gratis"</formula1>
    </dataValidation>
    <dataValidation type="list" allowBlank="1" showInputMessage="1" showErrorMessage="1" sqref="M436">
      <formula1>"Clásica,Premium"</formula1>
    </dataValidation>
    <dataValidation type="list" allowBlank="1" showInputMessage="1" showErrorMessage="1" sqref="O436">
      <formula1>"Activa,Inactiva"</formula1>
    </dataValidation>
    <dataValidation type="list" allowBlank="1" showInputMessage="1" showErrorMessage="1" sqref="J437">
      <formula1>"$,US$,UF"</formula1>
    </dataValidation>
    <dataValidation type="list" allowBlank="1" showInputMessage="1" showErrorMessage="1" sqref="K437">
      <formula1>"Usado,Nuevo"</formula1>
    </dataValidation>
    <dataValidation type="list" allowBlank="1" showInputMessage="1" showErrorMessage="1" sqref="L437">
      <formula1>"Mercado Envíos a cargo del comprador,Mercado Envíos gratis"</formula1>
    </dataValidation>
    <dataValidation type="list" allowBlank="1" showInputMessage="1" showErrorMessage="1" sqref="M437">
      <formula1>"Clásica,Premium"</formula1>
    </dataValidation>
    <dataValidation type="list" allowBlank="1" showInputMessage="1" showErrorMessage="1" sqref="O437">
      <formula1>"Activa,Inactiva"</formula1>
    </dataValidation>
    <dataValidation type="list" allowBlank="1" showInputMessage="1" showErrorMessage="1" sqref="J440">
      <formula1>"$,US$,UF"</formula1>
    </dataValidation>
    <dataValidation type="list" allowBlank="1" showInputMessage="1" showErrorMessage="1" sqref="K440">
      <formula1>"Usado,Nuevo"</formula1>
    </dataValidation>
    <dataValidation type="list" allowBlank="1" showInputMessage="1" showErrorMessage="1" sqref="L440">
      <formula1>"Mercado Envíos a cargo del comprador,Mercado Envíos gratis"</formula1>
    </dataValidation>
    <dataValidation type="list" allowBlank="1" showInputMessage="1" showErrorMessage="1" sqref="M440">
      <formula1>"Clásica,Premium"</formula1>
    </dataValidation>
    <dataValidation type="list" allowBlank="1" showInputMessage="1" showErrorMessage="1" sqref="O440">
      <formula1>"Activa,Inactiva"</formula1>
    </dataValidation>
    <dataValidation type="list" allowBlank="1" showInputMessage="1" showErrorMessage="1" sqref="J443">
      <formula1>"$,US$,UF"</formula1>
    </dataValidation>
    <dataValidation type="list" allowBlank="1" showInputMessage="1" showErrorMessage="1" sqref="K443">
      <formula1>"Usado,Nuevo"</formula1>
    </dataValidation>
    <dataValidation type="list" allowBlank="1" showInputMessage="1" showErrorMessage="1" sqref="L443">
      <formula1>"Mercado Envíos a cargo del comprador,Mercado Envíos gratis"</formula1>
    </dataValidation>
    <dataValidation type="list" allowBlank="1" showInputMessage="1" showErrorMessage="1" sqref="M443">
      <formula1>"Clásica,Premium"</formula1>
    </dataValidation>
    <dataValidation type="list" allowBlank="1" showInputMessage="1" showErrorMessage="1" sqref="O443">
      <formula1>"Activa,Inactiva"</formula1>
    </dataValidation>
    <dataValidation type="list" allowBlank="1" showInputMessage="1" showErrorMessage="1" sqref="J444">
      <formula1>"$,US$,UF"</formula1>
    </dataValidation>
    <dataValidation type="list" allowBlank="1" showInputMessage="1" showErrorMessage="1" sqref="K444">
      <formula1>"Usado,Nuevo"</formula1>
    </dataValidation>
    <dataValidation type="list" allowBlank="1" showInputMessage="1" showErrorMessage="1" sqref="L444">
      <formula1>"Mercado Envíos a cargo del comprador,Mercado Envíos gratis"</formula1>
    </dataValidation>
    <dataValidation type="list" allowBlank="1" showInputMessage="1" showErrorMessage="1" sqref="M444">
      <formula1>"Clásica,Premium"</formula1>
    </dataValidation>
    <dataValidation type="list" allowBlank="1" showInputMessage="1" showErrorMessage="1" sqref="O444">
      <formula1>"Activa,Inactiva"</formula1>
    </dataValidation>
    <dataValidation type="list" allowBlank="1" showInputMessage="1" showErrorMessage="1" sqref="J445">
      <formula1>"$,US$,UF"</formula1>
    </dataValidation>
    <dataValidation type="list" allowBlank="1" showInputMessage="1" showErrorMessage="1" sqref="K445">
      <formula1>"Usado,Nuevo"</formula1>
    </dataValidation>
    <dataValidation type="list" allowBlank="1" showInputMessage="1" showErrorMessage="1" sqref="L445">
      <formula1>"Mercado Envíos a cargo del comprador,Mercado Envíos gratis"</formula1>
    </dataValidation>
    <dataValidation type="list" allowBlank="1" showInputMessage="1" showErrorMessage="1" sqref="M445">
      <formula1>"Clásica,Premium"</formula1>
    </dataValidation>
    <dataValidation type="list" allowBlank="1" showInputMessage="1" showErrorMessage="1" sqref="O445">
      <formula1>"Activa,Inactiva"</formula1>
    </dataValidation>
    <dataValidation type="list" allowBlank="1" showInputMessage="1" showErrorMessage="1" sqref="J446">
      <formula1>"$,US$,UF"</formula1>
    </dataValidation>
    <dataValidation type="list" allowBlank="1" showInputMessage="1" showErrorMessage="1" sqref="K446">
      <formula1>"Usado,Nuevo"</formula1>
    </dataValidation>
    <dataValidation type="list" allowBlank="1" showInputMessage="1" showErrorMessage="1" sqref="L446">
      <formula1>"Mercado Envíos a cargo del comprador,Mercado Envíos gratis"</formula1>
    </dataValidation>
    <dataValidation type="list" allowBlank="1" showInputMessage="1" showErrorMessage="1" sqref="M446">
      <formula1>"Clásica,Premium"</formula1>
    </dataValidation>
    <dataValidation type="list" allowBlank="1" showInputMessage="1" showErrorMessage="1" sqref="O446">
      <formula1>"Activa,Inactiva"</formula1>
    </dataValidation>
    <dataValidation type="list" allowBlank="1" showInputMessage="1" showErrorMessage="1" sqref="J447">
      <formula1>"$,US$,UF"</formula1>
    </dataValidation>
    <dataValidation type="list" allowBlank="1" showInputMessage="1" showErrorMessage="1" sqref="K447">
      <formula1>"Usado,Nuevo"</formula1>
    </dataValidation>
    <dataValidation type="list" allowBlank="1" showInputMessage="1" showErrorMessage="1" sqref="L447">
      <formula1>"Mercado Envíos a cargo del comprador,Mercado Envíos gratis"</formula1>
    </dataValidation>
    <dataValidation type="list" allowBlank="1" showInputMessage="1" showErrorMessage="1" sqref="M447">
      <formula1>"Clásica,Premium"</formula1>
    </dataValidation>
    <dataValidation type="list" allowBlank="1" showInputMessage="1" showErrorMessage="1" sqref="O447">
      <formula1>"Activa,Inactiva"</formula1>
    </dataValidation>
    <dataValidation type="list" allowBlank="1" showInputMessage="1" showErrorMessage="1" sqref="J448">
      <formula1>"$,US$,UF"</formula1>
    </dataValidation>
    <dataValidation type="list" allowBlank="1" showInputMessage="1" showErrorMessage="1" sqref="K448">
      <formula1>"Usado,Nuevo"</formula1>
    </dataValidation>
    <dataValidation type="list" allowBlank="1" showInputMessage="1" showErrorMessage="1" sqref="L448">
      <formula1>"Mercado Envíos a cargo del comprador,Mercado Envíos gratis"</formula1>
    </dataValidation>
    <dataValidation type="list" allowBlank="1" showInputMessage="1" showErrorMessage="1" sqref="M448">
      <formula1>"Clásica,Premium"</formula1>
    </dataValidation>
    <dataValidation type="list" allowBlank="1" showInputMessage="1" showErrorMessage="1" sqref="O448">
      <formula1>"Activa,Inactiva"</formula1>
    </dataValidation>
    <dataValidation type="list" allowBlank="1" showInputMessage="1" showErrorMessage="1" sqref="J449">
      <formula1>"$,US$,UF"</formula1>
    </dataValidation>
    <dataValidation type="list" allowBlank="1" showInputMessage="1" showErrorMessage="1" sqref="K449">
      <formula1>"Usado,Nuevo"</formula1>
    </dataValidation>
    <dataValidation type="list" allowBlank="1" showInputMessage="1" showErrorMessage="1" sqref="L449">
      <formula1>"Mercado Envíos a cargo del comprador,Mercado Envíos gratis"</formula1>
    </dataValidation>
    <dataValidation type="list" allowBlank="1" showInputMessage="1" showErrorMessage="1" sqref="M449">
      <formula1>"Clásica,Premium"</formula1>
    </dataValidation>
    <dataValidation type="list" allowBlank="1" showInputMessage="1" showErrorMessage="1" sqref="O449">
      <formula1>"Activa,Inactiva"</formula1>
    </dataValidation>
    <dataValidation type="list" allowBlank="1" showInputMessage="1" showErrorMessage="1" sqref="J450">
      <formula1>"$,US$,UF"</formula1>
    </dataValidation>
    <dataValidation type="list" allowBlank="1" showInputMessage="1" showErrorMessage="1" sqref="K450">
      <formula1>"Usado,Nuevo"</formula1>
    </dataValidation>
    <dataValidation type="list" allowBlank="1" showInputMessage="1" showErrorMessage="1" sqref="L450">
      <formula1>"Mercado Envíos a cargo del comprador,Mercado Envíos gratis"</formula1>
    </dataValidation>
    <dataValidation type="list" allowBlank="1" showInputMessage="1" showErrorMessage="1" sqref="M450">
      <formula1>"Clásica,Premium"</formula1>
    </dataValidation>
    <dataValidation type="list" allowBlank="1" showInputMessage="1" showErrorMessage="1" sqref="O450">
      <formula1>"Activa,Inactiva"</formula1>
    </dataValidation>
    <dataValidation type="list" allowBlank="1" showInputMessage="1" showErrorMessage="1" sqref="J451">
      <formula1>"$,US$,UF"</formula1>
    </dataValidation>
    <dataValidation type="list" allowBlank="1" showInputMessage="1" showErrorMessage="1" sqref="K451">
      <formula1>"Usado,Nuevo"</formula1>
    </dataValidation>
    <dataValidation type="list" allowBlank="1" showInputMessage="1" showErrorMessage="1" sqref="L451">
      <formula1>"Mercado Envíos a cargo del comprador,Mercado Envíos gratis"</formula1>
    </dataValidation>
    <dataValidation type="list" allowBlank="1" showInputMessage="1" showErrorMessage="1" sqref="M451">
      <formula1>"Clásica,Premium"</formula1>
    </dataValidation>
    <dataValidation type="list" allowBlank="1" showInputMessage="1" showErrorMessage="1" sqref="O451">
      <formula1>"Activa,Inactiva"</formula1>
    </dataValidation>
    <dataValidation type="list" allowBlank="1" showInputMessage="1" showErrorMessage="1" sqref="J452">
      <formula1>"$,US$,UF"</formula1>
    </dataValidation>
    <dataValidation type="list" allowBlank="1" showInputMessage="1" showErrorMessage="1" sqref="K452">
      <formula1>"Usado,Nuevo"</formula1>
    </dataValidation>
    <dataValidation type="list" allowBlank="1" showInputMessage="1" showErrorMessage="1" sqref="L452">
      <formula1>"Mercado Envíos a cargo del comprador,Mercado Envíos gratis"</formula1>
    </dataValidation>
    <dataValidation type="list" allowBlank="1" showInputMessage="1" showErrorMessage="1" sqref="M452">
      <formula1>"Clásica,Premium"</formula1>
    </dataValidation>
    <dataValidation type="list" allowBlank="1" showInputMessage="1" showErrorMessage="1" sqref="O452">
      <formula1>"Activa,Inactiva"</formula1>
    </dataValidation>
    <dataValidation type="list" allowBlank="1" showInputMessage="1" showErrorMessage="1" sqref="J453">
      <formula1>"$,US$,UF"</formula1>
    </dataValidation>
    <dataValidation type="list" allowBlank="1" showInputMessage="1" showErrorMessage="1" sqref="K453">
      <formula1>"Usado,Nuevo"</formula1>
    </dataValidation>
    <dataValidation type="list" allowBlank="1" showInputMessage="1" showErrorMessage="1" sqref="L453">
      <formula1>"Mercado Envíos a cargo del comprador,Mercado Envíos por mi cuenta"</formula1>
    </dataValidation>
    <dataValidation type="list" allowBlank="1" showInputMessage="1" showErrorMessage="1" sqref="M453">
      <formula1>"Clásica,Premium"</formula1>
    </dataValidation>
    <dataValidation type="list" allowBlank="1" showInputMessage="1" showErrorMessage="1" sqref="O453">
      <formula1>"Activa,Inactiva"</formula1>
    </dataValidation>
    <dataValidation type="list" allowBlank="1" showInputMessage="1" showErrorMessage="1" sqref="J454">
      <formula1>"$,US$,UF"</formula1>
    </dataValidation>
    <dataValidation type="list" allowBlank="1" showInputMessage="1" showErrorMessage="1" sqref="K454">
      <formula1>"Usado,Nuevo"</formula1>
    </dataValidation>
    <dataValidation type="list" allowBlank="1" showInputMessage="1" showErrorMessage="1" sqref="L454">
      <formula1>"Mercado Envíos a cargo del comprador,Mercado Envíos por mi cuenta"</formula1>
    </dataValidation>
    <dataValidation type="list" allowBlank="1" showInputMessage="1" showErrorMessage="1" sqref="M454">
      <formula1>"Clásica,Premium"</formula1>
    </dataValidation>
    <dataValidation type="list" allowBlank="1" showInputMessage="1" showErrorMessage="1" sqref="O454">
      <formula1>"Activa,Inactiva"</formula1>
    </dataValidation>
    <dataValidation type="list" allowBlank="1" showInputMessage="1" showErrorMessage="1" sqref="J455">
      <formula1>"$,US$,UF"</formula1>
    </dataValidation>
    <dataValidation type="list" allowBlank="1" showInputMessage="1" showErrorMessage="1" sqref="K455">
      <formula1>"Usado,Nuevo"</formula1>
    </dataValidation>
    <dataValidation type="list" allowBlank="1" showInputMessage="1" showErrorMessage="1" sqref="L455">
      <formula1>"Mercado Envíos a cargo del comprador,Mercado Envíos gratis"</formula1>
    </dataValidation>
    <dataValidation type="list" allowBlank="1" showInputMessage="1" showErrorMessage="1" sqref="M455">
      <formula1>"Clásica,Premium"</formula1>
    </dataValidation>
    <dataValidation type="list" allowBlank="1" showInputMessage="1" showErrorMessage="1" sqref="O455">
      <formula1>"Activa,Inactiva"</formula1>
    </dataValidation>
    <dataValidation type="list" allowBlank="1" showInputMessage="1" showErrorMessage="1" sqref="J456">
      <formula1>"$,US$,UF"</formula1>
    </dataValidation>
    <dataValidation type="list" allowBlank="1" showInputMessage="1" showErrorMessage="1" sqref="K456">
      <formula1>"Usado,Nuevo"</formula1>
    </dataValidation>
    <dataValidation type="list" allowBlank="1" showInputMessage="1" showErrorMessage="1" sqref="L456">
      <formula1>"Mercado Envíos a cargo del comprador,Mercado Envíos gratis"</formula1>
    </dataValidation>
    <dataValidation type="list" allowBlank="1" showInputMessage="1" showErrorMessage="1" sqref="M456">
      <formula1>"Clásica,Premium"</formula1>
    </dataValidation>
    <dataValidation type="list" allowBlank="1" showInputMessage="1" showErrorMessage="1" sqref="O456">
      <formula1>"Activa,Inactiva"</formula1>
    </dataValidation>
    <dataValidation type="list" allowBlank="1" showInputMessage="1" showErrorMessage="1" sqref="J457">
      <formula1>"$,US$,UF"</formula1>
    </dataValidation>
    <dataValidation type="list" allowBlank="1" showInputMessage="1" showErrorMessage="1" sqref="K457">
      <formula1>"Usado,Nuevo"</formula1>
    </dataValidation>
    <dataValidation type="list" allowBlank="1" showInputMessage="1" showErrorMessage="1" sqref="L457">
      <formula1>"Mercado Envíos a cargo del comprador,Mercado Envíos gratis"</formula1>
    </dataValidation>
    <dataValidation type="list" allowBlank="1" showInputMessage="1" showErrorMessage="1" sqref="M457">
      <formula1>"Clásica,Premium"</formula1>
    </dataValidation>
    <dataValidation type="list" allowBlank="1" showInputMessage="1" showErrorMessage="1" sqref="O457">
      <formula1>"Activa,Inactiva"</formula1>
    </dataValidation>
    <dataValidation type="list" allowBlank="1" showInputMessage="1" showErrorMessage="1" sqref="J458">
      <formula1>"$,US$,UF"</formula1>
    </dataValidation>
    <dataValidation type="list" allowBlank="1" showInputMessage="1" showErrorMessage="1" sqref="K458">
      <formula1>"Usado,Nuevo"</formula1>
    </dataValidation>
    <dataValidation type="list" allowBlank="1" showInputMessage="1" showErrorMessage="1" sqref="L458">
      <formula1>"Mercado Envíos a cargo del comprador,Mercado Envíos gratis"</formula1>
    </dataValidation>
    <dataValidation type="list" allowBlank="1" showInputMessage="1" showErrorMessage="1" sqref="M458">
      <formula1>"Clásica,Premium"</formula1>
    </dataValidation>
    <dataValidation type="list" allowBlank="1" showInputMessage="1" showErrorMessage="1" sqref="O458">
      <formula1>"Activa,Inactiva"</formula1>
    </dataValidation>
    <dataValidation type="list" allowBlank="1" showInputMessage="1" showErrorMessage="1" sqref="J459">
      <formula1>"$,US$,UF"</formula1>
    </dataValidation>
    <dataValidation type="list" allowBlank="1" showInputMessage="1" showErrorMessage="1" sqref="K459">
      <formula1>"Usado,Nuevo"</formula1>
    </dataValidation>
    <dataValidation type="list" allowBlank="1" showInputMessage="1" showErrorMessage="1" sqref="L459">
      <formula1>"Mercado Envíos a cargo del comprador,Mercado Envíos gratis"</formula1>
    </dataValidation>
    <dataValidation type="list" allowBlank="1" showInputMessage="1" showErrorMessage="1" sqref="M459">
      <formula1>"Clásica,Premium"</formula1>
    </dataValidation>
    <dataValidation type="list" allowBlank="1" showInputMessage="1" showErrorMessage="1" sqref="O459">
      <formula1>"Activa,Inactiva"</formula1>
    </dataValidation>
    <dataValidation type="list" allowBlank="1" showInputMessage="1" showErrorMessage="1" sqref="J460">
      <formula1>"$,US$,UF"</formula1>
    </dataValidation>
    <dataValidation type="list" allowBlank="1" showInputMessage="1" showErrorMessage="1" sqref="K460">
      <formula1>"Usado,Nuevo"</formula1>
    </dataValidation>
    <dataValidation type="list" allowBlank="1" showInputMessage="1" showErrorMessage="1" sqref="L460">
      <formula1>"Mercado Envíos a cargo del comprador,Mercado Envíos por mi cuenta"</formula1>
    </dataValidation>
    <dataValidation type="list" allowBlank="1" showInputMessage="1" showErrorMessage="1" sqref="M460">
      <formula1>"Clásica,Premium"</formula1>
    </dataValidation>
    <dataValidation type="list" allowBlank="1" showInputMessage="1" showErrorMessage="1" sqref="O460">
      <formula1>"Activa,Inactiva"</formula1>
    </dataValidation>
    <dataValidation type="list" allowBlank="1" showInputMessage="1" showErrorMessage="1" sqref="J461">
      <formula1>"$,US$,UF"</formula1>
    </dataValidation>
    <dataValidation type="list" allowBlank="1" showInputMessage="1" showErrorMessage="1" sqref="K461">
      <formula1>"Usado,Nuevo"</formula1>
    </dataValidation>
    <dataValidation type="list" allowBlank="1" showInputMessage="1" showErrorMessage="1" sqref="L461">
      <formula1>"Mercado Envíos a cargo del comprador,Mercado Envíos gratis"</formula1>
    </dataValidation>
    <dataValidation type="list" allowBlank="1" showInputMessage="1" showErrorMessage="1" sqref="M461">
      <formula1>"Clásica,Premium"</formula1>
    </dataValidation>
    <dataValidation type="list" allowBlank="1" showInputMessage="1" showErrorMessage="1" sqref="O461">
      <formula1>"Activa,Inactiva"</formula1>
    </dataValidation>
    <dataValidation type="list" allowBlank="1" showInputMessage="1" showErrorMessage="1" sqref="J462">
      <formula1>"$,US$,UF"</formula1>
    </dataValidation>
    <dataValidation type="list" allowBlank="1" showInputMessage="1" showErrorMessage="1" sqref="K462">
      <formula1>"Usado,Nuevo"</formula1>
    </dataValidation>
    <dataValidation type="list" allowBlank="1" showInputMessage="1" showErrorMessage="1" sqref="L462">
      <formula1>"Mercado Envíos a cargo del comprador,Mercado Envíos gratis"</formula1>
    </dataValidation>
    <dataValidation type="list" allowBlank="1" showInputMessage="1" showErrorMessage="1" sqref="M462">
      <formula1>"Clásica,Premium"</formula1>
    </dataValidation>
    <dataValidation type="list" allowBlank="1" showInputMessage="1" showErrorMessage="1" sqref="O462">
      <formula1>"Activa,Inactiva"</formula1>
    </dataValidation>
    <dataValidation type="list" allowBlank="1" showInputMessage="1" showErrorMessage="1" sqref="J463">
      <formula1>"$,US$,UF"</formula1>
    </dataValidation>
    <dataValidation type="list" allowBlank="1" showInputMessage="1" showErrorMessage="1" sqref="K463">
      <formula1>"Usado,Nuevo"</formula1>
    </dataValidation>
    <dataValidation type="list" allowBlank="1" showInputMessage="1" showErrorMessage="1" sqref="L463">
      <formula1>"Mercado Envíos a cargo del comprador,Mercado Envíos gratis"</formula1>
    </dataValidation>
    <dataValidation type="list" allowBlank="1" showInputMessage="1" showErrorMessage="1" sqref="M463">
      <formula1>"Clásica,Premium"</formula1>
    </dataValidation>
    <dataValidation type="list" allowBlank="1" showInputMessage="1" showErrorMessage="1" sqref="O463">
      <formula1>"Activa,Inactiva"</formula1>
    </dataValidation>
    <dataValidation type="list" allowBlank="1" showInputMessage="1" showErrorMessage="1" sqref="J464">
      <formula1>"$,US$,UF"</formula1>
    </dataValidation>
    <dataValidation type="list" allowBlank="1" showInputMessage="1" showErrorMessage="1" sqref="K464">
      <formula1>"Usado,Nuevo"</formula1>
    </dataValidation>
    <dataValidation type="list" allowBlank="1" showInputMessage="1" showErrorMessage="1" sqref="L464">
      <formula1>"Mercado Envíos a cargo del comprador,Mercado Envíos gratis"</formula1>
    </dataValidation>
    <dataValidation type="list" allowBlank="1" showInputMessage="1" showErrorMessage="1" sqref="M464">
      <formula1>"Clásica,Premium"</formula1>
    </dataValidation>
    <dataValidation type="list" allowBlank="1" showInputMessage="1" showErrorMessage="1" sqref="O464">
      <formula1>"Activa,Inactiva"</formula1>
    </dataValidation>
    <dataValidation type="list" allowBlank="1" showInputMessage="1" showErrorMessage="1" sqref="J465">
      <formula1>"$,US$,UF"</formula1>
    </dataValidation>
    <dataValidation type="list" allowBlank="1" showInputMessage="1" showErrorMessage="1" sqref="K465">
      <formula1>"Usado,Nuevo"</formula1>
    </dataValidation>
    <dataValidation type="list" allowBlank="1" showInputMessage="1" showErrorMessage="1" sqref="L465">
      <formula1>"Mercado Envíos a cargo del comprador,Mercado Envíos gratis"</formula1>
    </dataValidation>
    <dataValidation type="list" allowBlank="1" showInputMessage="1" showErrorMessage="1" sqref="M465">
      <formula1>"Clásica,Premium"</formula1>
    </dataValidation>
    <dataValidation type="list" allowBlank="1" showInputMessage="1" showErrorMessage="1" sqref="O465">
      <formula1>"Activa,Inactiva"</formula1>
    </dataValidation>
    <dataValidation type="list" allowBlank="1" showInputMessage="1" showErrorMessage="1" sqref="J466">
      <formula1>"$,US$,UF"</formula1>
    </dataValidation>
    <dataValidation type="list" allowBlank="1" showInputMessage="1" showErrorMessage="1" sqref="K466">
      <formula1>"Usado,Nuevo"</formula1>
    </dataValidation>
    <dataValidation type="list" allowBlank="1" showInputMessage="1" showErrorMessage="1" sqref="L466">
      <formula1>"Mercado Envíos a cargo del comprador,Mercado Envíos gratis"</formula1>
    </dataValidation>
    <dataValidation type="list" allowBlank="1" showInputMessage="1" showErrorMessage="1" sqref="M466">
      <formula1>"Clásica,Premium"</formula1>
    </dataValidation>
    <dataValidation type="list" allowBlank="1" showInputMessage="1" showErrorMessage="1" sqref="O466">
      <formula1>"Activa,Inactiva"</formula1>
    </dataValidation>
    <dataValidation type="list" allowBlank="1" showInputMessage="1" showErrorMessage="1" sqref="J467">
      <formula1>"$,US$,UF"</formula1>
    </dataValidation>
    <dataValidation type="list" allowBlank="1" showInputMessage="1" showErrorMessage="1" sqref="K467">
      <formula1>"Usado,Nuevo"</formula1>
    </dataValidation>
    <dataValidation type="list" allowBlank="1" showInputMessage="1" showErrorMessage="1" sqref="L467">
      <formula1>"Mercado Envíos a cargo del comprador,Mercado Envíos gratis"</formula1>
    </dataValidation>
    <dataValidation type="list" allowBlank="1" showInputMessage="1" showErrorMessage="1" sqref="M467">
      <formula1>"Clásica,Premium"</formula1>
    </dataValidation>
    <dataValidation type="list" allowBlank="1" showInputMessage="1" showErrorMessage="1" sqref="O467">
      <formula1>"Activa,Inactiva"</formula1>
    </dataValidation>
    <dataValidation type="list" allowBlank="1" showInputMessage="1" showErrorMessage="1" sqref="J470">
      <formula1>"$,US$,UF"</formula1>
    </dataValidation>
    <dataValidation type="list" allowBlank="1" showInputMessage="1" showErrorMessage="1" sqref="K470">
      <formula1>"Usado,Nuevo"</formula1>
    </dataValidation>
    <dataValidation type="list" allowBlank="1" showInputMessage="1" showErrorMessage="1" sqref="L470">
      <formula1>"Mercado Envíos a cargo del comprador,Mercado Envíos gratis"</formula1>
    </dataValidation>
    <dataValidation type="list" allowBlank="1" showInputMessage="1" showErrorMessage="1" sqref="M470">
      <formula1>"Clásica,Premium"</formula1>
    </dataValidation>
    <dataValidation type="list" allowBlank="1" showInputMessage="1" showErrorMessage="1" sqref="O470">
      <formula1>"Activa,Inactiva"</formula1>
    </dataValidation>
    <dataValidation type="list" allowBlank="1" showInputMessage="1" showErrorMessage="1" sqref="J471">
      <formula1>"$,US$,UF"</formula1>
    </dataValidation>
    <dataValidation type="list" allowBlank="1" showInputMessage="1" showErrorMessage="1" sqref="K471">
      <formula1>"Usado,Nuevo"</formula1>
    </dataValidation>
    <dataValidation type="list" allowBlank="1" showInputMessage="1" showErrorMessage="1" sqref="L471">
      <formula1>"Mercado Envíos a cargo del comprador,Mercado Envíos gratis"</formula1>
    </dataValidation>
    <dataValidation type="list" allowBlank="1" showInputMessage="1" showErrorMessage="1" sqref="M471">
      <formula1>"Clásica,Premium"</formula1>
    </dataValidation>
    <dataValidation type="list" allowBlank="1" showInputMessage="1" showErrorMessage="1" sqref="O471">
      <formula1>"Activa,Inactiva"</formula1>
    </dataValidation>
    <dataValidation type="list" allowBlank="1" showInputMessage="1" showErrorMessage="1" sqref="J472">
      <formula1>"$,US$,UF"</formula1>
    </dataValidation>
    <dataValidation type="list" allowBlank="1" showInputMessage="1" showErrorMessage="1" sqref="K472">
      <formula1>"Usado,Nuevo"</formula1>
    </dataValidation>
    <dataValidation type="list" allowBlank="1" showInputMessage="1" showErrorMessage="1" sqref="L472">
      <formula1>"Mercado Envíos a cargo del comprador,Mercado Envíos gratis"</formula1>
    </dataValidation>
    <dataValidation type="list" allowBlank="1" showInputMessage="1" showErrorMessage="1" sqref="M472">
      <formula1>"Clásica,Premium"</formula1>
    </dataValidation>
    <dataValidation type="list" allowBlank="1" showInputMessage="1" showErrorMessage="1" sqref="O472">
      <formula1>"Activa,Inactiva"</formula1>
    </dataValidation>
    <dataValidation type="list" allowBlank="1" showInputMessage="1" showErrorMessage="1" sqref="J473">
      <formula1>"$,US$,UF"</formula1>
    </dataValidation>
    <dataValidation type="list" allowBlank="1" showInputMessage="1" showErrorMessage="1" sqref="K473">
      <formula1>"Usado,Nuevo"</formula1>
    </dataValidation>
    <dataValidation type="list" allowBlank="1" showInputMessage="1" showErrorMessage="1" sqref="L473">
      <formula1>"Mercado Envíos a cargo del comprador,Mercado Envíos gratis"</formula1>
    </dataValidation>
    <dataValidation type="list" allowBlank="1" showInputMessage="1" showErrorMessage="1" sqref="M473">
      <formula1>"Clásica,Premium"</formula1>
    </dataValidation>
    <dataValidation type="list" allowBlank="1" showInputMessage="1" showErrorMessage="1" sqref="O473">
      <formula1>"Activa,Inactiva"</formula1>
    </dataValidation>
    <dataValidation type="list" allowBlank="1" showInputMessage="1" showErrorMessage="1" sqref="J477">
      <formula1>"$,US$,UF"</formula1>
    </dataValidation>
    <dataValidation type="list" allowBlank="1" showInputMessage="1" showErrorMessage="1" sqref="K477">
      <formula1>"Usado,Nuevo"</formula1>
    </dataValidation>
    <dataValidation type="list" allowBlank="1" showInputMessage="1" showErrorMessage="1" sqref="L477">
      <formula1>"Mercado Envíos a cargo del comprador,Mercado Envíos gratis"</formula1>
    </dataValidation>
    <dataValidation type="list" allowBlank="1" showInputMessage="1" showErrorMessage="1" sqref="M477">
      <formula1>"Clásica,Premium"</formula1>
    </dataValidation>
    <dataValidation type="list" allowBlank="1" showInputMessage="1" showErrorMessage="1" sqref="O477">
      <formula1>"Activa,Inactiva"</formula1>
    </dataValidation>
    <dataValidation type="list" allowBlank="1" showInputMessage="1" showErrorMessage="1" sqref="J478">
      <formula1>"$,US$,UF"</formula1>
    </dataValidation>
    <dataValidation type="list" allowBlank="1" showInputMessage="1" showErrorMessage="1" sqref="K478">
      <formula1>"Nuevo"</formula1>
    </dataValidation>
    <dataValidation type="list" allowBlank="1" showInputMessage="1" showErrorMessage="1" sqref="L478">
      <formula1>"Mercado Envíos a cargo del comprador,Mercado Envíos gratis"</formula1>
    </dataValidation>
    <dataValidation type="list" allowBlank="1" showInputMessage="1" showErrorMessage="1" sqref="M478">
      <formula1>"Clásica,Premium"</formula1>
    </dataValidation>
    <dataValidation type="list" allowBlank="1" showInputMessage="1" showErrorMessage="1" sqref="O478">
      <formula1>"Activa,Inactiva"</formula1>
    </dataValidation>
    <dataValidation type="list" allowBlank="1" showInputMessage="1" showErrorMessage="1" sqref="J479">
      <formula1>"$,US$,UF"</formula1>
    </dataValidation>
    <dataValidation type="list" allowBlank="1" showInputMessage="1" showErrorMessage="1" sqref="L479">
      <formula1>"Mercado Envíos a cargo del comprador,Mercado Envíos gratis"</formula1>
    </dataValidation>
    <dataValidation type="list" allowBlank="1" showInputMessage="1" showErrorMessage="1" sqref="M479">
      <formula1>"Clásica,Premium"</formula1>
    </dataValidation>
    <dataValidation type="list" allowBlank="1" showInputMessage="1" showErrorMessage="1" sqref="O479">
      <formula1>"Activa,Inactiva"</formula1>
    </dataValidation>
    <dataValidation type="list" allowBlank="1" showInputMessage="1" showErrorMessage="1" sqref="J480">
      <formula1>"$,US$,UF"</formula1>
    </dataValidation>
    <dataValidation type="list" allowBlank="1" showInputMessage="1" showErrorMessage="1" sqref="L480">
      <formula1>"Mercado Envíos a cargo del comprador,Mercado Envíos por mi cuenta"</formula1>
    </dataValidation>
    <dataValidation type="list" allowBlank="1" showInputMessage="1" showErrorMessage="1" sqref="M480">
      <formula1>"Clásica,Premium"</formula1>
    </dataValidation>
    <dataValidation type="list" allowBlank="1" showInputMessage="1" showErrorMessage="1" sqref="O480">
      <formula1>"Activa,Inactiva"</formula1>
    </dataValidation>
    <dataValidation type="list" allowBlank="1" showInputMessage="1" showErrorMessage="1" sqref="J481">
      <formula1>"$,US$,UF"</formula1>
    </dataValidation>
    <dataValidation type="list" allowBlank="1" showInputMessage="1" showErrorMessage="1" sqref="K481">
      <formula1>"Usado,Nuevo"</formula1>
    </dataValidation>
    <dataValidation type="list" allowBlank="1" showInputMessage="1" showErrorMessage="1" sqref="L481">
      <formula1>"Mercado Envíos a cargo del comprador,Mercado Envíos gratis"</formula1>
    </dataValidation>
    <dataValidation type="list" allowBlank="1" showInputMessage="1" showErrorMessage="1" sqref="M481">
      <formula1>"Clásica,Premium"</formula1>
    </dataValidation>
    <dataValidation type="list" allowBlank="1" showInputMessage="1" showErrorMessage="1" sqref="O481">
      <formula1>"Activa,Inactiva"</formula1>
    </dataValidation>
    <dataValidation type="list" allowBlank="1" showInputMessage="1" showErrorMessage="1" sqref="J484">
      <formula1>"$,US$,UF"</formula1>
    </dataValidation>
    <dataValidation type="list" allowBlank="1" showInputMessage="1" showErrorMessage="1" sqref="K484">
      <formula1>"Usado,Nuevo"</formula1>
    </dataValidation>
    <dataValidation type="list" allowBlank="1" showInputMessage="1" showErrorMessage="1" sqref="L484">
      <formula1>"Mercado Envíos a cargo del comprador,Mercado Envíos gratis"</formula1>
    </dataValidation>
    <dataValidation type="list" allowBlank="1" showInputMessage="1" showErrorMessage="1" sqref="M484">
      <formula1>"Clásica,Premium"</formula1>
    </dataValidation>
    <dataValidation type="list" allowBlank="1" showInputMessage="1" showErrorMessage="1" sqref="O484">
      <formula1>"Activa,Inactiva"</formula1>
    </dataValidation>
    <dataValidation type="list" allowBlank="1" showInputMessage="1" showErrorMessage="1" sqref="J485">
      <formula1>"$,US$,UF"</formula1>
    </dataValidation>
    <dataValidation type="list" allowBlank="1" showInputMessage="1" showErrorMessage="1" sqref="K485">
      <formula1>"Usado,Nuevo"</formula1>
    </dataValidation>
    <dataValidation type="list" allowBlank="1" showInputMessage="1" showErrorMessage="1" sqref="L485">
      <formula1>"Mercado Envíos a cargo del comprador,Mercado Envíos por mi cuenta"</formula1>
    </dataValidation>
    <dataValidation type="list" allowBlank="1" showInputMessage="1" showErrorMessage="1" sqref="M485">
      <formula1>"Clásica,Premium"</formula1>
    </dataValidation>
    <dataValidation type="list" allowBlank="1" showInputMessage="1" showErrorMessage="1" sqref="O485">
      <formula1>"Activa,Inactiva"</formula1>
    </dataValidation>
    <dataValidation type="list" allowBlank="1" showInputMessage="1" showErrorMessage="1" sqref="J486">
      <formula1>"$,US$,UF"</formula1>
    </dataValidation>
    <dataValidation type="list" allowBlank="1" showInputMessage="1" showErrorMessage="1" sqref="K486">
      <formula1>"Usado,Nuevo"</formula1>
    </dataValidation>
    <dataValidation type="list" allowBlank="1" showInputMessage="1" showErrorMessage="1" sqref="L486">
      <formula1>"Mercado Envíos a cargo del comprador,Mercado Envíos por mi cuenta"</formula1>
    </dataValidation>
    <dataValidation type="list" allowBlank="1" showInputMessage="1" showErrorMessage="1" sqref="M486">
      <formula1>"Clásica,Premium"</formula1>
    </dataValidation>
    <dataValidation type="list" allowBlank="1" showInputMessage="1" showErrorMessage="1" sqref="O486">
      <formula1>"Activa,Inactiva"</formula1>
    </dataValidation>
    <dataValidation type="list" allowBlank="1" showInputMessage="1" showErrorMessage="1" sqref="J487">
      <formula1>"$,US$,UF"</formula1>
    </dataValidation>
    <dataValidation type="list" allowBlank="1" showInputMessage="1" showErrorMessage="1" sqref="K487">
      <formula1>"Usado,Nuevo"</formula1>
    </dataValidation>
    <dataValidation type="list" allowBlank="1" showInputMessage="1" showErrorMessage="1" sqref="L487">
      <formula1>"Mercado Envíos a cargo del comprador,Mercado Envíos gratis"</formula1>
    </dataValidation>
    <dataValidation type="list" allowBlank="1" showInputMessage="1" showErrorMessage="1" sqref="M487">
      <formula1>"Clásica,Premium"</formula1>
    </dataValidation>
    <dataValidation type="list" allowBlank="1" showInputMessage="1" showErrorMessage="1" sqref="O487">
      <formula1>"Activa,Inactiva"</formula1>
    </dataValidation>
    <dataValidation type="list" allowBlank="1" showInputMessage="1" showErrorMessage="1" sqref="J488">
      <formula1>"$,US$,UF"</formula1>
    </dataValidation>
    <dataValidation type="list" allowBlank="1" showInputMessage="1" showErrorMessage="1" sqref="K488">
      <formula1>"Usado,Nuevo"</formula1>
    </dataValidation>
    <dataValidation type="list" allowBlank="1" showInputMessage="1" showErrorMessage="1" sqref="L488">
      <formula1>"Mercado Envíos a cargo del comprador,Mercado Envíos gratis"</formula1>
    </dataValidation>
    <dataValidation type="list" allowBlank="1" showInputMessage="1" showErrorMessage="1" sqref="M488">
      <formula1>"Clásica,Premium"</formula1>
    </dataValidation>
    <dataValidation type="list" allowBlank="1" showInputMessage="1" showErrorMessage="1" sqref="O488">
      <formula1>"Activa,Inactiva"</formula1>
    </dataValidation>
    <dataValidation type="list" allowBlank="1" showInputMessage="1" showErrorMessage="1" sqref="J489">
      <formula1>"$,US$,UF"</formula1>
    </dataValidation>
    <dataValidation type="list" allowBlank="1" showInputMessage="1" showErrorMessage="1" sqref="K489">
      <formula1>"Usado,Nuevo"</formula1>
    </dataValidation>
    <dataValidation type="list" allowBlank="1" showInputMessage="1" showErrorMessage="1" sqref="L489">
      <formula1>"Mercado Envíos a cargo del comprador,Mercado Envíos por mi cuenta"</formula1>
    </dataValidation>
    <dataValidation type="list" allowBlank="1" showInputMessage="1" showErrorMessage="1" sqref="M489">
      <formula1>"Clásica,Premium"</formula1>
    </dataValidation>
    <dataValidation type="list" allowBlank="1" showInputMessage="1" showErrorMessage="1" sqref="O489">
      <formula1>"Activa,Inactiva"</formula1>
    </dataValidation>
    <dataValidation type="list" allowBlank="1" showInputMessage="1" showErrorMessage="1" sqref="J490">
      <formula1>"$,US$,UF"</formula1>
    </dataValidation>
    <dataValidation type="list" allowBlank="1" showInputMessage="1" showErrorMessage="1" sqref="K490">
      <formula1>"Nuevo"</formula1>
    </dataValidation>
    <dataValidation type="list" allowBlank="1" showInputMessage="1" showErrorMessage="1" sqref="L490">
      <formula1>"Mercado Envíos a cargo del comprador,Mercado Envíos gratis"</formula1>
    </dataValidation>
    <dataValidation type="list" allowBlank="1" showInputMessage="1" showErrorMessage="1" sqref="M490">
      <formula1>"Clásica,Premium"</formula1>
    </dataValidation>
    <dataValidation type="list" allowBlank="1" showInputMessage="1" showErrorMessage="1" sqref="O490">
      <formula1>"Activa,Inactiva"</formula1>
    </dataValidation>
    <dataValidation type="list" allowBlank="1" showInputMessage="1" showErrorMessage="1" sqref="J491">
      <formula1>"$,US$,UF"</formula1>
    </dataValidation>
    <dataValidation type="list" allowBlank="1" showInputMessage="1" showErrorMessage="1" sqref="L491">
      <formula1>"Mercado Envíos a cargo del comprador,Mercado Envíos gratis"</formula1>
    </dataValidation>
    <dataValidation type="list" allowBlank="1" showInputMessage="1" showErrorMessage="1" sqref="M491">
      <formula1>"Clásica,Premium"</formula1>
    </dataValidation>
    <dataValidation type="list" allowBlank="1" showInputMessage="1" showErrorMessage="1" sqref="O491">
      <formula1>"Activa,Inactiva"</formula1>
    </dataValidation>
    <dataValidation type="list" allowBlank="1" showInputMessage="1" showErrorMessage="1" sqref="J492">
      <formula1>"$,US$,UF"</formula1>
    </dataValidation>
    <dataValidation type="list" allowBlank="1" showInputMessage="1" showErrorMessage="1" sqref="K492">
      <formula1>"Usado,Nuevo"</formula1>
    </dataValidation>
    <dataValidation type="list" allowBlank="1" showInputMessage="1" showErrorMessage="1" sqref="L492">
      <formula1>"Mercado Envíos a cargo del comprador,Mercado Envíos por mi cuenta"</formula1>
    </dataValidation>
    <dataValidation type="list" allowBlank="1" showInputMessage="1" showErrorMessage="1" sqref="M492">
      <formula1>"Clásica,Premium"</formula1>
    </dataValidation>
    <dataValidation type="list" allowBlank="1" showInputMessage="1" showErrorMessage="1" sqref="O492">
      <formula1>"Activa,Inactiva"</formula1>
    </dataValidation>
    <dataValidation type="list" allowBlank="1" showInputMessage="1" showErrorMessage="1" sqref="J493">
      <formula1>"$,US$,UF"</formula1>
    </dataValidation>
    <dataValidation type="list" allowBlank="1" showInputMessage="1" showErrorMessage="1" sqref="K493">
      <formula1>"Usado,Nuevo,Reacondicionado"</formula1>
    </dataValidation>
    <dataValidation type="list" allowBlank="1" showInputMessage="1" showErrorMessage="1" sqref="L493">
      <formula1>"Mercado Envíos a cargo del comprador,Mercado Envíos gratis"</formula1>
    </dataValidation>
    <dataValidation type="list" allowBlank="1" showInputMessage="1" showErrorMessage="1" sqref="M493">
      <formula1>"Clásica,Premium"</formula1>
    </dataValidation>
    <dataValidation type="list" allowBlank="1" showInputMessage="1" showErrorMessage="1" sqref="O493">
      <formula1>"Activa,Inactiva"</formula1>
    </dataValidation>
    <dataValidation type="list" allowBlank="1" showInputMessage="1" showErrorMessage="1" sqref="J494">
      <formula1>"$,US$,UF"</formula1>
    </dataValidation>
    <dataValidation type="list" allowBlank="1" showInputMessage="1" showErrorMessage="1" sqref="K494">
      <formula1>"Nuevo"</formula1>
    </dataValidation>
    <dataValidation type="list" allowBlank="1" showInputMessage="1" showErrorMessage="1" sqref="L494">
      <formula1>"Mercado Envíos a cargo del comprador,Mercado Envíos gratis"</formula1>
    </dataValidation>
    <dataValidation type="list" allowBlank="1" showInputMessage="1" showErrorMessage="1" sqref="M494">
      <formula1>"Clásica,Premium"</formula1>
    </dataValidation>
    <dataValidation type="list" allowBlank="1" showInputMessage="1" showErrorMessage="1" sqref="O494">
      <formula1>"Activa,Inactiva"</formula1>
    </dataValidation>
    <dataValidation type="list" allowBlank="1" showInputMessage="1" showErrorMessage="1" sqref="J495">
      <formula1>"$,US$,UF"</formula1>
    </dataValidation>
    <dataValidation type="list" allowBlank="1" showInputMessage="1" showErrorMessage="1" sqref="L495">
      <formula1>"Mercado Envíos a cargo del comprador,Mercado Envíos gratis"</formula1>
    </dataValidation>
    <dataValidation type="list" allowBlank="1" showInputMessage="1" showErrorMessage="1" sqref="M495">
      <formula1>"Clásica,Premium"</formula1>
    </dataValidation>
    <dataValidation type="list" allowBlank="1" showInputMessage="1" showErrorMessage="1" sqref="O495">
      <formula1>"Activa,Inactiva"</formula1>
    </dataValidation>
    <dataValidation type="list" allowBlank="1" showInputMessage="1" showErrorMessage="1" sqref="J496">
      <formula1>"$,US$,UF"</formula1>
    </dataValidation>
    <dataValidation type="list" allowBlank="1" showInputMessage="1" showErrorMessage="1" sqref="K496">
      <formula1>"Nuevo"</formula1>
    </dataValidation>
    <dataValidation type="list" allowBlank="1" showInputMessage="1" showErrorMessage="1" sqref="M496">
      <formula1>"Clásica,Premium"</formula1>
    </dataValidation>
    <dataValidation type="list" allowBlank="1" showInputMessage="1" showErrorMessage="1" sqref="O496">
      <formula1>"Activa,Inactiva"</formula1>
    </dataValidation>
    <dataValidation type="list" allowBlank="1" showInputMessage="1" showErrorMessage="1" sqref="J497">
      <formula1>"$,US$,UF"</formula1>
    </dataValidation>
    <dataValidation type="list" allowBlank="1" showInputMessage="1" showErrorMessage="1" sqref="K497">
      <formula1>"Usado,Nuevo"</formula1>
    </dataValidation>
    <dataValidation type="list" allowBlank="1" showInputMessage="1" showErrorMessage="1" sqref="L497">
      <formula1>"Mercado Envíos a cargo del comprador,Mercado Envíos gratis"</formula1>
    </dataValidation>
    <dataValidation type="list" allowBlank="1" showInputMessage="1" showErrorMessage="1" sqref="M497">
      <formula1>"Clásica,Premium"</formula1>
    </dataValidation>
    <dataValidation type="list" allowBlank="1" showInputMessage="1" showErrorMessage="1" sqref="O497">
      <formula1>"Activa,Inactiva"</formula1>
    </dataValidation>
    <dataValidation type="list" allowBlank="1" showInputMessage="1" showErrorMessage="1" sqref="J498">
      <formula1>"$,US$,UF"</formula1>
    </dataValidation>
    <dataValidation type="list" allowBlank="1" showInputMessage="1" showErrorMessage="1" sqref="K498">
      <formula1>"Usado,Nuevo"</formula1>
    </dataValidation>
    <dataValidation type="list" allowBlank="1" showInputMessage="1" showErrorMessage="1" sqref="L498">
      <formula1>"Mercado Envíos a cargo del comprador,Mercado Envíos gratis"</formula1>
    </dataValidation>
    <dataValidation type="list" allowBlank="1" showInputMessage="1" showErrorMessage="1" sqref="M498">
      <formula1>"Clásica,Premium"</formula1>
    </dataValidation>
    <dataValidation type="list" allowBlank="1" showInputMessage="1" showErrorMessage="1" sqref="O498">
      <formula1>"Activa,Inactiva"</formula1>
    </dataValidation>
    <dataValidation type="list" allowBlank="1" showInputMessage="1" showErrorMessage="1" sqref="J499">
      <formula1>"$,US$,UF"</formula1>
    </dataValidation>
    <dataValidation type="list" allowBlank="1" showInputMessage="1" showErrorMessage="1" sqref="K499">
      <formula1>"Nuevo"</formula1>
    </dataValidation>
    <dataValidation type="list" allowBlank="1" showInputMessage="1" showErrorMessage="1" sqref="L499">
      <formula1>"Mercado Envíos a cargo del comprador,Mercado Envíos gratis"</formula1>
    </dataValidation>
    <dataValidation type="list" allowBlank="1" showInputMessage="1" showErrorMessage="1" sqref="M499">
      <formula1>"Clásica,Premium"</formula1>
    </dataValidation>
    <dataValidation type="list" allowBlank="1" showInputMessage="1" showErrorMessage="1" sqref="O499">
      <formula1>"Activa,Inactiva"</formula1>
    </dataValidation>
    <dataValidation type="list" allowBlank="1" showInputMessage="1" showErrorMessage="1" sqref="J500">
      <formula1>"$,US$,UF"</formula1>
    </dataValidation>
    <dataValidation type="list" allowBlank="1" showInputMessage="1" showErrorMessage="1" sqref="K500">
      <formula1>"Usado,Nuevo"</formula1>
    </dataValidation>
    <dataValidation type="list" allowBlank="1" showInputMessage="1" showErrorMessage="1" sqref="L500">
      <formula1>"Mercado Envíos a cargo del comprador,Mercado Envíos gratis"</formula1>
    </dataValidation>
    <dataValidation type="list" allowBlank="1" showInputMessage="1" showErrorMessage="1" sqref="M500">
      <formula1>"Clásica,Premium"</formula1>
    </dataValidation>
    <dataValidation type="list" allowBlank="1" showInputMessage="1" showErrorMessage="1" sqref="O500">
      <formula1>"Activa,Inactiva"</formula1>
    </dataValidation>
    <dataValidation type="list" allowBlank="1" showInputMessage="1" showErrorMessage="1" sqref="J501">
      <formula1>"$,US$,UF"</formula1>
    </dataValidation>
    <dataValidation type="list" allowBlank="1" showInputMessage="1" showErrorMessage="1" sqref="K501">
      <formula1>"Usado,Nuevo"</formula1>
    </dataValidation>
    <dataValidation type="list" allowBlank="1" showInputMessage="1" showErrorMessage="1" sqref="L501">
      <formula1>"Mercado Envíos a cargo del comprador,Mercado Envíos gratis"</formula1>
    </dataValidation>
    <dataValidation type="list" allowBlank="1" showInputMessage="1" showErrorMessage="1" sqref="M501">
      <formula1>"Clásica,Premium"</formula1>
    </dataValidation>
    <dataValidation type="list" allowBlank="1" showInputMessage="1" showErrorMessage="1" sqref="O501">
      <formula1>"Activa,Inactiva"</formula1>
    </dataValidation>
    <dataValidation type="list" allowBlank="1" showInputMessage="1" showErrorMessage="1" sqref="J502">
      <formula1>"$,US$,UF"</formula1>
    </dataValidation>
    <dataValidation type="list" allowBlank="1" showInputMessage="1" showErrorMessage="1" sqref="K502">
      <formula1>"Usado,Nuevo"</formula1>
    </dataValidation>
    <dataValidation type="list" allowBlank="1" showInputMessage="1" showErrorMessage="1" sqref="L502">
      <formula1>"Mercado Envíos a cargo del comprador,Mercado Envíos gratis"</formula1>
    </dataValidation>
    <dataValidation type="list" allowBlank="1" showInputMessage="1" showErrorMessage="1" sqref="M502">
      <formula1>"Clásica,Premium"</formula1>
    </dataValidation>
    <dataValidation type="list" allowBlank="1" showInputMessage="1" showErrorMessage="1" sqref="O502">
      <formula1>"Activa,Inactiva"</formula1>
    </dataValidation>
    <dataValidation type="list" allowBlank="1" showInputMessage="1" showErrorMessage="1" sqref="J503">
      <formula1>"$,US$,UF"</formula1>
    </dataValidation>
    <dataValidation type="list" allowBlank="1" showInputMessage="1" showErrorMessage="1" sqref="K503">
      <formula1>"Usado,Nuevo"</formula1>
    </dataValidation>
    <dataValidation type="list" allowBlank="1" showInputMessage="1" showErrorMessage="1" sqref="L503">
      <formula1>"Mercado Envíos a cargo del comprador,Mercado Envíos gratis"</formula1>
    </dataValidation>
    <dataValidation type="list" allowBlank="1" showInputMessage="1" showErrorMessage="1" sqref="M503">
      <formula1>"Clásica,Premium"</formula1>
    </dataValidation>
    <dataValidation type="list" allowBlank="1" showInputMessage="1" showErrorMessage="1" sqref="O503">
      <formula1>"Activa,Inactiva"</formula1>
    </dataValidation>
    <dataValidation type="list" allowBlank="1" showInputMessage="1" showErrorMessage="1" sqref="J504">
      <formula1>"$,US$,UF"</formula1>
    </dataValidation>
    <dataValidation type="list" allowBlank="1" showInputMessage="1" showErrorMessage="1" sqref="K504">
      <formula1>"Usado,Nuevo"</formula1>
    </dataValidation>
    <dataValidation type="list" allowBlank="1" showInputMessage="1" showErrorMessage="1" sqref="L504">
      <formula1>"Mercado Envíos a cargo del comprador,Mercado Envíos gratis"</formula1>
    </dataValidation>
    <dataValidation type="list" allowBlank="1" showInputMessage="1" showErrorMessage="1" sqref="M504">
      <formula1>"Clásica,Premium"</formula1>
    </dataValidation>
    <dataValidation type="list" allowBlank="1" showInputMessage="1" showErrorMessage="1" sqref="O504">
      <formula1>"Activa,Inactiva"</formula1>
    </dataValidation>
    <dataValidation type="list" allowBlank="1" showInputMessage="1" showErrorMessage="1" sqref="J507">
      <formula1>"$,US$,UF"</formula1>
    </dataValidation>
    <dataValidation type="list" allowBlank="1" showInputMessage="1" showErrorMessage="1" sqref="K507">
      <formula1>"Usado,Nuevo"</formula1>
    </dataValidation>
    <dataValidation type="list" allowBlank="1" showInputMessage="1" showErrorMessage="1" sqref="L507">
      <formula1>"Mercado Envíos a cargo del comprador,Mercado Envíos gratis"</formula1>
    </dataValidation>
    <dataValidation type="list" allowBlank="1" showInputMessage="1" showErrorMessage="1" sqref="M507">
      <formula1>"Clásica,Premium"</formula1>
    </dataValidation>
    <dataValidation type="list" allowBlank="1" showInputMessage="1" showErrorMessage="1" sqref="O507">
      <formula1>"Activa,Inactiva"</formula1>
    </dataValidation>
    <dataValidation type="list" allowBlank="1" showInputMessage="1" showErrorMessage="1" sqref="J508">
      <formula1>"$,US$,UF"</formula1>
    </dataValidation>
    <dataValidation type="list" allowBlank="1" showInputMessage="1" showErrorMessage="1" sqref="K508">
      <formula1>"Usado,Nuevo"</formula1>
    </dataValidation>
    <dataValidation type="list" allowBlank="1" showInputMessage="1" showErrorMessage="1" sqref="L508">
      <formula1>"Mercado Envíos a cargo del comprador,Mercado Envíos gratis"</formula1>
    </dataValidation>
    <dataValidation type="list" allowBlank="1" showInputMessage="1" showErrorMessage="1" sqref="M508">
      <formula1>"Clásica,Premium"</formula1>
    </dataValidation>
    <dataValidation type="list" allowBlank="1" showInputMessage="1" showErrorMessage="1" sqref="O508">
      <formula1>"Activa,Inactiva"</formula1>
    </dataValidation>
    <dataValidation type="list" allowBlank="1" showInputMessage="1" showErrorMessage="1" sqref="J509">
      <formula1>"$,US$,UF"</formula1>
    </dataValidation>
    <dataValidation type="list" allowBlank="1" showInputMessage="1" showErrorMessage="1" sqref="K509">
      <formula1>"Usado,Nuevo"</formula1>
    </dataValidation>
    <dataValidation type="list" allowBlank="1" showInputMessage="1" showErrorMessage="1" sqref="L509">
      <formula1>"Mercado Envíos a cargo del comprador,Mercado Envíos gratis"</formula1>
    </dataValidation>
    <dataValidation type="list" allowBlank="1" showInputMessage="1" showErrorMessage="1" sqref="M509">
      <formula1>"Clásica,Premium"</formula1>
    </dataValidation>
    <dataValidation type="list" allowBlank="1" showInputMessage="1" showErrorMessage="1" sqref="O509">
      <formula1>"Activa,Inactiva"</formula1>
    </dataValidation>
    <dataValidation type="list" allowBlank="1" showInputMessage="1" showErrorMessage="1" sqref="J510">
      <formula1>"$,US$,UF"</formula1>
    </dataValidation>
    <dataValidation type="list" allowBlank="1" showInputMessage="1" showErrorMessage="1" sqref="K510">
      <formula1>"Usado,Nuevo"</formula1>
    </dataValidation>
    <dataValidation type="list" allowBlank="1" showInputMessage="1" showErrorMessage="1" sqref="L510">
      <formula1>"Mercado Envíos a cargo del comprador,Mercado Envíos gratis"</formula1>
    </dataValidation>
    <dataValidation type="list" allowBlank="1" showInputMessage="1" showErrorMessage="1" sqref="M510">
      <formula1>"Clásica,Premium"</formula1>
    </dataValidation>
    <dataValidation type="list" allowBlank="1" showInputMessage="1" showErrorMessage="1" sqref="O510">
      <formula1>"Activa,Inactiva"</formula1>
    </dataValidation>
    <dataValidation type="list" allowBlank="1" showInputMessage="1" showErrorMessage="1" sqref="J511">
      <formula1>"$,US$,UF"</formula1>
    </dataValidation>
    <dataValidation type="list" allowBlank="1" showInputMessage="1" showErrorMessage="1" sqref="K511">
      <formula1>"Usado,Nuevo"</formula1>
    </dataValidation>
    <dataValidation type="list" allowBlank="1" showInputMessage="1" showErrorMessage="1" sqref="L511">
      <formula1>"Mercado Envíos a cargo del comprador,Mercado Envíos gratis"</formula1>
    </dataValidation>
    <dataValidation type="list" allowBlank="1" showInputMessage="1" showErrorMessage="1" sqref="M511">
      <formula1>"Clásica,Premium"</formula1>
    </dataValidation>
    <dataValidation type="list" allowBlank="1" showInputMessage="1" showErrorMessage="1" sqref="O511">
      <formula1>"Activa,Inactiva"</formula1>
    </dataValidation>
    <dataValidation type="list" allowBlank="1" showInputMessage="1" showErrorMessage="1" sqref="J512">
      <formula1>"$,US$,UF"</formula1>
    </dataValidation>
    <dataValidation type="list" allowBlank="1" showInputMessage="1" showErrorMessage="1" sqref="K512">
      <formula1>"Usado,Nuevo"</formula1>
    </dataValidation>
    <dataValidation type="list" allowBlank="1" showInputMessage="1" showErrorMessage="1" sqref="L512">
      <formula1>"Mercado Envíos a cargo del comprador,Mercado Envíos gratis"</formula1>
    </dataValidation>
    <dataValidation type="list" allowBlank="1" showInputMessage="1" showErrorMessage="1" sqref="M512">
      <formula1>"Clásica,Premium"</formula1>
    </dataValidation>
    <dataValidation type="list" allowBlank="1" showInputMessage="1" showErrorMessage="1" sqref="O512">
      <formula1>"Activa,Inactiva"</formula1>
    </dataValidation>
    <dataValidation type="list" allowBlank="1" showInputMessage="1" showErrorMessage="1" sqref="J513">
      <formula1>"$,US$,UF"</formula1>
    </dataValidation>
    <dataValidation type="list" allowBlank="1" showInputMessage="1" showErrorMessage="1" sqref="K513">
      <formula1>"Usado,Nuevo"</formula1>
    </dataValidation>
    <dataValidation type="list" allowBlank="1" showInputMessage="1" showErrorMessage="1" sqref="L513">
      <formula1>"Mercado Envíos a cargo del comprador,Mercado Envíos gratis"</formula1>
    </dataValidation>
    <dataValidation type="list" allowBlank="1" showInputMessage="1" showErrorMessage="1" sqref="M513">
      <formula1>"Clásica,Premium"</formula1>
    </dataValidation>
    <dataValidation type="list" allowBlank="1" showInputMessage="1" showErrorMessage="1" sqref="O513">
      <formula1>"Activa,Inactiva"</formula1>
    </dataValidation>
    <dataValidation type="list" allowBlank="1" showInputMessage="1" showErrorMessage="1" sqref="J514">
      <formula1>"$,US$,UF"</formula1>
    </dataValidation>
    <dataValidation type="list" allowBlank="1" showInputMessage="1" showErrorMessage="1" sqref="K514">
      <formula1>"Usado,Nuevo"</formula1>
    </dataValidation>
    <dataValidation type="list" allowBlank="1" showInputMessage="1" showErrorMessage="1" sqref="L514">
      <formula1>"Mercado Envíos a cargo del comprador,Mercado Envíos gratis"</formula1>
    </dataValidation>
    <dataValidation type="list" allowBlank="1" showInputMessage="1" showErrorMessage="1" sqref="M514">
      <formula1>"Clásica,Premium"</formula1>
    </dataValidation>
    <dataValidation type="list" allowBlank="1" showInputMessage="1" showErrorMessage="1" sqref="O514">
      <formula1>"Activa,Inactiva"</formula1>
    </dataValidation>
    <dataValidation type="list" allowBlank="1" showInputMessage="1" showErrorMessage="1" sqref="J515">
      <formula1>"$,US$,UF"</formula1>
    </dataValidation>
    <dataValidation type="list" allowBlank="1" showInputMessage="1" showErrorMessage="1" sqref="K515">
      <formula1>"Usado,Nuevo"</formula1>
    </dataValidation>
    <dataValidation type="list" allowBlank="1" showInputMessage="1" showErrorMessage="1" sqref="L515">
      <formula1>"Mercado Envíos a cargo del comprador,Mercado Envíos gratis"</formula1>
    </dataValidation>
    <dataValidation type="list" allowBlank="1" showInputMessage="1" showErrorMessage="1" sqref="M515">
      <formula1>"Clásica,Premium"</formula1>
    </dataValidation>
    <dataValidation type="list" allowBlank="1" showInputMessage="1" showErrorMessage="1" sqref="O515">
      <formula1>"Activa,Inactiva"</formula1>
    </dataValidation>
    <dataValidation type="list" allowBlank="1" showInputMessage="1" showErrorMessage="1" sqref="J516">
      <formula1>"$,US$,UF"</formula1>
    </dataValidation>
    <dataValidation type="list" allowBlank="1" showInputMessage="1" showErrorMessage="1" sqref="K516">
      <formula1>"Usado,Nuevo"</formula1>
    </dataValidation>
    <dataValidation type="list" allowBlank="1" showInputMessage="1" showErrorMessage="1" sqref="L516">
      <formula1>"Mercado Envíos a cargo del comprador,Mercado Envíos gratis"</formula1>
    </dataValidation>
    <dataValidation type="list" allowBlank="1" showInputMessage="1" showErrorMessage="1" sqref="M516">
      <formula1>"Clásica,Premium"</formula1>
    </dataValidation>
    <dataValidation type="list" allowBlank="1" showInputMessage="1" showErrorMessage="1" sqref="O516">
      <formula1>"Activa,Inactiva"</formula1>
    </dataValidation>
    <dataValidation type="list" allowBlank="1" showInputMessage="1" showErrorMessage="1" sqref="J517">
      <formula1>"$,US$,UF"</formula1>
    </dataValidation>
    <dataValidation type="list" allowBlank="1" showInputMessage="1" showErrorMessage="1" sqref="K517">
      <formula1>"Usado,Nuevo"</formula1>
    </dataValidation>
    <dataValidation type="list" allowBlank="1" showInputMessage="1" showErrorMessage="1" sqref="L517">
      <formula1>"Mercado Envíos a cargo del comprador,Mercado Envíos gratis"</formula1>
    </dataValidation>
    <dataValidation type="list" allowBlank="1" showInputMessage="1" showErrorMessage="1" sqref="M517">
      <formula1>"Clásica,Premium"</formula1>
    </dataValidation>
    <dataValidation type="list" allowBlank="1" showInputMessage="1" showErrorMessage="1" sqref="O517">
      <formula1>"Activa,Inactiva"</formula1>
    </dataValidation>
    <dataValidation type="list" allowBlank="1" showInputMessage="1" showErrorMessage="1" sqref="J518">
      <formula1>"$,US$,UF"</formula1>
    </dataValidation>
    <dataValidation type="list" allowBlank="1" showInputMessage="1" showErrorMessage="1" sqref="K518">
      <formula1>"Usado,Nuevo"</formula1>
    </dataValidation>
    <dataValidation type="list" allowBlank="1" showInputMessage="1" showErrorMessage="1" sqref="L518">
      <formula1>"Mercado Envíos a cargo del comprador,Mercado Envíos gratis"</formula1>
    </dataValidation>
    <dataValidation type="list" allowBlank="1" showInputMessage="1" showErrorMessage="1" sqref="M518">
      <formula1>"Clásica,Premium"</formula1>
    </dataValidation>
    <dataValidation type="list" allowBlank="1" showInputMessage="1" showErrorMessage="1" sqref="O518">
      <formula1>"Activa,Inactiva"</formula1>
    </dataValidation>
    <dataValidation type="list" allowBlank="1" showInputMessage="1" showErrorMessage="1" sqref="J522">
      <formula1>"$,US$,UF"</formula1>
    </dataValidation>
    <dataValidation type="list" allowBlank="1" showInputMessage="1" showErrorMessage="1" sqref="K522">
      <formula1>"Usado,Nuevo"</formula1>
    </dataValidation>
    <dataValidation type="list" allowBlank="1" showInputMessage="1" showErrorMessage="1" sqref="L522">
      <formula1>"Mercado Envíos a cargo del comprador,Mercado Envíos gratis"</formula1>
    </dataValidation>
    <dataValidation type="list" allowBlank="1" showInputMessage="1" showErrorMessage="1" sqref="M522">
      <formula1>"Clásica,Premium"</formula1>
    </dataValidation>
    <dataValidation type="list" allowBlank="1" showInputMessage="1" showErrorMessage="1" sqref="O522">
      <formula1>"Activa,Inactiva"</formula1>
    </dataValidation>
    <dataValidation type="list" allowBlank="1" showInputMessage="1" showErrorMessage="1" sqref="J523">
      <formula1>"$,US$,UF"</formula1>
    </dataValidation>
    <dataValidation type="list" allowBlank="1" showInputMessage="1" showErrorMessage="1" sqref="K523">
      <formula1>"Usado,Nuevo"</formula1>
    </dataValidation>
    <dataValidation type="list" allowBlank="1" showInputMessage="1" showErrorMessage="1" sqref="L523">
      <formula1>"Mercado Envíos a cargo del comprador,Mercado Envíos gratis"</formula1>
    </dataValidation>
    <dataValidation type="list" allowBlank="1" showInputMessage="1" showErrorMessage="1" sqref="M523">
      <formula1>"Clásica,Premium"</formula1>
    </dataValidation>
    <dataValidation type="list" allowBlank="1" showInputMessage="1" showErrorMessage="1" sqref="O523">
      <formula1>"Activa,Inactiva"</formula1>
    </dataValidation>
    <dataValidation type="list" allowBlank="1" showInputMessage="1" showErrorMessage="1" sqref="J524">
      <formula1>"$,US$,UF"</formula1>
    </dataValidation>
    <dataValidation type="list" allowBlank="1" showInputMessage="1" showErrorMessage="1" sqref="K524">
      <formula1>"Usado,Nuevo"</formula1>
    </dataValidation>
    <dataValidation type="list" allowBlank="1" showInputMessage="1" showErrorMessage="1" sqref="L524">
      <formula1>"Mercado Envíos a cargo del comprador,Mercado Envíos gratis"</formula1>
    </dataValidation>
    <dataValidation type="list" allowBlank="1" showInputMessage="1" showErrorMessage="1" sqref="M524">
      <formula1>"Clásica,Premium"</formula1>
    </dataValidation>
    <dataValidation type="list" allowBlank="1" showInputMessage="1" showErrorMessage="1" sqref="O524">
      <formula1>"Activa,Inactiva"</formula1>
    </dataValidation>
    <dataValidation type="list" allowBlank="1" showInputMessage="1" showErrorMessage="1" sqref="J525">
      <formula1>"$,US$,UF"</formula1>
    </dataValidation>
    <dataValidation type="list" allowBlank="1" showInputMessage="1" showErrorMessage="1" sqref="K525">
      <formula1>"Usado,Nuevo"</formula1>
    </dataValidation>
    <dataValidation type="list" allowBlank="1" showInputMessage="1" showErrorMessage="1" sqref="L525">
      <formula1>"Mercado Envíos a cargo del comprador,Mercado Envíos gratis"</formula1>
    </dataValidation>
    <dataValidation type="list" allowBlank="1" showInputMessage="1" showErrorMessage="1" sqref="M525">
      <formula1>"Clásica,Premium"</formula1>
    </dataValidation>
    <dataValidation type="list" allowBlank="1" showInputMessage="1" showErrorMessage="1" sqref="O525">
      <formula1>"Activa,Inactiva"</formula1>
    </dataValidation>
    <dataValidation type="list" allowBlank="1" showInputMessage="1" showErrorMessage="1" sqref="J526">
      <formula1>"$,US$,UF"</formula1>
    </dataValidation>
    <dataValidation type="list" allowBlank="1" showInputMessage="1" showErrorMessage="1" sqref="K526">
      <formula1>"Usado,Nuevo"</formula1>
    </dataValidation>
    <dataValidation type="list" allowBlank="1" showInputMessage="1" showErrorMessage="1" sqref="L526">
      <formula1>"Mercado Envíos a cargo del comprador,Mercado Envíos gratis"</formula1>
    </dataValidation>
    <dataValidation type="list" allowBlank="1" showInputMessage="1" showErrorMessage="1" sqref="M526">
      <formula1>"Clásica,Premium"</formula1>
    </dataValidation>
    <dataValidation type="list" allowBlank="1" showInputMessage="1" showErrorMessage="1" sqref="O526">
      <formula1>"Activa,Inactiva"</formula1>
    </dataValidation>
    <dataValidation type="list" allowBlank="1" showInputMessage="1" showErrorMessage="1" sqref="J527">
      <formula1>"$,US$,UF"</formula1>
    </dataValidation>
    <dataValidation type="list" allowBlank="1" showInputMessage="1" showErrorMessage="1" sqref="K527">
      <formula1>"Usado,Nuevo"</formula1>
    </dataValidation>
    <dataValidation type="list" allowBlank="1" showInputMessage="1" showErrorMessage="1" sqref="L527">
      <formula1>"Mercado Envíos a cargo del comprador,Mercado Envíos gratis"</formula1>
    </dataValidation>
    <dataValidation type="list" allowBlank="1" showInputMessage="1" showErrorMessage="1" sqref="M527">
      <formula1>"Clásica,Premium"</formula1>
    </dataValidation>
    <dataValidation type="list" allowBlank="1" showInputMessage="1" showErrorMessage="1" sqref="O527">
      <formula1>"Activa,Inactiva"</formula1>
    </dataValidation>
    <dataValidation type="list" allowBlank="1" showInputMessage="1" showErrorMessage="1" sqref="J528">
      <formula1>"$,US$,UF"</formula1>
    </dataValidation>
    <dataValidation type="list" allowBlank="1" showInputMessage="1" showErrorMessage="1" sqref="K528">
      <formula1>"Usado,Nuevo"</formula1>
    </dataValidation>
    <dataValidation type="list" allowBlank="1" showInputMessage="1" showErrorMessage="1" sqref="L528">
      <formula1>"Mercado Envíos a cargo del comprador,Mercado Envíos gratis"</formula1>
    </dataValidation>
    <dataValidation type="list" allowBlank="1" showInputMessage="1" showErrorMessage="1" sqref="M528">
      <formula1>"Clásica,Premium"</formula1>
    </dataValidation>
    <dataValidation type="list" allowBlank="1" showInputMessage="1" showErrorMessage="1" sqref="O528">
      <formula1>"Activa,Inactiva"</formula1>
    </dataValidation>
    <dataValidation type="list" allowBlank="1" showInputMessage="1" showErrorMessage="1" sqref="J529">
      <formula1>"$,US$,UF"</formula1>
    </dataValidation>
    <dataValidation type="list" allowBlank="1" showInputMessage="1" showErrorMessage="1" sqref="K529">
      <formula1>"Usado,Nuevo"</formula1>
    </dataValidation>
    <dataValidation type="list" allowBlank="1" showInputMessage="1" showErrorMessage="1" sqref="L529">
      <formula1>"Mercado Envíos a cargo del comprador,Mercado Envíos gratis"</formula1>
    </dataValidation>
    <dataValidation type="list" allowBlank="1" showInputMessage="1" showErrorMessage="1" sqref="M529">
      <formula1>"Clásica,Premium"</formula1>
    </dataValidation>
    <dataValidation type="list" allowBlank="1" showInputMessage="1" showErrorMessage="1" sqref="O529">
      <formula1>"Activa,Inactiva"</formula1>
    </dataValidation>
    <dataValidation type="list" allowBlank="1" showInputMessage="1" showErrorMessage="1" sqref="J530">
      <formula1>"$,US$,UF"</formula1>
    </dataValidation>
    <dataValidation type="list" allowBlank="1" showInputMessage="1" showErrorMessage="1" sqref="K530">
      <formula1>"Usado,Nuevo"</formula1>
    </dataValidation>
    <dataValidation type="list" allowBlank="1" showInputMessage="1" showErrorMessage="1" sqref="L530">
      <formula1>"Mercado Envíos a cargo del comprador,Mercado Envíos gratis"</formula1>
    </dataValidation>
    <dataValidation type="list" allowBlank="1" showInputMessage="1" showErrorMessage="1" sqref="M530">
      <formula1>"Clásica,Premium"</formula1>
    </dataValidation>
    <dataValidation type="list" allowBlank="1" showInputMessage="1" showErrorMessage="1" sqref="O530">
      <formula1>"Activa,Inactiva"</formula1>
    </dataValidation>
    <dataValidation type="list" allowBlank="1" showInputMessage="1" showErrorMessage="1" sqref="J531">
      <formula1>"$,US$,UF"</formula1>
    </dataValidation>
    <dataValidation type="list" allowBlank="1" showInputMessage="1" showErrorMessage="1" sqref="K531">
      <formula1>"Usado,Nuevo"</formula1>
    </dataValidation>
    <dataValidation type="list" allowBlank="1" showInputMessage="1" showErrorMessage="1" sqref="L531">
      <formula1>"Mercado Envíos a cargo del comprador,Mercado Envíos gratis"</formula1>
    </dataValidation>
    <dataValidation type="list" allowBlank="1" showInputMessage="1" showErrorMessage="1" sqref="M531">
      <formula1>"Clásica,Premium"</formula1>
    </dataValidation>
    <dataValidation type="list" allowBlank="1" showInputMessage="1" showErrorMessage="1" sqref="O531">
      <formula1>"Activa,Inactiva"</formula1>
    </dataValidation>
    <dataValidation type="list" allowBlank="1" showInputMessage="1" showErrorMessage="1" sqref="J532">
      <formula1>"$,US$,UF"</formula1>
    </dataValidation>
    <dataValidation type="list" allowBlank="1" showInputMessage="1" showErrorMessage="1" sqref="K532">
      <formula1>"Usado,Nuevo"</formula1>
    </dataValidation>
    <dataValidation type="list" allowBlank="1" showInputMessage="1" showErrorMessage="1" sqref="L532">
      <formula1>"Mercado Envíos a cargo del comprador,Mercado Envíos gratis"</formula1>
    </dataValidation>
    <dataValidation type="list" allowBlank="1" showInputMessage="1" showErrorMessage="1" sqref="M532">
      <formula1>"Clásica,Premium"</formula1>
    </dataValidation>
    <dataValidation type="list" allowBlank="1" showInputMessage="1" showErrorMessage="1" sqref="O532">
      <formula1>"Activa,Inactiva"</formula1>
    </dataValidation>
    <dataValidation type="list" allowBlank="1" showInputMessage="1" showErrorMessage="1" sqref="J533">
      <formula1>"$,US$,UF"</formula1>
    </dataValidation>
    <dataValidation type="list" allowBlank="1" showInputMessage="1" showErrorMessage="1" sqref="K533">
      <formula1>"Nuevo"</formula1>
    </dataValidation>
    <dataValidation type="list" allowBlank="1" showInputMessage="1" showErrorMessage="1" sqref="L533">
      <formula1>"Mercado Envíos a cargo del comprador,Mercado Envíos gratis"</formula1>
    </dataValidation>
    <dataValidation type="list" allowBlank="1" showInputMessage="1" showErrorMessage="1" sqref="M533">
      <formula1>"Clásica,Premium"</formula1>
    </dataValidation>
    <dataValidation type="list" allowBlank="1" showInputMessage="1" showErrorMessage="1" sqref="O533">
      <formula1>"Activa,Inactiva"</formula1>
    </dataValidation>
    <dataValidation type="list" allowBlank="1" showInputMessage="1" showErrorMessage="1" sqref="J534">
      <formula1>"$,US$,UF"</formula1>
    </dataValidation>
    <dataValidation type="list" allowBlank="1" showInputMessage="1" showErrorMessage="1" sqref="K534">
      <formula1>"Usado,Nuevo"</formula1>
    </dataValidation>
    <dataValidation type="list" allowBlank="1" showInputMessage="1" showErrorMessage="1" sqref="L534">
      <formula1>"Mercado Envíos a cargo del comprador,Mercado Envíos gratis"</formula1>
    </dataValidation>
    <dataValidation type="list" allowBlank="1" showInputMessage="1" showErrorMessage="1" sqref="M534">
      <formula1>"Clásica,Premium"</formula1>
    </dataValidation>
    <dataValidation type="list" allowBlank="1" showInputMessage="1" showErrorMessage="1" sqref="O534">
      <formula1>"Activa,Inactiva"</formula1>
    </dataValidation>
    <dataValidation type="list" allowBlank="1" showInputMessage="1" showErrorMessage="1" sqref="J535">
      <formula1>"$,US$,UF"</formula1>
    </dataValidation>
    <dataValidation type="list" allowBlank="1" showInputMessage="1" showErrorMessage="1" sqref="K535">
      <formula1>"Usado,Nuevo"</formula1>
    </dataValidation>
    <dataValidation type="list" allowBlank="1" showInputMessage="1" showErrorMessage="1" sqref="L535">
      <formula1>"Mercado Envíos a cargo del comprador,Mercado Envíos gratis"</formula1>
    </dataValidation>
    <dataValidation type="list" allowBlank="1" showInputMessage="1" showErrorMessage="1" sqref="M535">
      <formula1>"Clásica,Premium"</formula1>
    </dataValidation>
    <dataValidation type="list" allowBlank="1" showInputMessage="1" showErrorMessage="1" sqref="O535">
      <formula1>"Activa,Inactiva"</formula1>
    </dataValidation>
    <dataValidation type="list" allowBlank="1" showInputMessage="1" showErrorMessage="1" sqref="J536">
      <formula1>"$,US$,UF"</formula1>
    </dataValidation>
    <dataValidation type="list" allowBlank="1" showInputMessage="1" showErrorMessage="1" sqref="K536">
      <formula1>"Nuevo"</formula1>
    </dataValidation>
    <dataValidation type="list" allowBlank="1" showInputMessage="1" showErrorMessage="1" sqref="L536">
      <formula1>"Mercado Envíos a cargo del comprador,Mercado Envíos gratis"</formula1>
    </dataValidation>
    <dataValidation type="list" allowBlank="1" showInputMessage="1" showErrorMessage="1" sqref="M536">
      <formula1>"Clásica,Premium"</formula1>
    </dataValidation>
    <dataValidation type="list" allowBlank="1" showInputMessage="1" showErrorMessage="1" sqref="O536">
      <formula1>"Activa,Inactiva"</formula1>
    </dataValidation>
    <dataValidation type="list" allowBlank="1" showInputMessage="1" showErrorMessage="1" sqref="J537">
      <formula1>"$,US$,UF"</formula1>
    </dataValidation>
    <dataValidation type="list" allowBlank="1" showInputMessage="1" showErrorMessage="1" sqref="K537">
      <formula1>"Usado,Nuevo"</formula1>
    </dataValidation>
    <dataValidation type="list" allowBlank="1" showInputMessage="1" showErrorMessage="1" sqref="L537">
      <formula1>"Mercado Envíos a cargo del comprador,Mercado Envíos gratis"</formula1>
    </dataValidation>
    <dataValidation type="list" allowBlank="1" showInputMessage="1" showErrorMessage="1" sqref="M537">
      <formula1>"Clásica,Premium"</formula1>
    </dataValidation>
    <dataValidation type="list" allowBlank="1" showInputMessage="1" showErrorMessage="1" sqref="O537">
      <formula1>"Activa,Inactiva"</formula1>
    </dataValidation>
    <dataValidation type="list" allowBlank="1" showInputMessage="1" showErrorMessage="1" sqref="J538">
      <formula1>"$,US$,UF"</formula1>
    </dataValidation>
    <dataValidation type="list" allowBlank="1" showInputMessage="1" showErrorMessage="1" sqref="K538">
      <formula1>"Usado,Nuevo"</formula1>
    </dataValidation>
    <dataValidation type="list" allowBlank="1" showInputMessage="1" showErrorMessage="1" sqref="L538">
      <formula1>"Mercado Envíos a cargo del comprador,Mercado Envíos gratis"</formula1>
    </dataValidation>
    <dataValidation type="list" allowBlank="1" showInputMessage="1" showErrorMessage="1" sqref="M538">
      <formula1>"Clásica,Premium"</formula1>
    </dataValidation>
    <dataValidation type="list" allowBlank="1" showInputMessage="1" showErrorMessage="1" sqref="O538">
      <formula1>"Activa,Inactiva"</formula1>
    </dataValidation>
    <dataValidation type="list" allowBlank="1" showInputMessage="1" showErrorMessage="1" sqref="J539">
      <formula1>"$,US$,UF"</formula1>
    </dataValidation>
    <dataValidation type="list" allowBlank="1" showInputMessage="1" showErrorMessage="1" sqref="K539">
      <formula1>"Usado,Nuevo"</formula1>
    </dataValidation>
    <dataValidation type="list" allowBlank="1" showInputMessage="1" showErrorMessage="1" sqref="L539">
      <formula1>"Mercado Envíos a cargo del comprador,Mercado Envíos por mi cuenta"</formula1>
    </dataValidation>
    <dataValidation type="list" allowBlank="1" showInputMessage="1" showErrorMessage="1" sqref="M539">
      <formula1>"Clásica,Premium"</formula1>
    </dataValidation>
    <dataValidation type="list" allowBlank="1" showInputMessage="1" showErrorMessage="1" sqref="O539">
      <formula1>"Activa,Inactiva"</formula1>
    </dataValidation>
    <dataValidation type="list" allowBlank="1" showInputMessage="1" showErrorMessage="1" sqref="J540">
      <formula1>"$,US$,UF"</formula1>
    </dataValidation>
    <dataValidation type="list" allowBlank="1" showInputMessage="1" showErrorMessage="1" sqref="K540">
      <formula1>"Usado,Nuevo"</formula1>
    </dataValidation>
    <dataValidation type="list" allowBlank="1" showInputMessage="1" showErrorMessage="1" sqref="L540">
      <formula1>"Mercado Envíos a cargo del comprador,Mercado Envíos por mi cuenta"</formula1>
    </dataValidation>
    <dataValidation type="list" allowBlank="1" showInputMessage="1" showErrorMessage="1" sqref="M540">
      <formula1>"Clásica,Premium"</formula1>
    </dataValidation>
    <dataValidation type="list" allowBlank="1" showInputMessage="1" showErrorMessage="1" sqref="O540">
      <formula1>"Activa,Inactiva"</formula1>
    </dataValidation>
    <dataValidation type="list" allowBlank="1" showInputMessage="1" showErrorMessage="1" sqref="J541">
      <formula1>"$,US$,UF"</formula1>
    </dataValidation>
    <dataValidation type="list" allowBlank="1" showInputMessage="1" showErrorMessage="1" sqref="K541">
      <formula1>"Usado,Nuevo"</formula1>
    </dataValidation>
    <dataValidation type="list" allowBlank="1" showInputMessage="1" showErrorMessage="1" sqref="L541">
      <formula1>"Mercado Envíos a cargo del comprador,Mercado Envíos gratis"</formula1>
    </dataValidation>
    <dataValidation type="list" allowBlank="1" showInputMessage="1" showErrorMessage="1" sqref="M541">
      <formula1>"Clásica,Premium"</formula1>
    </dataValidation>
    <dataValidation type="list" allowBlank="1" showInputMessage="1" showErrorMessage="1" sqref="O541">
      <formula1>"Activa,Inactiva"</formula1>
    </dataValidation>
    <dataValidation type="list" allowBlank="1" showInputMessage="1" showErrorMessage="1" sqref="J542">
      <formula1>"$,US$,UF"</formula1>
    </dataValidation>
    <dataValidation type="list" allowBlank="1" showInputMessage="1" showErrorMessage="1" sqref="K542">
      <formula1>"Usado,Nuevo"</formula1>
    </dataValidation>
    <dataValidation type="list" allowBlank="1" showInputMessage="1" showErrorMessage="1" sqref="L542">
      <formula1>"Mercado Envíos a cargo del comprador,Mercado Envíos gratis"</formula1>
    </dataValidation>
    <dataValidation type="list" allowBlank="1" showInputMessage="1" showErrorMessage="1" sqref="M542">
      <formula1>"Clásica,Premium"</formula1>
    </dataValidation>
    <dataValidation type="list" allowBlank="1" showInputMessage="1" showErrorMessage="1" sqref="O542">
      <formula1>"Activa,Inactiva"</formula1>
    </dataValidation>
    <dataValidation type="list" allowBlank="1" showInputMessage="1" showErrorMessage="1" sqref="J543">
      <formula1>"$,US$,UF"</formula1>
    </dataValidation>
    <dataValidation type="list" allowBlank="1" showInputMessage="1" showErrorMessage="1" sqref="K543">
      <formula1>"Usado,Nuevo"</formula1>
    </dataValidation>
    <dataValidation type="list" allowBlank="1" showInputMessage="1" showErrorMessage="1" sqref="L543">
      <formula1>"Mercado Envíos a cargo del comprador,Mercado Envíos gratis"</formula1>
    </dataValidation>
    <dataValidation type="list" allowBlank="1" showInputMessage="1" showErrorMessage="1" sqref="M543">
      <formula1>"Clásica,Premium"</formula1>
    </dataValidation>
    <dataValidation type="list" allowBlank="1" showInputMessage="1" showErrorMessage="1" sqref="O543">
      <formula1>"Activa,Inactiva"</formula1>
    </dataValidation>
    <dataValidation type="list" allowBlank="1" showInputMessage="1" showErrorMessage="1" sqref="J544">
      <formula1>"$,US$,UF"</formula1>
    </dataValidation>
    <dataValidation type="list" allowBlank="1" showInputMessage="1" showErrorMessage="1" sqref="K544">
      <formula1>"Usado,Nuevo"</formula1>
    </dataValidation>
    <dataValidation type="list" allowBlank="1" showInputMessage="1" showErrorMessage="1" sqref="L544">
      <formula1>"Mercado Envíos a cargo del comprador,Mercado Envíos gratis"</formula1>
    </dataValidation>
    <dataValidation type="list" allowBlank="1" showInputMessage="1" showErrorMessage="1" sqref="M544">
      <formula1>"Clásica,Premium"</formula1>
    </dataValidation>
    <dataValidation type="list" allowBlank="1" showInputMessage="1" showErrorMessage="1" sqref="O544">
      <formula1>"Activa,Inactiva"</formula1>
    </dataValidation>
    <dataValidation type="list" allowBlank="1" showInputMessage="1" showErrorMessage="1" sqref="J545">
      <formula1>"$,US$,UF"</formula1>
    </dataValidation>
    <dataValidation type="list" allowBlank="1" showInputMessage="1" showErrorMessage="1" sqref="K545">
      <formula1>"Usado,Nuevo"</formula1>
    </dataValidation>
    <dataValidation type="list" allowBlank="1" showInputMessage="1" showErrorMessage="1" sqref="M545">
      <formula1>"Clásica,Premium"</formula1>
    </dataValidation>
    <dataValidation type="list" allowBlank="1" showInputMessage="1" showErrorMessage="1" sqref="O545">
      <formula1>"Activa,Inactiva"</formula1>
    </dataValidation>
    <dataValidation type="list" allowBlank="1" showInputMessage="1" showErrorMessage="1" sqref="J548">
      <formula1>"$,US$,UF"</formula1>
    </dataValidation>
    <dataValidation type="list" allowBlank="1" showInputMessage="1" showErrorMessage="1" sqref="K548">
      <formula1>"Usado,Nuevo"</formula1>
    </dataValidation>
    <dataValidation type="list" allowBlank="1" showInputMessage="1" showErrorMessage="1" sqref="L548">
      <formula1>"Mercado Envíos a cargo del comprador,Mercado Envíos gratis"</formula1>
    </dataValidation>
    <dataValidation type="list" allowBlank="1" showInputMessage="1" showErrorMessage="1" sqref="M548">
      <formula1>"Clásica,Premium"</formula1>
    </dataValidation>
    <dataValidation type="list" allowBlank="1" showInputMessage="1" showErrorMessage="1" sqref="O548">
      <formula1>"Activa,Inactiva"</formula1>
    </dataValidation>
    <dataValidation type="list" allowBlank="1" showInputMessage="1" showErrorMessage="1" sqref="J549">
      <formula1>"$,US$,UF"</formula1>
    </dataValidation>
    <dataValidation type="list" allowBlank="1" showInputMessage="1" showErrorMessage="1" sqref="K549">
      <formula1>"Usado,Nuevo"</formula1>
    </dataValidation>
    <dataValidation type="list" allowBlank="1" showInputMessage="1" showErrorMessage="1" sqref="L549">
      <formula1>"Mercado Envíos a cargo del comprador,Mercado Envíos gratis"</formula1>
    </dataValidation>
    <dataValidation type="list" allowBlank="1" showInputMessage="1" showErrorMessage="1" sqref="M549">
      <formula1>"Clásica,Premium"</formula1>
    </dataValidation>
    <dataValidation type="list" allowBlank="1" showInputMessage="1" showErrorMessage="1" sqref="O549">
      <formula1>"Activa,Inactiva"</formula1>
    </dataValidation>
    <dataValidation type="list" allowBlank="1" showInputMessage="1" showErrorMessage="1" sqref="J550">
      <formula1>"$,US$,UF"</formula1>
    </dataValidation>
    <dataValidation type="list" allowBlank="1" showInputMessage="1" showErrorMessage="1" sqref="K550">
      <formula1>"Usado,Nuevo"</formula1>
    </dataValidation>
    <dataValidation type="list" allowBlank="1" showInputMessage="1" showErrorMessage="1" sqref="L550">
      <formula1>"Mercado Envíos a cargo del comprador,Mercado Envíos gratis"</formula1>
    </dataValidation>
    <dataValidation type="list" allowBlank="1" showInputMessage="1" showErrorMessage="1" sqref="M550">
      <formula1>"Clásica,Premium"</formula1>
    </dataValidation>
    <dataValidation type="list" allowBlank="1" showInputMessage="1" showErrorMessage="1" sqref="O550">
      <formula1>"Activa,Inactiva"</formula1>
    </dataValidation>
    <dataValidation type="list" allowBlank="1" showInputMessage="1" showErrorMessage="1" sqref="J551">
      <formula1>"$,US$,UF"</formula1>
    </dataValidation>
    <dataValidation type="list" allowBlank="1" showInputMessage="1" showErrorMessage="1" sqref="K551">
      <formula1>"Usado,Nuevo"</formula1>
    </dataValidation>
    <dataValidation type="list" allowBlank="1" showInputMessage="1" showErrorMessage="1" sqref="L551">
      <formula1>"Mercado Envíos a cargo del comprador,Mercado Envíos gratis"</formula1>
    </dataValidation>
    <dataValidation type="list" allowBlank="1" showInputMessage="1" showErrorMessage="1" sqref="M551">
      <formula1>"Clásica,Premium"</formula1>
    </dataValidation>
    <dataValidation type="list" allowBlank="1" showInputMessage="1" showErrorMessage="1" sqref="O551">
      <formula1>"Activa,Inactiva"</formula1>
    </dataValidation>
    <dataValidation type="list" allowBlank="1" showInputMessage="1" showErrorMessage="1" sqref="J552">
      <formula1>"$,US$,UF"</formula1>
    </dataValidation>
    <dataValidation type="list" allowBlank="1" showInputMessage="1" showErrorMessage="1" sqref="K552">
      <formula1>"Usado,Nuevo"</formula1>
    </dataValidation>
    <dataValidation type="list" allowBlank="1" showInputMessage="1" showErrorMessage="1" sqref="L552">
      <formula1>"Mercado Envíos a cargo del comprador,Mercado Envíos por mi cuenta"</formula1>
    </dataValidation>
    <dataValidation type="list" allowBlank="1" showInputMessage="1" showErrorMessage="1" sqref="M552">
      <formula1>"Clásica,Premium"</formula1>
    </dataValidation>
    <dataValidation type="list" allowBlank="1" showInputMessage="1" showErrorMessage="1" sqref="O552">
      <formula1>"Activa,Inactiva"</formula1>
    </dataValidation>
    <dataValidation type="list" allowBlank="1" showInputMessage="1" showErrorMessage="1" sqref="J553">
      <formula1>"$,US$,UF"</formula1>
    </dataValidation>
    <dataValidation type="list" allowBlank="1" showInputMessage="1" showErrorMessage="1" sqref="K553">
      <formula1>"Nuevo"</formula1>
    </dataValidation>
    <dataValidation type="list" allowBlank="1" showInputMessage="1" showErrorMessage="1" sqref="L553">
      <formula1>"Mercado Envíos a cargo del comprador,Mercado Envíos gratis"</formula1>
    </dataValidation>
    <dataValidation type="list" allowBlank="1" showInputMessage="1" showErrorMessage="1" sqref="M553">
      <formula1>"Clásica,Premium"</formula1>
    </dataValidation>
    <dataValidation type="list" allowBlank="1" showInputMessage="1" showErrorMessage="1" sqref="O553">
      <formula1>"Activa,Inactiva"</formula1>
    </dataValidation>
    <dataValidation type="list" allowBlank="1" showInputMessage="1" showErrorMessage="1" sqref="J554">
      <formula1>"$,US$,UF"</formula1>
    </dataValidation>
    <dataValidation type="list" allowBlank="1" showInputMessage="1" showErrorMessage="1" sqref="K554">
      <formula1>"Nuevo"</formula1>
    </dataValidation>
    <dataValidation type="list" allowBlank="1" showInputMessage="1" showErrorMessage="1" sqref="L554">
      <formula1>"Mercado Envíos a cargo del comprador,Mercado Envíos gratis"</formula1>
    </dataValidation>
    <dataValidation type="list" allowBlank="1" showInputMessage="1" showErrorMessage="1" sqref="M554">
      <formula1>"Clásica,Premium"</formula1>
    </dataValidation>
    <dataValidation type="list" allowBlank="1" showInputMessage="1" showErrorMessage="1" sqref="O554">
      <formula1>"Activa,Inactiva"</formula1>
    </dataValidation>
    <dataValidation type="list" allowBlank="1" showInputMessage="1" showErrorMessage="1" sqref="J555">
      <formula1>"$,US$,UF"</formula1>
    </dataValidation>
    <dataValidation type="list" allowBlank="1" showInputMessage="1" showErrorMessage="1" sqref="K555">
      <formula1>"Nuevo"</formula1>
    </dataValidation>
    <dataValidation type="list" allowBlank="1" showInputMessage="1" showErrorMessage="1" sqref="L555">
      <formula1>"Mercado Envíos a cargo del comprador,Mercado Envíos gratis"</formula1>
    </dataValidation>
    <dataValidation type="list" allowBlank="1" showInputMessage="1" showErrorMessage="1" sqref="M555">
      <formula1>"Clásica,Premium"</formula1>
    </dataValidation>
    <dataValidation type="list" allowBlank="1" showInputMessage="1" showErrorMessage="1" sqref="O555">
      <formula1>"Activa,Inactiva"</formula1>
    </dataValidation>
    <dataValidation type="list" allowBlank="1" showInputMessage="1" showErrorMessage="1" sqref="J556">
      <formula1>"$,US$,UF"</formula1>
    </dataValidation>
    <dataValidation type="list" allowBlank="1" showInputMessage="1" showErrorMessage="1" sqref="K556">
      <formula1>"Nuevo"</formula1>
    </dataValidation>
    <dataValidation type="list" allowBlank="1" showInputMessage="1" showErrorMessage="1" sqref="L556">
      <formula1>"Mercado Envíos a cargo del comprador,Mercado Envíos gratis"</formula1>
    </dataValidation>
    <dataValidation type="list" allowBlank="1" showInputMessage="1" showErrorMessage="1" sqref="M556">
      <formula1>"Clásica,Premium"</formula1>
    </dataValidation>
    <dataValidation type="list" allowBlank="1" showInputMessage="1" showErrorMessage="1" sqref="O556">
      <formula1>"Activa,Inactiva"</formula1>
    </dataValidation>
    <dataValidation type="list" allowBlank="1" showInputMessage="1" showErrorMessage="1" sqref="J557">
      <formula1>"$,US$,UF"</formula1>
    </dataValidation>
    <dataValidation type="list" allowBlank="1" showInputMessage="1" showErrorMessage="1" sqref="K557">
      <formula1>"Nuevo"</formula1>
    </dataValidation>
    <dataValidation type="list" allowBlank="1" showInputMessage="1" showErrorMessage="1" sqref="L557">
      <formula1>"Mercado Envíos a cargo del comprador,Mercado Envíos gratis"</formula1>
    </dataValidation>
    <dataValidation type="list" allowBlank="1" showInputMessage="1" showErrorMessage="1" sqref="M557">
      <formula1>"Clásica,Premium"</formula1>
    </dataValidation>
    <dataValidation type="list" allowBlank="1" showInputMessage="1" showErrorMessage="1" sqref="O557">
      <formula1>"Activa,Inactiva"</formula1>
    </dataValidation>
    <dataValidation type="list" allowBlank="1" showInputMessage="1" showErrorMessage="1" sqref="J558">
      <formula1>"$,US$,UF"</formula1>
    </dataValidation>
    <dataValidation type="list" allowBlank="1" showInputMessage="1" showErrorMessage="1" sqref="K558">
      <formula1>"Nuevo"</formula1>
    </dataValidation>
    <dataValidation type="list" allowBlank="1" showInputMessage="1" showErrorMessage="1" sqref="M558">
      <formula1>"Clásica,Premium"</formula1>
    </dataValidation>
    <dataValidation type="list" allowBlank="1" showInputMessage="1" showErrorMessage="1" sqref="O558">
      <formula1>"Activa,Inactiva"</formula1>
    </dataValidation>
    <dataValidation type="list" allowBlank="1" showInputMessage="1" showErrorMessage="1" sqref="J559">
      <formula1>"$,US$,UF"</formula1>
    </dataValidation>
    <dataValidation type="list" allowBlank="1" showInputMessage="1" showErrorMessage="1" sqref="K559">
      <formula1>"Nuevo"</formula1>
    </dataValidation>
    <dataValidation type="list" allowBlank="1" showInputMessage="1" showErrorMessage="1" sqref="L559">
      <formula1>"Mercado Envíos a cargo del comprador,Mercado Envíos gratis"</formula1>
    </dataValidation>
    <dataValidation type="list" allowBlank="1" showInputMessage="1" showErrorMessage="1" sqref="M559">
      <formula1>"Clásica,Premium"</formula1>
    </dataValidation>
    <dataValidation type="list" allowBlank="1" showInputMessage="1" showErrorMessage="1" sqref="O559">
      <formula1>"Activa,Inactiva"</formula1>
    </dataValidation>
    <dataValidation type="list" allowBlank="1" showInputMessage="1" showErrorMessage="1" sqref="J560">
      <formula1>"$,US$,UF"</formula1>
    </dataValidation>
    <dataValidation type="list" allowBlank="1" showInputMessage="1" showErrorMessage="1" sqref="K560">
      <formula1>"Nuevo"</formula1>
    </dataValidation>
    <dataValidation type="list" allowBlank="1" showInputMessage="1" showErrorMessage="1" sqref="L560">
      <formula1>"Mercado Envíos a cargo del comprador,Mercado Envíos gratis"</formula1>
    </dataValidation>
    <dataValidation type="list" allowBlank="1" showInputMessage="1" showErrorMessage="1" sqref="M560">
      <formula1>"Clásica,Premium"</formula1>
    </dataValidation>
    <dataValidation type="list" allowBlank="1" showInputMessage="1" showErrorMessage="1" sqref="O560">
      <formula1>"Activa,Inactiva"</formula1>
    </dataValidation>
    <dataValidation type="list" allowBlank="1" showInputMessage="1" showErrorMessage="1" sqref="J561">
      <formula1>"$,US$,UF"</formula1>
    </dataValidation>
    <dataValidation type="list" allowBlank="1" showInputMessage="1" showErrorMessage="1" sqref="K561">
      <formula1>"Usado,Nuevo"</formula1>
    </dataValidation>
    <dataValidation type="list" allowBlank="1" showInputMessage="1" showErrorMessage="1" sqref="L561">
      <formula1>"Mercado Envíos a cargo del comprador,Mercado Envíos gratis"</formula1>
    </dataValidation>
    <dataValidation type="list" allowBlank="1" showInputMessage="1" showErrorMessage="1" sqref="M561">
      <formula1>"Clásica,Premium"</formula1>
    </dataValidation>
    <dataValidation type="list" allowBlank="1" showInputMessage="1" showErrorMessage="1" sqref="O561">
      <formula1>"Activa,Inactiva"</formula1>
    </dataValidation>
    <dataValidation type="list" allowBlank="1" showInputMessage="1" showErrorMessage="1" sqref="J562">
      <formula1>"$,US$,UF"</formula1>
    </dataValidation>
    <dataValidation type="list" allowBlank="1" showInputMessage="1" showErrorMessage="1" sqref="K562">
      <formula1>"Nuevo"</formula1>
    </dataValidation>
    <dataValidation type="list" allowBlank="1" showInputMessage="1" showErrorMessage="1" sqref="L562">
      <formula1>"Mercado Envíos a cargo del comprador,Mercado Envíos por mi cuenta"</formula1>
    </dataValidation>
    <dataValidation type="list" allowBlank="1" showInputMessage="1" showErrorMessage="1" sqref="M562">
      <formula1>"Clásica,Premium"</formula1>
    </dataValidation>
    <dataValidation type="list" allowBlank="1" showInputMessage="1" showErrorMessage="1" sqref="O562">
      <formula1>"Activa,Inactiva"</formula1>
    </dataValidation>
    <dataValidation type="list" allowBlank="1" showInputMessage="1" showErrorMessage="1" sqref="J563">
      <formula1>"$,US$,UF"</formula1>
    </dataValidation>
    <dataValidation type="list" allowBlank="1" showInputMessage="1" showErrorMessage="1" sqref="L563">
      <formula1>"Mercado Envíos a cargo del comprador,Mercado Envíos gratis"</formula1>
    </dataValidation>
    <dataValidation type="list" allowBlank="1" showInputMessage="1" showErrorMessage="1" sqref="M563">
      <formula1>"Clásica,Premium"</formula1>
    </dataValidation>
    <dataValidation type="list" allowBlank="1" showInputMessage="1" showErrorMessage="1" sqref="O563">
      <formula1>"Activa,Inactiva"</formula1>
    </dataValidation>
    <dataValidation type="list" allowBlank="1" showInputMessage="1" showErrorMessage="1" sqref="J564">
      <formula1>"$,US$,UF"</formula1>
    </dataValidation>
    <dataValidation type="list" allowBlank="1" showInputMessage="1" showErrorMessage="1" sqref="K564">
      <formula1>"Nuevo"</formula1>
    </dataValidation>
    <dataValidation type="list" allowBlank="1" showInputMessage="1" showErrorMessage="1" sqref="L564">
      <formula1>"Mercado Envíos a cargo del comprador,Mercado Envíos gratis"</formula1>
    </dataValidation>
    <dataValidation type="list" allowBlank="1" showInputMessage="1" showErrorMessage="1" sqref="M564">
      <formula1>"Clásica,Premium"</formula1>
    </dataValidation>
    <dataValidation type="list" allowBlank="1" showInputMessage="1" showErrorMessage="1" sqref="O564">
      <formula1>"Activa,Inactiva"</formula1>
    </dataValidation>
    <dataValidation type="list" allowBlank="1" showInputMessage="1" showErrorMessage="1" sqref="J565">
      <formula1>"$,US$,UF"</formula1>
    </dataValidation>
    <dataValidation type="list" allowBlank="1" showInputMessage="1" showErrorMessage="1" sqref="K565">
      <formula1>"Usado,Nuevo"</formula1>
    </dataValidation>
    <dataValidation type="list" allowBlank="1" showInputMessage="1" showErrorMessage="1" sqref="L565">
      <formula1>"Mercado Envíos a cargo del comprador,Mercado Envíos gratis"</formula1>
    </dataValidation>
    <dataValidation type="list" allowBlank="1" showInputMessage="1" showErrorMessage="1" sqref="M565">
      <formula1>"Clásica,Premium"</formula1>
    </dataValidation>
    <dataValidation type="list" allowBlank="1" showInputMessage="1" showErrorMessage="1" sqref="O565">
      <formula1>"Activa,Inactiva"</formula1>
    </dataValidation>
    <dataValidation type="list" allowBlank="1" showInputMessage="1" showErrorMessage="1" sqref="J566">
      <formula1>"$,US$,UF"</formula1>
    </dataValidation>
    <dataValidation type="list" allowBlank="1" showInputMessage="1" showErrorMessage="1" sqref="K566">
      <formula1>"Usado,Nuevo"</formula1>
    </dataValidation>
    <dataValidation type="list" allowBlank="1" showInputMessage="1" showErrorMessage="1" sqref="L566">
      <formula1>"Mercado Envíos a cargo del comprador,Mercado Envíos gratis"</formula1>
    </dataValidation>
    <dataValidation type="list" allowBlank="1" showInputMessage="1" showErrorMessage="1" sqref="M566">
      <formula1>"Clásica,Premium"</formula1>
    </dataValidation>
    <dataValidation type="list" allowBlank="1" showInputMessage="1" showErrorMessage="1" sqref="O566">
      <formula1>"Activa,Inactiva"</formula1>
    </dataValidation>
    <dataValidation type="list" allowBlank="1" showInputMessage="1" showErrorMessage="1" sqref="J567">
      <formula1>"$,US$,UF"</formula1>
    </dataValidation>
    <dataValidation type="list" allowBlank="1" showInputMessage="1" showErrorMessage="1" sqref="K567">
      <formula1>"Usado,Nuevo"</formula1>
    </dataValidation>
    <dataValidation type="list" allowBlank="1" showInputMessage="1" showErrorMessage="1" sqref="L567">
      <formula1>"Mercado Envíos a cargo del comprador,Mercado Envíos por mi cuenta"</formula1>
    </dataValidation>
    <dataValidation type="list" allowBlank="1" showInputMessage="1" showErrorMessage="1" sqref="M567">
      <formula1>"Clásica,Premium"</formula1>
    </dataValidation>
    <dataValidation type="list" allowBlank="1" showInputMessage="1" showErrorMessage="1" sqref="O567">
      <formula1>"Activa,Inactiva"</formula1>
    </dataValidation>
    <dataValidation type="list" allowBlank="1" showInputMessage="1" showErrorMessage="1" sqref="J568">
      <formula1>"$,US$,UF"</formula1>
    </dataValidation>
    <dataValidation type="list" allowBlank="1" showInputMessage="1" showErrorMessage="1" sqref="K568">
      <formula1>"Usado,Nuevo"</formula1>
    </dataValidation>
    <dataValidation type="list" allowBlank="1" showInputMessage="1" showErrorMessage="1" sqref="L568">
      <formula1>"Mercado Envíos a cargo del comprador,Mercado Envíos por mi cuenta"</formula1>
    </dataValidation>
    <dataValidation type="list" allowBlank="1" showInputMessage="1" showErrorMessage="1" sqref="M568">
      <formula1>"Clásica,Premium"</formula1>
    </dataValidation>
    <dataValidation type="list" allowBlank="1" showInputMessage="1" showErrorMessage="1" sqref="O568">
      <formula1>"Activa,Inactiva"</formula1>
    </dataValidation>
    <dataValidation type="list" allowBlank="1" showInputMessage="1" showErrorMessage="1" sqref="J569">
      <formula1>"$,US$,UF"</formula1>
    </dataValidation>
    <dataValidation type="list" allowBlank="1" showInputMessage="1" showErrorMessage="1" sqref="K569">
      <formula1>"Usado,Nuevo,Reacondicionado"</formula1>
    </dataValidation>
    <dataValidation type="list" allowBlank="1" showInputMessage="1" showErrorMessage="1" sqref="L569">
      <formula1>"Mercado Envíos a cargo del comprador,Mercado Envíos gratis"</formula1>
    </dataValidation>
    <dataValidation type="list" allowBlank="1" showInputMessage="1" showErrorMessage="1" sqref="M569">
      <formula1>"Clásica,Premium"</formula1>
    </dataValidation>
    <dataValidation type="list" allowBlank="1" showInputMessage="1" showErrorMessage="1" sqref="O569">
      <formula1>"Activa,Inactiva"</formula1>
    </dataValidation>
    <dataValidation type="list" allowBlank="1" showInputMessage="1" showErrorMessage="1" sqref="J570">
      <formula1>"$,US$,UF"</formula1>
    </dataValidation>
    <dataValidation type="list" allowBlank="1" showInputMessage="1" showErrorMessage="1" sqref="K570">
      <formula1>"Usado,Nuevo"</formula1>
    </dataValidation>
    <dataValidation type="list" allowBlank="1" showInputMessage="1" showErrorMessage="1" sqref="L570">
      <formula1>"Mercado Envíos a cargo del comprador,Mercado Envíos gratis"</formula1>
    </dataValidation>
    <dataValidation type="list" allowBlank="1" showInputMessage="1" showErrorMessage="1" sqref="M570">
      <formula1>"Clásica,Premium"</formula1>
    </dataValidation>
    <dataValidation type="list" allowBlank="1" showInputMessage="1" showErrorMessage="1" sqref="O570">
      <formula1>"Activa,Inactiva"</formula1>
    </dataValidation>
    <dataValidation type="list" allowBlank="1" showInputMessage="1" showErrorMessage="1" sqref="J571">
      <formula1>"$,US$,UF"</formula1>
    </dataValidation>
    <dataValidation type="list" allowBlank="1" showInputMessage="1" showErrorMessage="1" sqref="K571">
      <formula1>"Usado,Nuevo"</formula1>
    </dataValidation>
    <dataValidation type="list" allowBlank="1" showInputMessage="1" showErrorMessage="1" sqref="L571">
      <formula1>"Mercado Envíos a cargo del comprador,Mercado Envíos por mi cuenta"</formula1>
    </dataValidation>
    <dataValidation type="list" allowBlank="1" showInputMessage="1" showErrorMessage="1" sqref="M571">
      <formula1>"Clásica,Premium"</formula1>
    </dataValidation>
    <dataValidation type="list" allowBlank="1" showInputMessage="1" showErrorMessage="1" sqref="O571">
      <formula1>"Activa,Inactiva"</formula1>
    </dataValidation>
    <dataValidation type="list" allowBlank="1" showInputMessage="1" showErrorMessage="1" sqref="J572">
      <formula1>"$,US$,UF"</formula1>
    </dataValidation>
    <dataValidation type="list" allowBlank="1" showInputMessage="1" showErrorMessage="1" sqref="K572">
      <formula1>"Usado,Nuevo"</formula1>
    </dataValidation>
    <dataValidation type="list" allowBlank="1" showInputMessage="1" showErrorMessage="1" sqref="L572">
      <formula1>"Mercado Envíos a cargo del comprador,Mercado Envíos gratis"</formula1>
    </dataValidation>
    <dataValidation type="list" allowBlank="1" showInputMessage="1" showErrorMessage="1" sqref="M572">
      <formula1>"Clásica,Premium"</formula1>
    </dataValidation>
    <dataValidation type="list" allowBlank="1" showInputMessage="1" showErrorMessage="1" sqref="O572">
      <formula1>"Activa,Inactiva"</formula1>
    </dataValidation>
    <dataValidation type="list" allowBlank="1" showInputMessage="1" showErrorMessage="1" sqref="J573">
      <formula1>"$,US$,UF"</formula1>
    </dataValidation>
    <dataValidation type="list" allowBlank="1" showInputMessage="1" showErrorMessage="1" sqref="K573">
      <formula1>"Usado,Nuevo"</formula1>
    </dataValidation>
    <dataValidation type="list" allowBlank="1" showInputMessage="1" showErrorMessage="1" sqref="L573">
      <formula1>"Mercado Envíos a cargo del comprador,Mercado Envíos gratis"</formula1>
    </dataValidation>
    <dataValidation type="list" allowBlank="1" showInputMessage="1" showErrorMessage="1" sqref="M573">
      <formula1>"Clásica,Premium"</formula1>
    </dataValidation>
    <dataValidation type="list" allowBlank="1" showInputMessage="1" showErrorMessage="1" sqref="O573">
      <formula1>"Activa,Inactiva"</formula1>
    </dataValidation>
    <dataValidation type="list" allowBlank="1" showInputMessage="1" showErrorMessage="1" sqref="J574">
      <formula1>"$,US$,UF"</formula1>
    </dataValidation>
    <dataValidation type="list" allowBlank="1" showInputMessage="1" showErrorMessage="1" sqref="K574">
      <formula1>"Usado,Nuevo"</formula1>
    </dataValidation>
    <dataValidation type="list" allowBlank="1" showInputMessage="1" showErrorMessage="1" sqref="L574">
      <formula1>"Mercado Envíos a cargo del comprador,Mercado Envíos gratis"</formula1>
    </dataValidation>
    <dataValidation type="list" allowBlank="1" showInputMessage="1" showErrorMessage="1" sqref="M574">
      <formula1>"Clásica,Premium"</formula1>
    </dataValidation>
    <dataValidation type="list" allowBlank="1" showInputMessage="1" showErrorMessage="1" sqref="O574">
      <formula1>"Activa,Inactiva"</formula1>
    </dataValidation>
    <dataValidation type="list" allowBlank="1" showInputMessage="1" showErrorMessage="1" sqref="J575">
      <formula1>"$,US$,UF"</formula1>
    </dataValidation>
    <dataValidation type="list" allowBlank="1" showInputMessage="1" showErrorMessage="1" sqref="K575">
      <formula1>"Nuevo"</formula1>
    </dataValidation>
    <dataValidation type="list" allowBlank="1" showInputMessage="1" showErrorMessage="1" sqref="L575">
      <formula1>"Mercado Envíos a cargo del comprador,Mercado Envíos gratis"</formula1>
    </dataValidation>
    <dataValidation type="list" allowBlank="1" showInputMessage="1" showErrorMessage="1" sqref="M575">
      <formula1>"Clásica,Premium"</formula1>
    </dataValidation>
    <dataValidation type="list" allowBlank="1" showInputMessage="1" showErrorMessage="1" sqref="O575">
      <formula1>"Activa,Inactiva"</formula1>
    </dataValidation>
    <dataValidation type="list" allowBlank="1" showInputMessage="1" showErrorMessage="1" sqref="J576">
      <formula1>"$,US$,UF"</formula1>
    </dataValidation>
    <dataValidation type="list" allowBlank="1" showInputMessage="1" showErrorMessage="1" sqref="K576">
      <formula1>"Usado,Nuevo"</formula1>
    </dataValidation>
    <dataValidation type="list" allowBlank="1" showInputMessage="1" showErrorMessage="1" sqref="L576">
      <formula1>"Mercado Envíos a cargo del comprador,Mercado Envíos por mi cuenta"</formula1>
    </dataValidation>
    <dataValidation type="list" allowBlank="1" showInputMessage="1" showErrorMessage="1" sqref="M576">
      <formula1>"Clásica,Premium"</formula1>
    </dataValidation>
    <dataValidation type="list" allowBlank="1" showInputMessage="1" showErrorMessage="1" sqref="O576">
      <formula1>"Activa,Inactiva"</formula1>
    </dataValidation>
    <dataValidation type="list" allowBlank="1" showInputMessage="1" showErrorMessage="1" sqref="J580">
      <formula1>"$,US$,UF"</formula1>
    </dataValidation>
    <dataValidation type="list" allowBlank="1" showInputMessage="1" showErrorMessage="1" sqref="K580">
      <formula1>"Usado,Nuevo"</formula1>
    </dataValidation>
    <dataValidation type="list" allowBlank="1" showInputMessage="1" showErrorMessage="1" sqref="L580">
      <formula1>"Mercado Envíos a cargo del comprador,Mercado Envíos gratis"</formula1>
    </dataValidation>
    <dataValidation type="list" allowBlank="1" showInputMessage="1" showErrorMessage="1" sqref="M580">
      <formula1>"Clásica,Premium"</formula1>
    </dataValidation>
    <dataValidation type="list" allowBlank="1" showInputMessage="1" showErrorMessage="1" sqref="O580">
      <formula1>"Activa,Inactiva"</formula1>
    </dataValidation>
    <dataValidation type="list" allowBlank="1" showInputMessage="1" showErrorMessage="1" sqref="J581">
      <formula1>"$,US$,UF"</formula1>
    </dataValidation>
    <dataValidation type="list" allowBlank="1" showInputMessage="1" showErrorMessage="1" sqref="K581">
      <formula1>"Usado,Nuevo"</formula1>
    </dataValidation>
    <dataValidation type="list" allowBlank="1" showInputMessage="1" showErrorMessage="1" sqref="L581">
      <formula1>"Mercado Envíos a cargo del comprador,Mercado Envíos gratis"</formula1>
    </dataValidation>
    <dataValidation type="list" allowBlank="1" showInputMessage="1" showErrorMessage="1" sqref="M581">
      <formula1>"Clásica,Premium"</formula1>
    </dataValidation>
    <dataValidation type="list" allowBlank="1" showInputMessage="1" showErrorMessage="1" sqref="O581">
      <formula1>"Activa,Inactiva"</formula1>
    </dataValidation>
    <dataValidation type="list" allowBlank="1" showInputMessage="1" showErrorMessage="1" sqref="J585">
      <formula1>"$,US$,UF"</formula1>
    </dataValidation>
    <dataValidation type="list" allowBlank="1" showInputMessage="1" showErrorMessage="1" sqref="K585">
      <formula1>"Usado,Nuevo"</formula1>
    </dataValidation>
    <dataValidation type="list" allowBlank="1" showInputMessage="1" showErrorMessage="1" sqref="L585">
      <formula1>"Mercado Envíos a cargo del comprador,Mercado Envíos por mi cuenta"</formula1>
    </dataValidation>
    <dataValidation type="list" allowBlank="1" showInputMessage="1" showErrorMessage="1" sqref="M585">
      <formula1>"Clásica,Premium"</formula1>
    </dataValidation>
    <dataValidation type="list" allowBlank="1" showInputMessage="1" showErrorMessage="1" sqref="O585">
      <formula1>"Activa,Inactiva"</formula1>
    </dataValidation>
    <dataValidation type="list" allowBlank="1" showInputMessage="1" showErrorMessage="1" sqref="J586">
      <formula1>"$,US$,UF"</formula1>
    </dataValidation>
    <dataValidation type="list" allowBlank="1" showInputMessage="1" showErrorMessage="1" sqref="L586">
      <formula1>"Mercado Envíos a cargo del comprador,Mercado Envíos gratis"</formula1>
    </dataValidation>
    <dataValidation type="list" allowBlank="1" showInputMessage="1" showErrorMessage="1" sqref="M586">
      <formula1>"Clásica,Premium"</formula1>
    </dataValidation>
    <dataValidation type="list" allowBlank="1" showInputMessage="1" showErrorMessage="1" sqref="O586">
      <formula1>"Activa,Inactiva"</formula1>
    </dataValidation>
    <dataValidation type="list" allowBlank="1" showInputMessage="1" showErrorMessage="1" sqref="J587">
      <formula1>"$,US$,UF"</formula1>
    </dataValidation>
    <dataValidation type="list" allowBlank="1" showInputMessage="1" showErrorMessage="1" sqref="K587">
      <formula1>"Usado,Nuevo"</formula1>
    </dataValidation>
    <dataValidation type="list" allowBlank="1" showInputMessage="1" showErrorMessage="1" sqref="L587">
      <formula1>"Mercado Envíos a cargo del comprador,Mercado Envíos gratis"</formula1>
    </dataValidation>
    <dataValidation type="list" allowBlank="1" showInputMessage="1" showErrorMessage="1" sqref="M587">
      <formula1>"Clásica,Premium"</formula1>
    </dataValidation>
    <dataValidation type="list" allowBlank="1" showInputMessage="1" showErrorMessage="1" sqref="O587">
      <formula1>"Activa,Inactiva"</formula1>
    </dataValidation>
    <dataValidation type="list" allowBlank="1" showInputMessage="1" showErrorMessage="1" sqref="J588">
      <formula1>"$,US$,UF"</formula1>
    </dataValidation>
    <dataValidation type="list" allowBlank="1" showInputMessage="1" showErrorMessage="1" sqref="K588">
      <formula1>"Usado,Nuevo"</formula1>
    </dataValidation>
    <dataValidation type="list" allowBlank="1" showInputMessage="1" showErrorMessage="1" sqref="L588">
      <formula1>"Mercado Envíos a cargo del comprador,Mercado Envíos por mi cuenta"</formula1>
    </dataValidation>
    <dataValidation type="list" allowBlank="1" showInputMessage="1" showErrorMessage="1" sqref="M588">
      <formula1>"Clásica,Premium"</formula1>
    </dataValidation>
    <dataValidation type="list" allowBlank="1" showInputMessage="1" showErrorMessage="1" sqref="O588">
      <formula1>"Activa,Inactiva"</formula1>
    </dataValidation>
    <dataValidation type="list" allowBlank="1" showInputMessage="1" showErrorMessage="1" sqref="J593">
      <formula1>"$,US$,UF"</formula1>
    </dataValidation>
    <dataValidation type="list" allowBlank="1" showInputMessage="1" showErrorMessage="1" sqref="K593">
      <formula1>"Usado,Nuevo"</formula1>
    </dataValidation>
    <dataValidation type="list" allowBlank="1" showInputMessage="1" showErrorMessage="1" sqref="L593">
      <formula1>"Mercado Envíos a cargo del comprador,Mercado Envíos por mi cuenta"</formula1>
    </dataValidation>
    <dataValidation type="list" allowBlank="1" showInputMessage="1" showErrorMessage="1" sqref="M593">
      <formula1>"Clásica,Premium"</formula1>
    </dataValidation>
    <dataValidation type="list" allowBlank="1" showInputMessage="1" showErrorMessage="1" sqref="O593">
      <formula1>"Activa,Inactiva"</formula1>
    </dataValidation>
    <dataValidation type="list" allowBlank="1" showInputMessage="1" showErrorMessage="1" sqref="J594">
      <formula1>"$,US$,UF"</formula1>
    </dataValidation>
    <dataValidation type="list" allowBlank="1" showInputMessage="1" showErrorMessage="1" sqref="K594">
      <formula1>"Usado,Nuevo"</formula1>
    </dataValidation>
    <dataValidation type="list" allowBlank="1" showInputMessage="1" showErrorMessage="1" sqref="L594">
      <formula1>"Mercado Envíos a cargo del comprador,Mercado Envíos gratis"</formula1>
    </dataValidation>
    <dataValidation type="list" allowBlank="1" showInputMessage="1" showErrorMessage="1" sqref="M594">
      <formula1>"Clásica,Premium"</formula1>
    </dataValidation>
    <dataValidation type="list" allowBlank="1" showInputMessage="1" showErrorMessage="1" sqref="O594">
      <formula1>"Activa,Inactiva"</formula1>
    </dataValidation>
    <dataValidation type="list" allowBlank="1" showInputMessage="1" showErrorMessage="1" sqref="J595">
      <formula1>"$,US$,UF"</formula1>
    </dataValidation>
    <dataValidation type="list" allowBlank="1" showInputMessage="1" showErrorMessage="1" sqref="K595">
      <formula1>"Usado,Nuevo"</formula1>
    </dataValidation>
    <dataValidation type="list" allowBlank="1" showInputMessage="1" showErrorMessage="1" sqref="L595">
      <formula1>"Mercado Envíos a cargo del comprador,Mercado Envíos gratis"</formula1>
    </dataValidation>
    <dataValidation type="list" allowBlank="1" showInputMessage="1" showErrorMessage="1" sqref="M595">
      <formula1>"Clásica,Premium"</formula1>
    </dataValidation>
    <dataValidation type="list" allowBlank="1" showInputMessage="1" showErrorMessage="1" sqref="O595">
      <formula1>"Activa,Inactiva"</formula1>
    </dataValidation>
    <dataValidation type="list" allowBlank="1" showInputMessage="1" showErrorMessage="1" sqref="J596">
      <formula1>"$,US$,UF"</formula1>
    </dataValidation>
    <dataValidation type="list" allowBlank="1" showInputMessage="1" showErrorMessage="1" sqref="K596">
      <formula1>"Usado,Nuevo"</formula1>
    </dataValidation>
    <dataValidation type="list" allowBlank="1" showInputMessage="1" showErrorMessage="1" sqref="L596">
      <formula1>"Mercado Envíos a cargo del comprador,Mercado Envíos gratis"</formula1>
    </dataValidation>
    <dataValidation type="list" allowBlank="1" showInputMessage="1" showErrorMessage="1" sqref="M596">
      <formula1>"Clásica,Premium"</formula1>
    </dataValidation>
    <dataValidation type="list" allowBlank="1" showInputMessage="1" showErrorMessage="1" sqref="O596">
      <formula1>"Activa,Inactiva"</formula1>
    </dataValidation>
    <dataValidation type="list" allowBlank="1" showInputMessage="1" showErrorMessage="1" sqref="J597">
      <formula1>"$,US$,UF"</formula1>
    </dataValidation>
    <dataValidation type="list" allowBlank="1" showInputMessage="1" showErrorMessage="1" sqref="K597">
      <formula1>"Usado,Nuevo"</formula1>
    </dataValidation>
    <dataValidation type="list" allowBlank="1" showInputMessage="1" showErrorMessage="1" sqref="L597">
      <formula1>"Mercado Envíos a cargo del comprador,Mercado Envíos gratis"</formula1>
    </dataValidation>
    <dataValidation type="list" allowBlank="1" showInputMessage="1" showErrorMessage="1" sqref="M597">
      <formula1>"Clásica,Premium"</formula1>
    </dataValidation>
    <dataValidation type="list" allowBlank="1" showInputMessage="1" showErrorMessage="1" sqref="O597">
      <formula1>"Activa,Inactiva"</formula1>
    </dataValidation>
    <dataValidation type="list" allowBlank="1" showInputMessage="1" showErrorMessage="1" sqref="J602">
      <formula1>"$,US$,UF"</formula1>
    </dataValidation>
    <dataValidation type="list" allowBlank="1" showInputMessage="1" showErrorMessage="1" sqref="K602">
      <formula1>"Nuevo,Usado,Reacondicionado"</formula1>
    </dataValidation>
    <dataValidation type="list" allowBlank="1" showInputMessage="1" showErrorMessage="1" sqref="L602">
      <formula1>"Mercado Envíos a cargo del comprador,Mercado Envíos por mi cuenta"</formula1>
    </dataValidation>
    <dataValidation type="list" allowBlank="1" showInputMessage="1" showErrorMessage="1" sqref="M602">
      <formula1>"Clásica,Premium"</formula1>
    </dataValidation>
    <dataValidation type="list" allowBlank="1" showInputMessage="1" showErrorMessage="1" sqref="O602">
      <formula1>"Activa,Inactiva"</formula1>
    </dataValidation>
    <dataValidation type="list" allowBlank="1" showInputMessage="1" showErrorMessage="1" sqref="J603">
      <formula1>"$,US$,UF"</formula1>
    </dataValidation>
    <dataValidation type="list" allowBlank="1" showInputMessage="1" showErrorMessage="1" sqref="K603">
      <formula1>"Usado,Nuevo"</formula1>
    </dataValidation>
    <dataValidation type="list" allowBlank="1" showInputMessage="1" showErrorMessage="1" sqref="L603">
      <formula1>"Mercado Envíos a cargo del comprador,Mercado Envíos gratis"</formula1>
    </dataValidation>
    <dataValidation type="list" allowBlank="1" showInputMessage="1" showErrorMessage="1" sqref="M603">
      <formula1>"Clásica,Premium"</formula1>
    </dataValidation>
    <dataValidation type="list" allowBlank="1" showInputMessage="1" showErrorMessage="1" sqref="O603">
      <formula1>"Activa,Inactiva"</formula1>
    </dataValidation>
    <dataValidation type="list" allowBlank="1" showInputMessage="1" showErrorMessage="1" sqref="J607">
      <formula1>"$,US$,UF"</formula1>
    </dataValidation>
    <dataValidation type="list" allowBlank="1" showInputMessage="1" showErrorMessage="1" sqref="K607">
      <formula1>"Usado,Nuevo"</formula1>
    </dataValidation>
    <dataValidation type="list" allowBlank="1" showInputMessage="1" showErrorMessage="1" sqref="L607">
      <formula1>"Mercado Envíos a cargo del comprador,Mercado Envíos gratis"</formula1>
    </dataValidation>
    <dataValidation type="list" allowBlank="1" showInputMessage="1" showErrorMessage="1" sqref="M607">
      <formula1>"Clásica,Premium"</formula1>
    </dataValidation>
    <dataValidation type="list" allowBlank="1" showInputMessage="1" showErrorMessage="1" sqref="O607">
      <formula1>"Activa,Inactiva"</formula1>
    </dataValidation>
    <dataValidation type="list" allowBlank="1" showInputMessage="1" showErrorMessage="1" sqref="J612">
      <formula1>"$,US$,UF"</formula1>
    </dataValidation>
    <dataValidation type="list" allowBlank="1" showInputMessage="1" showErrorMessage="1" sqref="K612">
      <formula1>"Usado,Nuevo"</formula1>
    </dataValidation>
    <dataValidation type="list" allowBlank="1" showInputMessage="1" showErrorMessage="1" sqref="L612">
      <formula1>"Mercado Envíos a cargo del comprador,Mercado Envíos gratis"</formula1>
    </dataValidation>
    <dataValidation type="list" allowBlank="1" showInputMessage="1" showErrorMessage="1" sqref="M612">
      <formula1>"Clásica,Premium"</formula1>
    </dataValidation>
    <dataValidation type="list" allowBlank="1" showInputMessage="1" showErrorMessage="1" sqref="O612">
      <formula1>"Activa,Inactiva"</formula1>
    </dataValidation>
    <dataValidation type="list" allowBlank="1" showInputMessage="1" showErrorMessage="1" sqref="J615">
      <formula1>"$,US$,UF"</formula1>
    </dataValidation>
    <dataValidation type="list" allowBlank="1" showInputMessage="1" showErrorMessage="1" sqref="K615">
      <formula1>"Usado,Nuevo"</formula1>
    </dataValidation>
    <dataValidation type="list" allowBlank="1" showInputMessage="1" showErrorMessage="1" sqref="L615">
      <formula1>"Mercado Envíos a cargo del comprador,Mercado Envíos gratis"</formula1>
    </dataValidation>
    <dataValidation type="list" allowBlank="1" showInputMessage="1" showErrorMessage="1" sqref="M615">
      <formula1>"Clásica,Premium"</formula1>
    </dataValidation>
    <dataValidation type="list" allowBlank="1" showInputMessage="1" showErrorMessage="1" sqref="O615">
      <formula1>"Activa,Inactiva"</formula1>
    </dataValidation>
    <dataValidation type="list" allowBlank="1" showInputMessage="1" showErrorMessage="1" sqref="J616">
      <formula1>"$,US$,UF"</formula1>
    </dataValidation>
    <dataValidation type="list" allowBlank="1" showInputMessage="1" showErrorMessage="1" sqref="K616">
      <formula1>"Usado,Nuevo"</formula1>
    </dataValidation>
    <dataValidation type="list" allowBlank="1" showInputMessage="1" showErrorMessage="1" sqref="L616">
      <formula1>"Mercado Envíos a cargo del comprador,Mercado Envíos gratis"</formula1>
    </dataValidation>
    <dataValidation type="list" allowBlank="1" showInputMessage="1" showErrorMessage="1" sqref="M616">
      <formula1>"Clásica,Premium"</formula1>
    </dataValidation>
    <dataValidation type="list" allowBlank="1" showInputMessage="1" showErrorMessage="1" sqref="O616">
      <formula1>"Activa,Inactiva"</formula1>
    </dataValidation>
    <dataValidation type="list" allowBlank="1" showInputMessage="1" showErrorMessage="1" sqref="J620">
      <formula1>"$,US$,UF"</formula1>
    </dataValidation>
    <dataValidation type="list" allowBlank="1" showInputMessage="1" showErrorMessage="1" sqref="K620">
      <formula1>"Nuevo"</formula1>
    </dataValidation>
    <dataValidation type="list" allowBlank="1" showInputMessage="1" showErrorMessage="1" sqref="L620">
      <formula1>"Mercado Envíos a cargo del comprador,Mercado Envíos por mi cuenta"</formula1>
    </dataValidation>
    <dataValidation type="list" allowBlank="1" showInputMessage="1" showErrorMessage="1" sqref="M620">
      <formula1>"Clásica,Premium"</formula1>
    </dataValidation>
    <dataValidation type="list" allowBlank="1" showInputMessage="1" showErrorMessage="1" sqref="O620">
      <formula1>"Activa,Inactiva"</formula1>
    </dataValidation>
    <dataValidation type="list" allowBlank="1" showInputMessage="1" showErrorMessage="1" sqref="J621">
      <formula1>"$,US$,UF"</formula1>
    </dataValidation>
    <dataValidation type="list" allowBlank="1" showInputMessage="1" showErrorMessage="1" sqref="K621">
      <formula1>"Usado,Nuevo"</formula1>
    </dataValidation>
    <dataValidation type="list" allowBlank="1" showInputMessage="1" showErrorMessage="1" sqref="L621">
      <formula1>"Mercado Envíos a cargo del comprador,Mercado Envíos gratis"</formula1>
    </dataValidation>
    <dataValidation type="list" allowBlank="1" showInputMessage="1" showErrorMessage="1" sqref="M621">
      <formula1>"Clásica,Premium"</formula1>
    </dataValidation>
    <dataValidation type="list" allowBlank="1" showInputMessage="1" showErrorMessage="1" sqref="O621">
      <formula1>"Activa,Inactiva"</formula1>
    </dataValidation>
    <dataValidation type="list" allowBlank="1" showInputMessage="1" showErrorMessage="1" sqref="J622">
      <formula1>"$,US$,UF"</formula1>
    </dataValidation>
    <dataValidation type="list" allowBlank="1" showInputMessage="1" showErrorMessage="1" sqref="K622">
      <formula1>"Usado,Nuevo"</formula1>
    </dataValidation>
    <dataValidation type="list" allowBlank="1" showInputMessage="1" showErrorMessage="1" sqref="L622">
      <formula1>"Mercado Envíos a cargo del comprador,Mercado Envíos gratis"</formula1>
    </dataValidation>
    <dataValidation type="list" allowBlank="1" showInputMessage="1" showErrorMessage="1" sqref="M622">
      <formula1>"Clásica,Premium"</formula1>
    </dataValidation>
    <dataValidation type="list" allowBlank="1" showInputMessage="1" showErrorMessage="1" sqref="O622">
      <formula1>"Activa,Inactiva"</formula1>
    </dataValidation>
    <dataValidation type="list" allowBlank="1" showInputMessage="1" showErrorMessage="1" sqref="J625">
      <formula1>"$,US$,UF"</formula1>
    </dataValidation>
    <dataValidation type="list" allowBlank="1" showInputMessage="1" showErrorMessage="1" sqref="K625">
      <formula1>"Usado,Nuevo"</formula1>
    </dataValidation>
    <dataValidation type="list" allowBlank="1" showInputMessage="1" showErrorMessage="1" sqref="L625">
      <formula1>"Mercado Envíos a cargo del comprador,Mercado Envíos por mi cuenta"</formula1>
    </dataValidation>
    <dataValidation type="list" allowBlank="1" showInputMessage="1" showErrorMessage="1" sqref="M625">
      <formula1>"Clásica,Premium"</formula1>
    </dataValidation>
    <dataValidation type="list" allowBlank="1" showInputMessage="1" showErrorMessage="1" sqref="O625">
      <formula1>"Activa,Inactiva"</formula1>
    </dataValidation>
    <dataValidation type="list" allowBlank="1" showInputMessage="1" showErrorMessage="1" sqref="J626">
      <formula1>"$,US$,UF"</formula1>
    </dataValidation>
    <dataValidation type="list" allowBlank="1" showInputMessage="1" showErrorMessage="1" sqref="L626">
      <formula1>"Mercado Envíos a cargo del comprador,Mercado Envíos gratis"</formula1>
    </dataValidation>
    <dataValidation type="list" allowBlank="1" showInputMessage="1" showErrorMessage="1" sqref="M626">
      <formula1>"Clásica,Premium"</formula1>
    </dataValidation>
    <dataValidation type="list" allowBlank="1" showInputMessage="1" showErrorMessage="1" sqref="O626">
      <formula1>"Activa,Inactiva"</formula1>
    </dataValidation>
    <dataValidation type="list" allowBlank="1" showInputMessage="1" showErrorMessage="1" sqref="J627">
      <formula1>"$,US$,UF"</formula1>
    </dataValidation>
    <dataValidation type="list" allowBlank="1" showInputMessage="1" showErrorMessage="1" sqref="K627">
      <formula1>"Usado,Nuevo"</formula1>
    </dataValidation>
    <dataValidation type="list" allowBlank="1" showInputMessage="1" showErrorMessage="1" sqref="L627">
      <formula1>"Mercado Envíos a cargo del comprador,Mercado Envíos gratis"</formula1>
    </dataValidation>
    <dataValidation type="list" allowBlank="1" showInputMessage="1" showErrorMessage="1" sqref="M627">
      <formula1>"Clásica,Premium"</formula1>
    </dataValidation>
    <dataValidation type="list" allowBlank="1" showInputMessage="1" showErrorMessage="1" sqref="O627">
      <formula1>"Activa,Inactiva"</formula1>
    </dataValidation>
    <dataValidation type="list" allowBlank="1" showInputMessage="1" showErrorMessage="1" sqref="J628">
      <formula1>"$,US$,UF"</formula1>
    </dataValidation>
    <dataValidation type="list" allowBlank="1" showInputMessage="1" showErrorMessage="1" sqref="K628">
      <formula1>"Usado,Nuevo"</formula1>
    </dataValidation>
    <dataValidation type="list" allowBlank="1" showInputMessage="1" showErrorMessage="1" sqref="L628">
      <formula1>"Mercado Envíos a cargo del comprador,Mercado Envíos gratis"</formula1>
    </dataValidation>
    <dataValidation type="list" allowBlank="1" showInputMessage="1" showErrorMessage="1" sqref="M628">
      <formula1>"Clásica,Premium"</formula1>
    </dataValidation>
    <dataValidation type="list" allowBlank="1" showInputMessage="1" showErrorMessage="1" sqref="O628">
      <formula1>"Activa,Inactiva"</formula1>
    </dataValidation>
    <dataValidation type="list" allowBlank="1" showInputMessage="1" showErrorMessage="1" sqref="J629">
      <formula1>"$,US$,UF"</formula1>
    </dataValidation>
    <dataValidation type="list" allowBlank="1" showInputMessage="1" showErrorMessage="1" sqref="K629">
      <formula1>"Usado,Nuevo"</formula1>
    </dataValidation>
    <dataValidation type="list" allowBlank="1" showInputMessage="1" showErrorMessage="1" sqref="L629">
      <formula1>"Mercado Envíos a cargo del comprador,Mercado Envíos por mi cuenta"</formula1>
    </dataValidation>
    <dataValidation type="list" allowBlank="1" showInputMessage="1" showErrorMessage="1" sqref="M629">
      <formula1>"Clásica,Premium"</formula1>
    </dataValidation>
    <dataValidation type="list" allowBlank="1" showInputMessage="1" showErrorMessage="1" sqref="O629">
      <formula1>"Activa,Inactiva"</formula1>
    </dataValidation>
    <dataValidation type="list" allowBlank="1" showInputMessage="1" showErrorMessage="1" sqref="J633">
      <formula1>"$,US$,UF"</formula1>
    </dataValidation>
    <dataValidation type="list" allowBlank="1" showInputMessage="1" showErrorMessage="1" sqref="K633">
      <formula1>"Usado,Nuevo"</formula1>
    </dataValidation>
    <dataValidation type="list" allowBlank="1" showInputMessage="1" showErrorMessage="1" sqref="L633">
      <formula1>"Mercado Envíos a cargo del comprador,Mercado Envíos gratis"</formula1>
    </dataValidation>
    <dataValidation type="list" allowBlank="1" showInputMessage="1" showErrorMessage="1" sqref="M633">
      <formula1>"Clásica,Premium"</formula1>
    </dataValidation>
    <dataValidation type="list" allowBlank="1" showInputMessage="1" showErrorMessage="1" sqref="O633">
      <formula1>"Activa,Inactiva"</formula1>
    </dataValidation>
    <dataValidation type="list" allowBlank="1" showInputMessage="1" showErrorMessage="1" sqref="J634">
      <formula1>"$,US$,UF"</formula1>
    </dataValidation>
    <dataValidation type="list" allowBlank="1" showInputMessage="1" showErrorMessage="1" sqref="K634">
      <formula1>"Usado,Nuevo"</formula1>
    </dataValidation>
    <dataValidation type="list" allowBlank="1" showInputMessage="1" showErrorMessage="1" sqref="L634">
      <formula1>"Mercado Envíos a cargo del comprador,Mercado Envíos gratis"</formula1>
    </dataValidation>
    <dataValidation type="list" allowBlank="1" showInputMessage="1" showErrorMessage="1" sqref="M634">
      <formula1>"Clásica,Premium"</formula1>
    </dataValidation>
    <dataValidation type="list" allowBlank="1" showInputMessage="1" showErrorMessage="1" sqref="O634">
      <formula1>"Activa,Inactiva"</formula1>
    </dataValidation>
    <dataValidation type="list" allowBlank="1" showInputMessage="1" showErrorMessage="1" sqref="J635">
      <formula1>"$,US$,UF"</formula1>
    </dataValidation>
    <dataValidation type="list" allowBlank="1" showInputMessage="1" showErrorMessage="1" sqref="K635">
      <formula1>"Usado,Nuevo"</formula1>
    </dataValidation>
    <dataValidation type="list" allowBlank="1" showInputMessage="1" showErrorMessage="1" sqref="L635">
      <formula1>"Mercado Envíos a cargo del comprador,Mercado Envíos por mi cuenta"</formula1>
    </dataValidation>
    <dataValidation type="list" allowBlank="1" showInputMessage="1" showErrorMessage="1" sqref="M635">
      <formula1>"Clásica,Premium"</formula1>
    </dataValidation>
    <dataValidation type="list" allowBlank="1" showInputMessage="1" showErrorMessage="1" sqref="O635">
      <formula1>"Activa,Inactiva"</formula1>
    </dataValidation>
    <dataValidation type="list" allowBlank="1" showInputMessage="1" showErrorMessage="1" sqref="J636">
      <formula1>"$,US$,UF"</formula1>
    </dataValidation>
    <dataValidation type="list" allowBlank="1" showInputMessage="1" showErrorMessage="1" sqref="K636">
      <formula1>"Usado,Nuevo"</formula1>
    </dataValidation>
    <dataValidation type="list" allowBlank="1" showInputMessage="1" showErrorMessage="1" sqref="L636">
      <formula1>"Mercado Envíos a cargo del comprador,Mercado Envíos por mi cuenta"</formula1>
    </dataValidation>
    <dataValidation type="list" allowBlank="1" showInputMessage="1" showErrorMessage="1" sqref="M636">
      <formula1>"Clásica,Premium"</formula1>
    </dataValidation>
    <dataValidation type="list" allowBlank="1" showInputMessage="1" showErrorMessage="1" sqref="O636">
      <formula1>"Activa,Inactiva"</formula1>
    </dataValidation>
    <dataValidation type="list" allowBlank="1" showInputMessage="1" showErrorMessage="1" sqref="J641">
      <formula1>"$,US$,UF"</formula1>
    </dataValidation>
    <dataValidation type="list" allowBlank="1" showInputMessage="1" showErrorMessage="1" sqref="K641">
      <formula1>"Usado,Nuevo"</formula1>
    </dataValidation>
    <dataValidation type="list" allowBlank="1" showInputMessage="1" showErrorMessage="1" sqref="L641">
      <formula1>"Mercado Envíos a cargo del comprador,Mercado Envíos gratis"</formula1>
    </dataValidation>
    <dataValidation type="list" allowBlank="1" showInputMessage="1" showErrorMessage="1" sqref="M641">
      <formula1>"Clásica,Premium"</formula1>
    </dataValidation>
    <dataValidation type="list" allowBlank="1" showInputMessage="1" showErrorMessage="1" sqref="O641">
      <formula1>"Activa,Inactiva"</formula1>
    </dataValidation>
    <dataValidation type="list" allowBlank="1" showInputMessage="1" showErrorMessage="1" sqref="J644">
      <formula1>"$,US$,UF"</formula1>
    </dataValidation>
    <dataValidation type="list" allowBlank="1" showInputMessage="1" showErrorMessage="1" sqref="K644">
      <formula1>"Usado,Nuevo"</formula1>
    </dataValidation>
    <dataValidation type="list" allowBlank="1" showInputMessage="1" showErrorMessage="1" sqref="L644">
      <formula1>"Mercado Envíos a cargo del comprador,Mercado Envíos gratis"</formula1>
    </dataValidation>
    <dataValidation type="list" allowBlank="1" showInputMessage="1" showErrorMessage="1" sqref="M644">
      <formula1>"Clásica,Premium"</formula1>
    </dataValidation>
    <dataValidation type="list" allowBlank="1" showInputMessage="1" showErrorMessage="1" sqref="O644">
      <formula1>"Activa,Inactiva"</formula1>
    </dataValidation>
    <dataValidation type="list" allowBlank="1" showInputMessage="1" showErrorMessage="1" sqref="J645">
      <formula1>"$,US$,UF"</formula1>
    </dataValidation>
    <dataValidation type="list" allowBlank="1" showInputMessage="1" showErrorMessage="1" sqref="K645">
      <formula1>"Usado,Nuevo"</formula1>
    </dataValidation>
    <dataValidation type="list" allowBlank="1" showInputMessage="1" showErrorMessage="1" sqref="L645">
      <formula1>"Mercado Envíos a cargo del comprador,Mercado Envíos por mi cuenta"</formula1>
    </dataValidation>
    <dataValidation type="list" allowBlank="1" showInputMessage="1" showErrorMessage="1" sqref="M645">
      <formula1>"Clásica,Premium"</formula1>
    </dataValidation>
    <dataValidation type="list" allowBlank="1" showInputMessage="1" showErrorMessage="1" sqref="O645">
      <formula1>"Activa,Inactiva"</formula1>
    </dataValidation>
    <dataValidation type="list" allowBlank="1" showInputMessage="1" showErrorMessage="1" sqref="J649">
      <formula1>"$,US$,UF"</formula1>
    </dataValidation>
    <dataValidation type="list" allowBlank="1" showInputMessage="1" showErrorMessage="1" sqref="K649">
      <formula1>"Usado,Nuevo"</formula1>
    </dataValidation>
    <dataValidation type="list" allowBlank="1" showInputMessage="1" showErrorMessage="1" sqref="L649">
      <formula1>"Mercado Envíos a cargo del comprador,Mercado Envíos gratis"</formula1>
    </dataValidation>
    <dataValidation type="list" allowBlank="1" showInputMessage="1" showErrorMessage="1" sqref="M649">
      <formula1>"Clásica,Premium"</formula1>
    </dataValidation>
    <dataValidation type="list" allowBlank="1" showInputMessage="1" showErrorMessage="1" sqref="O649">
      <formula1>"Activa,Inactiva"</formula1>
    </dataValidation>
    <dataValidation type="list" allowBlank="1" showInputMessage="1" showErrorMessage="1" sqref="J652">
      <formula1>"$,US$,UF"</formula1>
    </dataValidation>
    <dataValidation type="list" allowBlank="1" showInputMessage="1" showErrorMessage="1" sqref="K652">
      <formula1>"Usado,Nuevo"</formula1>
    </dataValidation>
    <dataValidation type="list" allowBlank="1" showInputMessage="1" showErrorMessage="1" sqref="L652">
      <formula1>"Mercado Envíos a cargo del comprador,Mercado Envíos gratis"</formula1>
    </dataValidation>
    <dataValidation type="list" allowBlank="1" showInputMessage="1" showErrorMessage="1" sqref="M652">
      <formula1>"Clásica,Premium"</formula1>
    </dataValidation>
    <dataValidation type="list" allowBlank="1" showInputMessage="1" showErrorMessage="1" sqref="O652">
      <formula1>"Activa,Inactiva"</formula1>
    </dataValidation>
    <dataValidation type="list" allowBlank="1" showInputMessage="1" showErrorMessage="1" sqref="J657">
      <formula1>"$,US$,UF"</formula1>
    </dataValidation>
    <dataValidation type="list" allowBlank="1" showInputMessage="1" showErrorMessage="1" sqref="K657">
      <formula1>"Usado,Nuevo"</formula1>
    </dataValidation>
    <dataValidation type="list" allowBlank="1" showInputMessage="1" showErrorMessage="1" sqref="L657">
      <formula1>"Mercado Envíos a cargo del comprador,Mercado Envíos por mi cuenta"</formula1>
    </dataValidation>
    <dataValidation type="list" allowBlank="1" showInputMessage="1" showErrorMessage="1" sqref="M657">
      <formula1>"Clásica,Premium"</formula1>
    </dataValidation>
    <dataValidation type="list" allowBlank="1" showInputMessage="1" showErrorMessage="1" sqref="O657">
      <formula1>"Activa,Inactiva"</formula1>
    </dataValidation>
    <dataValidation type="list" allowBlank="1" showInputMessage="1" showErrorMessage="1" sqref="J658">
      <formula1>"$,US$,UF"</formula1>
    </dataValidation>
    <dataValidation type="list" allowBlank="1" showInputMessage="1" showErrorMessage="1" sqref="K658">
      <formula1>"Nuevo"</formula1>
    </dataValidation>
    <dataValidation type="list" allowBlank="1" showInputMessage="1" showErrorMessage="1" sqref="L658">
      <formula1>"Mercado Envíos a cargo del comprador,Mercado Envíos gratis"</formula1>
    </dataValidation>
    <dataValidation type="list" allowBlank="1" showInputMessage="1" showErrorMessage="1" sqref="M658">
      <formula1>"Clásica,Premium"</formula1>
    </dataValidation>
    <dataValidation type="list" allowBlank="1" showInputMessage="1" showErrorMessage="1" sqref="O658">
      <formula1>"Activa,Inactiva"</formula1>
    </dataValidation>
    <dataValidation type="list" allowBlank="1" showInputMessage="1" showErrorMessage="1" sqref="J659">
      <formula1>"$,US$,UF"</formula1>
    </dataValidation>
    <dataValidation type="list" allowBlank="1" showInputMessage="1" showErrorMessage="1" sqref="K659">
      <formula1>"Usado,Nuevo"</formula1>
    </dataValidation>
    <dataValidation type="list" allowBlank="1" showInputMessage="1" showErrorMessage="1" sqref="L659">
      <formula1>"Mercado Envíos a cargo del comprador,Mercado Envíos gratis"</formula1>
    </dataValidation>
    <dataValidation type="list" allowBlank="1" showInputMessage="1" showErrorMessage="1" sqref="M659">
      <formula1>"Clásica,Premium"</formula1>
    </dataValidation>
    <dataValidation type="list" allowBlank="1" showInputMessage="1" showErrorMessage="1" sqref="O659">
      <formula1>"Activa,Inactiva"</formula1>
    </dataValidation>
    <dataValidation type="list" allowBlank="1" showInputMessage="1" showErrorMessage="1" sqref="J664">
      <formula1>"$,US$,UF"</formula1>
    </dataValidation>
    <dataValidation type="list" allowBlank="1" showInputMessage="1" showErrorMessage="1" sqref="K664">
      <formula1>"Usado,Nuevo"</formula1>
    </dataValidation>
    <dataValidation type="list" allowBlank="1" showInputMessage="1" showErrorMessage="1" sqref="L664">
      <formula1>"Mercado Envíos a cargo del comprador,Mercado Envíos gratis"</formula1>
    </dataValidation>
    <dataValidation type="list" allowBlank="1" showInputMessage="1" showErrorMessage="1" sqref="M664">
      <formula1>"Clásica,Premium"</formula1>
    </dataValidation>
    <dataValidation type="list" allowBlank="1" showInputMessage="1" showErrorMessage="1" sqref="O664">
      <formula1>"Activa,Inactiva"</formula1>
    </dataValidation>
    <dataValidation type="list" allowBlank="1" showInputMessage="1" showErrorMessage="1" sqref="J668">
      <formula1>"$,US$,UF"</formula1>
    </dataValidation>
    <dataValidation type="list" allowBlank="1" showInputMessage="1" showErrorMessage="1" sqref="K668">
      <formula1>"Usado,Nuevo"</formula1>
    </dataValidation>
    <dataValidation type="list" allowBlank="1" showInputMessage="1" showErrorMessage="1" sqref="L668">
      <formula1>"Mercado Envíos a cargo del comprador,Mercado Envíos gratis"</formula1>
    </dataValidation>
    <dataValidation type="list" allowBlank="1" showInputMessage="1" showErrorMessage="1" sqref="M668">
      <formula1>"Clásica,Premium"</formula1>
    </dataValidation>
    <dataValidation type="list" allowBlank="1" showInputMessage="1" showErrorMessage="1" sqref="O668">
      <formula1>"Activa,Inactiva"</formula1>
    </dataValidation>
    <dataValidation type="list" allowBlank="1" showInputMessage="1" showErrorMessage="1" sqref="J669">
      <formula1>"$,US$,UF"</formula1>
    </dataValidation>
    <dataValidation type="list" allowBlank="1" showInputMessage="1" showErrorMessage="1" sqref="K669">
      <formula1>"Usado,Nuevo"</formula1>
    </dataValidation>
    <dataValidation type="list" allowBlank="1" showInputMessage="1" showErrorMessage="1" sqref="L669">
      <formula1>"Mercado Envíos a cargo del comprador,Mercado Envíos gratis"</formula1>
    </dataValidation>
    <dataValidation type="list" allowBlank="1" showInputMessage="1" showErrorMessage="1" sqref="M669">
      <formula1>"Clásica,Premium"</formula1>
    </dataValidation>
    <dataValidation type="list" allowBlank="1" showInputMessage="1" showErrorMessage="1" sqref="O669">
      <formula1>"Activa,Inactiva"</formula1>
    </dataValidation>
    <dataValidation type="list" allowBlank="1" showInputMessage="1" showErrorMessage="1" sqref="J670">
      <formula1>"$,US$,UF"</formula1>
    </dataValidation>
    <dataValidation type="list" allowBlank="1" showInputMessage="1" showErrorMessage="1" sqref="K670">
      <formula1>"Usado,Nuevo"</formula1>
    </dataValidation>
    <dataValidation type="list" allowBlank="1" showInputMessage="1" showErrorMessage="1" sqref="L670">
      <formula1>"Mercado Envíos a cargo del comprador,Mercado Envíos gratis"</formula1>
    </dataValidation>
    <dataValidation type="list" allowBlank="1" showInputMessage="1" showErrorMessage="1" sqref="M670">
      <formula1>"Clásica,Premium"</formula1>
    </dataValidation>
    <dataValidation type="list" allowBlank="1" showInputMessage="1" showErrorMessage="1" sqref="O670">
      <formula1>"Activa,Inactiva"</formula1>
    </dataValidation>
    <dataValidation type="list" allowBlank="1" showInputMessage="1" showErrorMessage="1" sqref="J675">
      <formula1>"$,US$,UF"</formula1>
    </dataValidation>
    <dataValidation type="list" allowBlank="1" showInputMessage="1" showErrorMessage="1" sqref="K675">
      <formula1>"Usado,Nuevo"</formula1>
    </dataValidation>
    <dataValidation type="list" allowBlank="1" showInputMessage="1" showErrorMessage="1" sqref="L675">
      <formula1>"Mercado Envíos a cargo del comprador,Mercado Envíos por mi cuenta"</formula1>
    </dataValidation>
    <dataValidation type="list" allowBlank="1" showInputMessage="1" showErrorMessage="1" sqref="M675">
      <formula1>"Clásica,Premium"</formula1>
    </dataValidation>
    <dataValidation type="list" allowBlank="1" showInputMessage="1" showErrorMessage="1" sqref="O675">
      <formula1>"Activa,Inactiva"</formula1>
    </dataValidation>
    <dataValidation type="list" allowBlank="1" showInputMessage="1" showErrorMessage="1" sqref="J676">
      <formula1>"$,US$,UF"</formula1>
    </dataValidation>
    <dataValidation type="list" allowBlank="1" showInputMessage="1" showErrorMessage="1" sqref="K676">
      <formula1>"Usado,Nuevo"</formula1>
    </dataValidation>
    <dataValidation type="list" allowBlank="1" showInputMessage="1" showErrorMessage="1" sqref="L676">
      <formula1>"Mercado Envíos a cargo del comprador,Mercado Envíos gratis"</formula1>
    </dataValidation>
    <dataValidation type="list" allowBlank="1" showInputMessage="1" showErrorMessage="1" sqref="M676">
      <formula1>"Clásica,Premium"</formula1>
    </dataValidation>
    <dataValidation type="list" allowBlank="1" showInputMessage="1" showErrorMessage="1" sqref="O676">
      <formula1>"Activa,Inactiva"</formula1>
    </dataValidation>
    <dataValidation type="list" allowBlank="1" showInputMessage="1" showErrorMessage="1" sqref="J679">
      <formula1>"$,US$,UF"</formula1>
    </dataValidation>
    <dataValidation type="list" allowBlank="1" showInputMessage="1" showErrorMessage="1" sqref="K679">
      <formula1>"Usado,Nuevo"</formula1>
    </dataValidation>
    <dataValidation type="list" allowBlank="1" showInputMessage="1" showErrorMessage="1" sqref="L679">
      <formula1>"Mercado Envíos a cargo del comprador,Mercado Envíos gratis"</formula1>
    </dataValidation>
    <dataValidation type="list" allowBlank="1" showInputMessage="1" showErrorMessage="1" sqref="M679">
      <formula1>"Clásica,Premium"</formula1>
    </dataValidation>
    <dataValidation type="list" allowBlank="1" showInputMessage="1" showErrorMessage="1" sqref="O679">
      <formula1>"Activa,Inactiva"</formula1>
    </dataValidation>
    <dataValidation type="list" allowBlank="1" showInputMessage="1" showErrorMessage="1" sqref="J680">
      <formula1>"$,US$,UF"</formula1>
    </dataValidation>
    <dataValidation type="list" allowBlank="1" showInputMessage="1" showErrorMessage="1" sqref="K680">
      <formula1>"Usado,Nuevo"</formula1>
    </dataValidation>
    <dataValidation type="list" allowBlank="1" showInputMessage="1" showErrorMessage="1" sqref="L680">
      <formula1>"Mercado Envíos a cargo del comprador,Mercado Envíos por mi cuenta"</formula1>
    </dataValidation>
    <dataValidation type="list" allowBlank="1" showInputMessage="1" showErrorMessage="1" sqref="M680">
      <formula1>"Clásica,Premium"</formula1>
    </dataValidation>
    <dataValidation type="list" allowBlank="1" showInputMessage="1" showErrorMessage="1" sqref="O680">
      <formula1>"Activa,Inactiva"</formula1>
    </dataValidation>
    <dataValidation type="list" allowBlank="1" showInputMessage="1" showErrorMessage="1" sqref="J686">
      <formula1>"$,US$,UF"</formula1>
    </dataValidation>
    <dataValidation type="list" allowBlank="1" showInputMessage="1" showErrorMessage="1" sqref="K686">
      <formula1>"Usado,Nuevo"</formula1>
    </dataValidation>
    <dataValidation type="list" allowBlank="1" showInputMessage="1" showErrorMessage="1" sqref="L686">
      <formula1>"Mercado Envíos a cargo del comprador,Mercado Envíos gratis"</formula1>
    </dataValidation>
    <dataValidation type="list" allowBlank="1" showInputMessage="1" showErrorMessage="1" sqref="M686">
      <formula1>"Clásica,Premium"</formula1>
    </dataValidation>
    <dataValidation type="list" allowBlank="1" showInputMessage="1" showErrorMessage="1" sqref="O686">
      <formula1>"Activa,Inactiva"</formula1>
    </dataValidation>
    <dataValidation type="list" allowBlank="1" showInputMessage="1" showErrorMessage="1" sqref="J687">
      <formula1>"$,US$,UF"</formula1>
    </dataValidation>
    <dataValidation type="list" allowBlank="1" showInputMessage="1" showErrorMessage="1" sqref="K687">
      <formula1>"Usado,Nuevo"</formula1>
    </dataValidation>
    <dataValidation type="list" allowBlank="1" showInputMessage="1" showErrorMessage="1" sqref="L687">
      <formula1>"Mercado Envíos a cargo del comprador,Mercado Envíos gratis"</formula1>
    </dataValidation>
    <dataValidation type="list" allowBlank="1" showInputMessage="1" showErrorMessage="1" sqref="M687">
      <formula1>"Clásica,Premium"</formula1>
    </dataValidation>
    <dataValidation type="list" allowBlank="1" showInputMessage="1" showErrorMessage="1" sqref="O687">
      <formula1>"Activa,Inactiva"</formula1>
    </dataValidation>
    <dataValidation type="list" allowBlank="1" showInputMessage="1" showErrorMessage="1" sqref="J690">
      <formula1>"$,US$,UF"</formula1>
    </dataValidation>
    <dataValidation type="list" allowBlank="1" showInputMessage="1" showErrorMessage="1" sqref="K690">
      <formula1>"Usado,Nuevo"</formula1>
    </dataValidation>
    <dataValidation type="list" allowBlank="1" showInputMessage="1" showErrorMessage="1" sqref="L690">
      <formula1>"Mercado Envíos a cargo del comprador,Mercado Envíos gratis"</formula1>
    </dataValidation>
    <dataValidation type="list" allowBlank="1" showInputMessage="1" showErrorMessage="1" sqref="M690">
      <formula1>"Clásica,Premium"</formula1>
    </dataValidation>
    <dataValidation type="list" allowBlank="1" showInputMessage="1" showErrorMessage="1" sqref="O690">
      <formula1>"Activa,Inactiva"</formula1>
    </dataValidation>
    <dataValidation type="list" allowBlank="1" showInputMessage="1" showErrorMessage="1" sqref="J691">
      <formula1>"$,US$,UF"</formula1>
    </dataValidation>
    <dataValidation type="list" allowBlank="1" showInputMessage="1" showErrorMessage="1" sqref="K691">
      <formula1>"Usado,Nuevo"</formula1>
    </dataValidation>
    <dataValidation type="list" allowBlank="1" showInputMessage="1" showErrorMessage="1" sqref="L691">
      <formula1>"Mercado Envíos a cargo del comprador,Mercado Envíos gratis"</formula1>
    </dataValidation>
    <dataValidation type="list" allowBlank="1" showInputMessage="1" showErrorMessage="1" sqref="M691">
      <formula1>"Clásica,Premium"</formula1>
    </dataValidation>
    <dataValidation type="list" allowBlank="1" showInputMessage="1" showErrorMessage="1" sqref="O691">
      <formula1>"Activa,Inactiva"</formula1>
    </dataValidation>
    <dataValidation type="list" allowBlank="1" showInputMessage="1" showErrorMessage="1" sqref="J692">
      <formula1>"$,US$,UF"</formula1>
    </dataValidation>
    <dataValidation type="list" allowBlank="1" showInputMessage="1" showErrorMessage="1" sqref="K692">
      <formula1>"Usado,Nuevo"</formula1>
    </dataValidation>
    <dataValidation type="list" allowBlank="1" showInputMessage="1" showErrorMessage="1" sqref="L692">
      <formula1>"Mercado Envíos a cargo del comprador,Mercado Envíos gratis"</formula1>
    </dataValidation>
    <dataValidation type="list" allowBlank="1" showInputMessage="1" showErrorMessage="1" sqref="M692">
      <formula1>"Clásica,Premium"</formula1>
    </dataValidation>
    <dataValidation type="list" allowBlank="1" showInputMessage="1" showErrorMessage="1" sqref="O692">
      <formula1>"Activa,Inactiva"</formula1>
    </dataValidation>
    <dataValidation type="list" allowBlank="1" showInputMessage="1" showErrorMessage="1" sqref="J695">
      <formula1>"$,US$,UF"</formula1>
    </dataValidation>
    <dataValidation type="list" allowBlank="1" showInputMessage="1" showErrorMessage="1" sqref="K695">
      <formula1>"Usado,Nuevo"</formula1>
    </dataValidation>
    <dataValidation type="list" allowBlank="1" showInputMessage="1" showErrorMessage="1" sqref="L695">
      <formula1>"Mercado Envíos a cargo del comprador,Mercado Envíos gratis"</formula1>
    </dataValidation>
    <dataValidation type="list" allowBlank="1" showInputMessage="1" showErrorMessage="1" sqref="M695">
      <formula1>"Clásica,Premium"</formula1>
    </dataValidation>
    <dataValidation type="list" allowBlank="1" showInputMessage="1" showErrorMessage="1" sqref="O695">
      <formula1>"Activa,Inactiva"</formula1>
    </dataValidation>
    <dataValidation type="list" allowBlank="1" showInputMessage="1" showErrorMessage="1" sqref="J699">
      <formula1>"$,US$,UF"</formula1>
    </dataValidation>
    <dataValidation type="list" allowBlank="1" showInputMessage="1" showErrorMessage="1" sqref="K699">
      <formula1>"Usado,Nuevo"</formula1>
    </dataValidation>
    <dataValidation type="list" allowBlank="1" showInputMessage="1" showErrorMessage="1" sqref="L699">
      <formula1>"Mercado Envíos a cargo del comprador,Mercado Envíos gratis"</formula1>
    </dataValidation>
    <dataValidation type="list" allowBlank="1" showInputMessage="1" showErrorMessage="1" sqref="M699">
      <formula1>"Clásica,Premium"</formula1>
    </dataValidation>
    <dataValidation type="list" allowBlank="1" showInputMessage="1" showErrorMessage="1" sqref="O699">
      <formula1>"Activa,Inactiva"</formula1>
    </dataValidation>
    <dataValidation type="list" allowBlank="1" showInputMessage="1" showErrorMessage="1" sqref="J700">
      <formula1>"$,US$,UF"</formula1>
    </dataValidation>
    <dataValidation type="list" allowBlank="1" showInputMessage="1" showErrorMessage="1" sqref="K700">
      <formula1>"Usado,Nuevo"</formula1>
    </dataValidation>
    <dataValidation type="list" allowBlank="1" showInputMessage="1" showErrorMessage="1" sqref="L700">
      <formula1>"Mercado Envíos a cargo del comprador,Mercado Envíos por mi cuenta"</formula1>
    </dataValidation>
    <dataValidation type="list" allowBlank="1" showInputMessage="1" showErrorMessage="1" sqref="M700">
      <formula1>"Clásica,Premium"</formula1>
    </dataValidation>
    <dataValidation type="list" allowBlank="1" showInputMessage="1" showErrorMessage="1" sqref="O700">
      <formula1>"Activa,Inactiva"</formula1>
    </dataValidation>
    <dataValidation type="list" allowBlank="1" showInputMessage="1" showErrorMessage="1" sqref="J701">
      <formula1>"$,US$,UF"</formula1>
    </dataValidation>
    <dataValidation type="list" allowBlank="1" showInputMessage="1" showErrorMessage="1" sqref="K701">
      <formula1>"Usado,Nuevo"</formula1>
    </dataValidation>
    <dataValidation type="list" allowBlank="1" showInputMessage="1" showErrorMessage="1" sqref="L701">
      <formula1>"Mercado Envíos a cargo del comprador,Mercado Envíos por mi cuenta"</formula1>
    </dataValidation>
    <dataValidation type="list" allowBlank="1" showInputMessage="1" showErrorMessage="1" sqref="M701">
      <formula1>"Clásica,Premium"</formula1>
    </dataValidation>
    <dataValidation type="list" allowBlank="1" showInputMessage="1" showErrorMessage="1" sqref="O701">
      <formula1>"Activa,Inactiva"</formula1>
    </dataValidation>
    <dataValidation type="list" allowBlank="1" showInputMessage="1" showErrorMessage="1" sqref="J702">
      <formula1>"$,US$,UF"</formula1>
    </dataValidation>
    <dataValidation type="list" allowBlank="1" showInputMessage="1" showErrorMessage="1" sqref="K702">
      <formula1>"Usado,Nuevo"</formula1>
    </dataValidation>
    <dataValidation type="list" allowBlank="1" showInputMessage="1" showErrorMessage="1" sqref="L702">
      <formula1>"Mercado Envíos a cargo del comprador,Mercado Envíos por mi cuenta"</formula1>
    </dataValidation>
    <dataValidation type="list" allowBlank="1" showInputMessage="1" showErrorMessage="1" sqref="M702">
      <formula1>"Clásica,Premium"</formula1>
    </dataValidation>
    <dataValidation type="list" allowBlank="1" showInputMessage="1" showErrorMessage="1" sqref="O702">
      <formula1>"Activa,Inactiva"</formula1>
    </dataValidation>
    <dataValidation type="list" allowBlank="1" showInputMessage="1" showErrorMessage="1" sqref="J706">
      <formula1>"$,US$,UF"</formula1>
    </dataValidation>
    <dataValidation type="list" allowBlank="1" showInputMessage="1" showErrorMessage="1" sqref="K706">
      <formula1>"Usado,Nuevo"</formula1>
    </dataValidation>
    <dataValidation type="list" allowBlank="1" showInputMessage="1" showErrorMessage="1" sqref="L706">
      <formula1>"Mercado Envíos a cargo del comprador,Mercado Envíos gratis"</formula1>
    </dataValidation>
    <dataValidation type="list" allowBlank="1" showInputMessage="1" showErrorMessage="1" sqref="M706">
      <formula1>"Clásica,Premium"</formula1>
    </dataValidation>
    <dataValidation type="list" allowBlank="1" showInputMessage="1" showErrorMessage="1" sqref="O706">
      <formula1>"Activa,Inactiva"</formula1>
    </dataValidation>
    <dataValidation type="list" allowBlank="1" showInputMessage="1" showErrorMessage="1" sqref="J707">
      <formula1>"$,US$,UF"</formula1>
    </dataValidation>
    <dataValidation type="list" allowBlank="1" showInputMessage="1" showErrorMessage="1" sqref="K707">
      <formula1>"Usado,Nuevo"</formula1>
    </dataValidation>
    <dataValidation type="list" allowBlank="1" showInputMessage="1" showErrorMessage="1" sqref="L707">
      <formula1>"Mercado Envíos a cargo del comprador,Mercado Envíos gratis"</formula1>
    </dataValidation>
    <dataValidation type="list" allowBlank="1" showInputMessage="1" showErrorMessage="1" sqref="M707">
      <formula1>"Clásica,Premium"</formula1>
    </dataValidation>
    <dataValidation type="list" allowBlank="1" showInputMessage="1" showErrorMessage="1" sqref="O707">
      <formula1>"Activa,Inactiva"</formula1>
    </dataValidation>
    <dataValidation type="list" allowBlank="1" showInputMessage="1" showErrorMessage="1" sqref="J708">
      <formula1>"$,US$,UF"</formula1>
    </dataValidation>
    <dataValidation type="list" allowBlank="1" showInputMessage="1" showErrorMessage="1" sqref="K708">
      <formula1>"Usado,Nuevo"</formula1>
    </dataValidation>
    <dataValidation type="list" allowBlank="1" showInputMessage="1" showErrorMessage="1" sqref="L708">
      <formula1>"Mercado Envíos a cargo del comprador,Mercado Envíos gratis"</formula1>
    </dataValidation>
    <dataValidation type="list" allowBlank="1" showInputMessage="1" showErrorMessage="1" sqref="M708">
      <formula1>"Clásica,Premium"</formula1>
    </dataValidation>
    <dataValidation type="list" allowBlank="1" showInputMessage="1" showErrorMessage="1" sqref="O708">
      <formula1>"Activa,Inactiva"</formula1>
    </dataValidation>
    <dataValidation type="list" allowBlank="1" showInputMessage="1" showErrorMessage="1" sqref="J709">
      <formula1>"$,US$,UF"</formula1>
    </dataValidation>
    <dataValidation type="list" allowBlank="1" showInputMessage="1" showErrorMessage="1" sqref="K709">
      <formula1>"Usado,Nuevo"</formula1>
    </dataValidation>
    <dataValidation type="list" allowBlank="1" showInputMessage="1" showErrorMessage="1" sqref="L709">
      <formula1>"Mercado Envíos a cargo del comprador,Mercado Envíos gratis"</formula1>
    </dataValidation>
    <dataValidation type="list" allowBlank="1" showInputMessage="1" showErrorMessage="1" sqref="M709">
      <formula1>"Clásica,Premium"</formula1>
    </dataValidation>
    <dataValidation type="list" allowBlank="1" showInputMessage="1" showErrorMessage="1" sqref="O709">
      <formula1>"Activa,Inactiva"</formula1>
    </dataValidation>
    <dataValidation type="list" allowBlank="1" showInputMessage="1" showErrorMessage="1" sqref="J710">
      <formula1>"$,US$,UF"</formula1>
    </dataValidation>
    <dataValidation type="list" allowBlank="1" showInputMessage="1" showErrorMessage="1" sqref="K710">
      <formula1>"Usado,Nuevo"</formula1>
    </dataValidation>
    <dataValidation type="list" allowBlank="1" showInputMessage="1" showErrorMessage="1" sqref="L710">
      <formula1>"Mercado Envíos a cargo del comprador,Mercado Envíos gratis"</formula1>
    </dataValidation>
    <dataValidation type="list" allowBlank="1" showInputMessage="1" showErrorMessage="1" sqref="M710">
      <formula1>"Clásica,Premium"</formula1>
    </dataValidation>
    <dataValidation type="list" allowBlank="1" showInputMessage="1" showErrorMessage="1" sqref="O710">
      <formula1>"Activa,Inactiva"</formula1>
    </dataValidation>
    <dataValidation type="list" allowBlank="1" showInputMessage="1" showErrorMessage="1" sqref="J711">
      <formula1>"$,US$,UF"</formula1>
    </dataValidation>
    <dataValidation type="list" allowBlank="1" showInputMessage="1" showErrorMessage="1" sqref="K711">
      <formula1>"Usado,Nuevo"</formula1>
    </dataValidation>
    <dataValidation type="list" allowBlank="1" showInputMessage="1" showErrorMessage="1" sqref="L711">
      <formula1>"Mercado Envíos a cargo del comprador,Mercado Envíos gratis"</formula1>
    </dataValidation>
    <dataValidation type="list" allowBlank="1" showInputMessage="1" showErrorMessage="1" sqref="M711">
      <formula1>"Clásica,Premium"</formula1>
    </dataValidation>
    <dataValidation type="list" allowBlank="1" showInputMessage="1" showErrorMessage="1" sqref="O711">
      <formula1>"Activa,Inactiva"</formula1>
    </dataValidation>
    <dataValidation type="list" allowBlank="1" showInputMessage="1" showErrorMessage="1" sqref="J714">
      <formula1>"$,US$,UF"</formula1>
    </dataValidation>
    <dataValidation type="list" allowBlank="1" showInputMessage="1" showErrorMessage="1" sqref="K714">
      <formula1>"Usado,Nuevo"</formula1>
    </dataValidation>
    <dataValidation type="list" allowBlank="1" showInputMessage="1" showErrorMessage="1" sqref="L714">
      <formula1>"Mercado Envíos a cargo del comprador,Mercado Envíos gratis"</formula1>
    </dataValidation>
    <dataValidation type="list" allowBlank="1" showInputMessage="1" showErrorMessage="1" sqref="M714">
      <formula1>"Clásica,Premium"</formula1>
    </dataValidation>
    <dataValidation type="list" allowBlank="1" showInputMessage="1" showErrorMessage="1" sqref="O714">
      <formula1>"Activa,Inactiva"</formula1>
    </dataValidation>
    <dataValidation type="list" allowBlank="1" showInputMessage="1" showErrorMessage="1" sqref="J717">
      <formula1>"$,US$,UF"</formula1>
    </dataValidation>
    <dataValidation type="list" allowBlank="1" showInputMessage="1" showErrorMessage="1" sqref="K717">
      <formula1>"Usado,Nuevo"</formula1>
    </dataValidation>
    <dataValidation type="list" allowBlank="1" showInputMessage="1" showErrorMessage="1" sqref="L717">
      <formula1>"Mercado Envíos a cargo del comprador,Mercado Envíos gratis"</formula1>
    </dataValidation>
    <dataValidation type="list" allowBlank="1" showInputMessage="1" showErrorMessage="1" sqref="M717">
      <formula1>"Clásica,Premium"</formula1>
    </dataValidation>
    <dataValidation type="list" allowBlank="1" showInputMessage="1" showErrorMessage="1" sqref="O717">
      <formula1>"Activa,Inactiva"</formula1>
    </dataValidation>
    <dataValidation type="list" allowBlank="1" showInputMessage="1" showErrorMessage="1" sqref="J720">
      <formula1>"$,US$,UF"</formula1>
    </dataValidation>
    <dataValidation type="list" allowBlank="1" showInputMessage="1" showErrorMessage="1" sqref="K720">
      <formula1>"Usado,Nuevo"</formula1>
    </dataValidation>
    <dataValidation type="list" allowBlank="1" showInputMessage="1" showErrorMessage="1" sqref="L720">
      <formula1>"Mercado Envíos a cargo del comprador,Mercado Envíos gratis"</formula1>
    </dataValidation>
    <dataValidation type="list" allowBlank="1" showInputMessage="1" showErrorMessage="1" sqref="M720">
      <formula1>"Clásica,Premium"</formula1>
    </dataValidation>
    <dataValidation type="list" allowBlank="1" showInputMessage="1" showErrorMessage="1" sqref="O720">
      <formula1>"Activa,Inactiva"</formula1>
    </dataValidation>
    <dataValidation type="list" allowBlank="1" showInputMessage="1" showErrorMessage="1" sqref="J721">
      <formula1>"$,US$,UF"</formula1>
    </dataValidation>
    <dataValidation type="list" allowBlank="1" showInputMessage="1" showErrorMessage="1" sqref="K721">
      <formula1>"Usado,Nuevo"</formula1>
    </dataValidation>
    <dataValidation type="list" allowBlank="1" showInputMessage="1" showErrorMessage="1" sqref="L721">
      <formula1>"Mercado Envíos a cargo del comprador,Mercado Envíos gratis"</formula1>
    </dataValidation>
    <dataValidation type="list" allowBlank="1" showInputMessage="1" showErrorMessage="1" sqref="M721">
      <formula1>"Clásica,Premium"</formula1>
    </dataValidation>
    <dataValidation type="list" allowBlank="1" showInputMessage="1" showErrorMessage="1" sqref="O721">
      <formula1>"Activa,Inactiva"</formula1>
    </dataValidation>
    <dataValidation type="list" allowBlank="1" showInputMessage="1" showErrorMessage="1" sqref="J722">
      <formula1>"$,US$,UF"</formula1>
    </dataValidation>
    <dataValidation type="list" allowBlank="1" showInputMessage="1" showErrorMessage="1" sqref="K722">
      <formula1>"Usado,Nuevo"</formula1>
    </dataValidation>
    <dataValidation type="list" allowBlank="1" showInputMessage="1" showErrorMessage="1" sqref="L722">
      <formula1>"Mercado Envíos a cargo del comprador,Mercado Envíos gratis"</formula1>
    </dataValidation>
    <dataValidation type="list" allowBlank="1" showInputMessage="1" showErrorMessage="1" sqref="M722">
      <formula1>"Clásica,Premium"</formula1>
    </dataValidation>
    <dataValidation type="list" allowBlank="1" showInputMessage="1" showErrorMessage="1" sqref="O722">
      <formula1>"Activa,Inactiva"</formula1>
    </dataValidation>
    <dataValidation type="list" allowBlank="1" showInputMessage="1" showErrorMessage="1" sqref="J723">
      <formula1>"$,US$,UF"</formula1>
    </dataValidation>
    <dataValidation type="list" allowBlank="1" showInputMessage="1" showErrorMessage="1" sqref="K723">
      <formula1>"Usado,Nuevo"</formula1>
    </dataValidation>
    <dataValidation type="list" allowBlank="1" showInputMessage="1" showErrorMessage="1" sqref="L723">
      <formula1>"Mercado Envíos a cargo del comprador,Mercado Envíos gratis"</formula1>
    </dataValidation>
    <dataValidation type="list" allowBlank="1" showInputMessage="1" showErrorMessage="1" sqref="M723">
      <formula1>"Clásica,Premium"</formula1>
    </dataValidation>
    <dataValidation type="list" allowBlank="1" showInputMessage="1" showErrorMessage="1" sqref="O723">
      <formula1>"Activa,Inactiva"</formula1>
    </dataValidation>
    <dataValidation type="list" allowBlank="1" showInputMessage="1" showErrorMessage="1" sqref="J726">
      <formula1>"$,US$,UF"</formula1>
    </dataValidation>
    <dataValidation type="list" allowBlank="1" showInputMessage="1" showErrorMessage="1" sqref="K726">
      <formula1>"Usado,Nuevo"</formula1>
    </dataValidation>
    <dataValidation type="list" allowBlank="1" showInputMessage="1" showErrorMessage="1" sqref="L726">
      <formula1>"Mercado Envíos a cargo del comprador,Mercado Envíos gratis"</formula1>
    </dataValidation>
    <dataValidation type="list" allowBlank="1" showInputMessage="1" showErrorMessage="1" sqref="M726">
      <formula1>"Clásica,Premium"</formula1>
    </dataValidation>
    <dataValidation type="list" allowBlank="1" showInputMessage="1" showErrorMessage="1" sqref="O726">
      <formula1>"Activa,Inactiva"</formula1>
    </dataValidation>
    <dataValidation type="list" allowBlank="1" showInputMessage="1" showErrorMessage="1" sqref="J727">
      <formula1>"$,US$,UF"</formula1>
    </dataValidation>
    <dataValidation type="list" allowBlank="1" showInputMessage="1" showErrorMessage="1" sqref="K727">
      <formula1>"Usado,Nuevo"</formula1>
    </dataValidation>
    <dataValidation type="list" allowBlank="1" showInputMessage="1" showErrorMessage="1" sqref="L727">
      <formula1>"Mercado Envíos a cargo del comprador,Mercado Envíos gratis"</formula1>
    </dataValidation>
    <dataValidation type="list" allowBlank="1" showInputMessage="1" showErrorMessage="1" sqref="M727">
      <formula1>"Clásica,Premium"</formula1>
    </dataValidation>
    <dataValidation type="list" allowBlank="1" showInputMessage="1" showErrorMessage="1" sqref="O727">
      <formula1>"Activa,Inactiva"</formula1>
    </dataValidation>
    <dataValidation type="list" allowBlank="1" showInputMessage="1" showErrorMessage="1" sqref="J728">
      <formula1>"$,US$,UF"</formula1>
    </dataValidation>
    <dataValidation type="list" allowBlank="1" showInputMessage="1" showErrorMessage="1" sqref="K728">
      <formula1>"Usado,Nuevo"</formula1>
    </dataValidation>
    <dataValidation type="list" allowBlank="1" showInputMessage="1" showErrorMessage="1" sqref="L728">
      <formula1>"Mercado Envíos a cargo del comprador,Mercado Envíos por mi cuenta"</formula1>
    </dataValidation>
    <dataValidation type="list" allowBlank="1" showInputMessage="1" showErrorMessage="1" sqref="M728">
      <formula1>"Clásica,Premium"</formula1>
    </dataValidation>
    <dataValidation type="list" allowBlank="1" showInputMessage="1" showErrorMessage="1" sqref="O728">
      <formula1>"Activa,Inactiva"</formula1>
    </dataValidation>
    <dataValidation type="list" allowBlank="1" showInputMessage="1" showErrorMessage="1" sqref="J729">
      <formula1>"$,US$,UF"</formula1>
    </dataValidation>
    <dataValidation type="list" allowBlank="1" showInputMessage="1" showErrorMessage="1" sqref="K729">
      <formula1>"Usado,Nuevo"</formula1>
    </dataValidation>
    <dataValidation type="list" allowBlank="1" showInputMessage="1" showErrorMessage="1" sqref="L729">
      <formula1>"Mercado Envíos a cargo del comprador,Mercado Envíos por mi cuenta"</formula1>
    </dataValidation>
    <dataValidation type="list" allowBlank="1" showInputMessage="1" showErrorMessage="1" sqref="M729">
      <formula1>"Clásica,Premium"</formula1>
    </dataValidation>
    <dataValidation type="list" allowBlank="1" showInputMessage="1" showErrorMessage="1" sqref="O729">
      <formula1>"Activa,Inactiva"</formula1>
    </dataValidation>
    <dataValidation type="list" allowBlank="1" showInputMessage="1" showErrorMessage="1" sqref="J730">
      <formula1>"$,US$,UF"</formula1>
    </dataValidation>
    <dataValidation type="list" allowBlank="1" showInputMessage="1" showErrorMessage="1" sqref="K730">
      <formula1>"Usado,Nuevo"</formula1>
    </dataValidation>
    <dataValidation type="list" allowBlank="1" showInputMessage="1" showErrorMessage="1" sqref="L730">
      <formula1>"Mercado Envíos a cargo del comprador,Mercado Envíos gratis"</formula1>
    </dataValidation>
    <dataValidation type="list" allowBlank="1" showInputMessage="1" showErrorMessage="1" sqref="M730">
      <formula1>"Clásica,Premium"</formula1>
    </dataValidation>
    <dataValidation type="list" allowBlank="1" showInputMessage="1" showErrorMessage="1" sqref="O730">
      <formula1>"Activa,Inactiva"</formula1>
    </dataValidation>
    <dataValidation type="list" allowBlank="1" showInputMessage="1" showErrorMessage="1" sqref="J731">
      <formula1>"$,US$,UF"</formula1>
    </dataValidation>
    <dataValidation type="list" allowBlank="1" showInputMessage="1" showErrorMessage="1" sqref="K731">
      <formula1>"Usado,Nuevo"</formula1>
    </dataValidation>
    <dataValidation type="list" allowBlank="1" showInputMessage="1" showErrorMessage="1" sqref="L731">
      <formula1>"Mercado Envíos a cargo del comprador,Mercado Envíos gratis"</formula1>
    </dataValidation>
    <dataValidation type="list" allowBlank="1" showInputMessage="1" showErrorMessage="1" sqref="M731">
      <formula1>"Clásica,Premium"</formula1>
    </dataValidation>
    <dataValidation type="list" allowBlank="1" showInputMessage="1" showErrorMessage="1" sqref="O731">
      <formula1>"Activa,Inactiva"</formula1>
    </dataValidation>
    <dataValidation type="list" allowBlank="1" showInputMessage="1" showErrorMessage="1" sqref="J732">
      <formula1>"$,US$,UF"</formula1>
    </dataValidation>
    <dataValidation type="list" allowBlank="1" showInputMessage="1" showErrorMessage="1" sqref="K732">
      <formula1>"Usado,Nuevo"</formula1>
    </dataValidation>
    <dataValidation type="list" allowBlank="1" showInputMessage="1" showErrorMessage="1" sqref="L732">
      <formula1>"Mercado Envíos a cargo del comprador,Mercado Envíos gratis"</formula1>
    </dataValidation>
    <dataValidation type="list" allowBlank="1" showInputMessage="1" showErrorMessage="1" sqref="M732">
      <formula1>"Clásica,Premium"</formula1>
    </dataValidation>
    <dataValidation type="list" allowBlank="1" showInputMessage="1" showErrorMessage="1" sqref="O732">
      <formula1>"Activa,Inactiva"</formula1>
    </dataValidation>
    <dataValidation type="list" allowBlank="1" showInputMessage="1" showErrorMessage="1" sqref="J733">
      <formula1>"$,US$,UF"</formula1>
    </dataValidation>
    <dataValidation type="list" allowBlank="1" showInputMessage="1" showErrorMessage="1" sqref="K733">
      <formula1>"Usado,Nuevo"</formula1>
    </dataValidation>
    <dataValidation type="list" allowBlank="1" showInputMessage="1" showErrorMessage="1" sqref="L733">
      <formula1>"Mercado Envíos a cargo del comprador,Mercado Envíos por mi cuenta"</formula1>
    </dataValidation>
    <dataValidation type="list" allowBlank="1" showInputMessage="1" showErrorMessage="1" sqref="M733">
      <formula1>"Clásica,Premium"</formula1>
    </dataValidation>
    <dataValidation type="list" allowBlank="1" showInputMessage="1" showErrorMessage="1" sqref="O733">
      <formula1>"Activa,Inactiva"</formula1>
    </dataValidation>
    <dataValidation type="list" allowBlank="1" showInputMessage="1" showErrorMessage="1" sqref="J734">
      <formula1>"$,US$,UF"</formula1>
    </dataValidation>
    <dataValidation type="list" allowBlank="1" showInputMessage="1" showErrorMessage="1" sqref="K734">
      <formula1>"Nuevo"</formula1>
    </dataValidation>
    <dataValidation type="list" allowBlank="1" showInputMessage="1" showErrorMessage="1" sqref="L734">
      <formula1>"Mercado Envíos a cargo del comprador,Mercado Envíos gratis"</formula1>
    </dataValidation>
    <dataValidation type="list" allowBlank="1" showInputMessage="1" showErrorMessage="1" sqref="M734">
      <formula1>"Clásica,Premium"</formula1>
    </dataValidation>
    <dataValidation type="list" allowBlank="1" showInputMessage="1" showErrorMessage="1" sqref="O734">
      <formula1>"Activa,Inactiva"</formula1>
    </dataValidation>
    <dataValidation type="list" allowBlank="1" showInputMessage="1" showErrorMessage="1" sqref="J737">
      <formula1>"$,US$,UF"</formula1>
    </dataValidation>
    <dataValidation type="list" allowBlank="1" showInputMessage="1" showErrorMessage="1" sqref="K737">
      <formula1>"Nuevo"</formula1>
    </dataValidation>
    <dataValidation type="list" allowBlank="1" showInputMessage="1" showErrorMessage="1" sqref="L737">
      <formula1>"Mercado Envíos a cargo del comprador,Mercado Envíos gratis"</formula1>
    </dataValidation>
    <dataValidation type="list" allowBlank="1" showInputMessage="1" showErrorMessage="1" sqref="M737">
      <formula1>"Clásica,Premium"</formula1>
    </dataValidation>
    <dataValidation type="list" allowBlank="1" showInputMessage="1" showErrorMessage="1" sqref="O737">
      <formula1>"Activa,Inactiva"</formula1>
    </dataValidation>
    <dataValidation type="list" allowBlank="1" showInputMessage="1" showErrorMessage="1" sqref="J738">
      <formula1>"$,US$,UF"</formula1>
    </dataValidation>
    <dataValidation type="list" allowBlank="1" showInputMessage="1" showErrorMessage="1" sqref="K738">
      <formula1>"Usado,Nuevo"</formula1>
    </dataValidation>
    <dataValidation type="list" allowBlank="1" showInputMessage="1" showErrorMessage="1" sqref="L738">
      <formula1>"Mercado Envíos a cargo del comprador,Mercado Envíos por mi cuenta"</formula1>
    </dataValidation>
    <dataValidation type="list" allowBlank="1" showInputMessage="1" showErrorMessage="1" sqref="M738">
      <formula1>"Clásica,Premium"</formula1>
    </dataValidation>
    <dataValidation type="list" allowBlank="1" showInputMessage="1" showErrorMessage="1" sqref="O738">
      <formula1>"Activa,Inactiva"</formula1>
    </dataValidation>
    <dataValidation type="list" allowBlank="1" showInputMessage="1" showErrorMessage="1" sqref="J739">
      <formula1>"$,US$,UF"</formula1>
    </dataValidation>
    <dataValidation type="list" allowBlank="1" showInputMessage="1" showErrorMessage="1" sqref="K739">
      <formula1>"Usado,Nuevo"</formula1>
    </dataValidation>
    <dataValidation type="list" allowBlank="1" showInputMessage="1" showErrorMessage="1" sqref="L739">
      <formula1>"Mercado Envíos a cargo del comprador,Mercado Envíos gratis"</formula1>
    </dataValidation>
    <dataValidation type="list" allowBlank="1" showInputMessage="1" showErrorMessage="1" sqref="M739">
      <formula1>"Clásica,Premium"</formula1>
    </dataValidation>
    <dataValidation type="list" allowBlank="1" showInputMessage="1" showErrorMessage="1" sqref="O739">
      <formula1>"Activa,Inactiva"</formula1>
    </dataValidation>
    <dataValidation type="list" allowBlank="1" showInputMessage="1" showErrorMessage="1" sqref="J740">
      <formula1>"$,US$,UF"</formula1>
    </dataValidation>
    <dataValidation type="list" allowBlank="1" showInputMessage="1" showErrorMessage="1" sqref="K740">
      <formula1>"Nuevo"</formula1>
    </dataValidation>
    <dataValidation type="list" allowBlank="1" showInputMessage="1" showErrorMessage="1" sqref="L740">
      <formula1>"Mercado Envíos a cargo del comprador,Mercado Envíos gratis"</formula1>
    </dataValidation>
    <dataValidation type="list" allowBlank="1" showInputMessage="1" showErrorMessage="1" sqref="M740">
      <formula1>"Clásica,Premium"</formula1>
    </dataValidation>
    <dataValidation type="list" allowBlank="1" showInputMessage="1" showErrorMessage="1" sqref="O740">
      <formula1>"Activa,Inactiva"</formula1>
    </dataValidation>
    <dataValidation type="list" allowBlank="1" showInputMessage="1" showErrorMessage="1" sqref="J741">
      <formula1>"$,US$,UF"</formula1>
    </dataValidation>
    <dataValidation type="list" allowBlank="1" showInputMessage="1" showErrorMessage="1" sqref="K741">
      <formula1>"Nuevo"</formula1>
    </dataValidation>
    <dataValidation type="list" allowBlank="1" showInputMessage="1" showErrorMessage="1" sqref="L741">
      <formula1>"Mercado Envíos a cargo del comprador,Mercado Envíos gratis"</formula1>
    </dataValidation>
    <dataValidation type="list" allowBlank="1" showInputMessage="1" showErrorMessage="1" sqref="M741">
      <formula1>"Clásica,Premium"</formula1>
    </dataValidation>
    <dataValidation type="list" allowBlank="1" showInputMessage="1" showErrorMessage="1" sqref="O741">
      <formula1>"Activa,Inactiva"</formula1>
    </dataValidation>
    <dataValidation type="list" allowBlank="1" showInputMessage="1" showErrorMessage="1" sqref="J742">
      <formula1>"$,US$,UF"</formula1>
    </dataValidation>
    <dataValidation type="list" allowBlank="1" showInputMessage="1" showErrorMessage="1" sqref="K742">
      <formula1>"Usado,Nuevo"</formula1>
    </dataValidation>
    <dataValidation type="list" allowBlank="1" showInputMessage="1" showErrorMessage="1" sqref="L742">
      <formula1>"Mercado Envíos a cargo del comprador,Mercado Envíos gratis"</formula1>
    </dataValidation>
    <dataValidation type="list" allowBlank="1" showInputMessage="1" showErrorMessage="1" sqref="M742">
      <formula1>"Clásica,Premium"</formula1>
    </dataValidation>
    <dataValidation type="list" allowBlank="1" showInputMessage="1" showErrorMessage="1" sqref="O742">
      <formula1>"Activa,Inactiva"</formula1>
    </dataValidation>
    <dataValidation type="list" allowBlank="1" showInputMessage="1" showErrorMessage="1" sqref="J746">
      <formula1>"$,US$,UF"</formula1>
    </dataValidation>
    <dataValidation type="list" allowBlank="1" showInputMessage="1" showErrorMessage="1" sqref="K746">
      <formula1>"Usado,Nuevo"</formula1>
    </dataValidation>
    <dataValidation type="list" allowBlank="1" showInputMessage="1" showErrorMessage="1" sqref="L746">
      <formula1>"Mercado Envíos a cargo del comprador,Mercado Envíos gratis"</formula1>
    </dataValidation>
    <dataValidation type="list" allowBlank="1" showInputMessage="1" showErrorMessage="1" sqref="M746">
      <formula1>"Clásica,Premium"</formula1>
    </dataValidation>
    <dataValidation type="list" allowBlank="1" showInputMessage="1" showErrorMessage="1" sqref="O746">
      <formula1>"Activa,Inactiva"</formula1>
    </dataValidation>
    <dataValidation type="list" allowBlank="1" showInputMessage="1" showErrorMessage="1" sqref="J749">
      <formula1>"$,US$,UF"</formula1>
    </dataValidation>
    <dataValidation type="list" allowBlank="1" showInputMessage="1" showErrorMessage="1" sqref="K749">
      <formula1>"Usado,Nuevo"</formula1>
    </dataValidation>
    <dataValidation type="list" allowBlank="1" showInputMessage="1" showErrorMessage="1" sqref="L749">
      <formula1>"Mercado Envíos a cargo del comprador,Mercado Envíos gratis"</formula1>
    </dataValidation>
    <dataValidation type="list" allowBlank="1" showInputMessage="1" showErrorMessage="1" sqref="M749">
      <formula1>"Clásica,Premium"</formula1>
    </dataValidation>
    <dataValidation type="list" allowBlank="1" showInputMessage="1" showErrorMessage="1" sqref="O749">
      <formula1>"Activa,Inactiva"</formula1>
    </dataValidation>
    <dataValidation type="list" allowBlank="1" showInputMessage="1" showErrorMessage="1" sqref="J750">
      <formula1>"$,US$,UF"</formula1>
    </dataValidation>
    <dataValidation type="list" allowBlank="1" showInputMessage="1" showErrorMessage="1" sqref="K750">
      <formula1>"Usado,Nuevo"</formula1>
    </dataValidation>
    <dataValidation type="list" allowBlank="1" showInputMessage="1" showErrorMessage="1" sqref="L750">
      <formula1>"Mercado Envíos a cargo del comprador,Mercado Envíos por mi cuenta"</formula1>
    </dataValidation>
    <dataValidation type="list" allowBlank="1" showInputMessage="1" showErrorMessage="1" sqref="M750">
      <formula1>"Clásica,Premium"</formula1>
    </dataValidation>
    <dataValidation type="list" allowBlank="1" showInputMessage="1" showErrorMessage="1" sqref="O750">
      <formula1>"Activa,Inactiva"</formula1>
    </dataValidation>
    <dataValidation type="list" allowBlank="1" showInputMessage="1" showErrorMessage="1" sqref="J753">
      <formula1>"$,US$,UF"</formula1>
    </dataValidation>
    <dataValidation type="list" allowBlank="1" showInputMessage="1" showErrorMessage="1" sqref="K753">
      <formula1>"Usado,Nuevo"</formula1>
    </dataValidation>
    <dataValidation type="list" allowBlank="1" showInputMessage="1" showErrorMessage="1" sqref="L753">
      <formula1>"Mercado Envíos a cargo del comprador,Mercado Envíos gratis"</formula1>
    </dataValidation>
    <dataValidation type="list" allowBlank="1" showInputMessage="1" showErrorMessage="1" sqref="M753">
      <formula1>"Clásica,Premium"</formula1>
    </dataValidation>
    <dataValidation type="list" allowBlank="1" showInputMessage="1" showErrorMessage="1" sqref="O753">
      <formula1>"Activa,Inactiva"</formula1>
    </dataValidation>
    <dataValidation type="list" allowBlank="1" showInputMessage="1" showErrorMessage="1" sqref="J756">
      <formula1>"$,US$,UF"</formula1>
    </dataValidation>
    <dataValidation type="list" allowBlank="1" showInputMessage="1" showErrorMessage="1" sqref="K756">
      <formula1>"Usado,Nuevo"</formula1>
    </dataValidation>
    <dataValidation type="list" allowBlank="1" showInputMessage="1" showErrorMessage="1" sqref="L756">
      <formula1>"Mercado Envíos a cargo del comprador,Mercado Envíos gratis"</formula1>
    </dataValidation>
    <dataValidation type="list" allowBlank="1" showInputMessage="1" showErrorMessage="1" sqref="M756">
      <formula1>"Clásica,Premium"</formula1>
    </dataValidation>
    <dataValidation type="list" allowBlank="1" showInputMessage="1" showErrorMessage="1" sqref="O756">
      <formula1>"Activa,Inactiva"</formula1>
    </dataValidation>
    <dataValidation type="list" allowBlank="1" showInputMessage="1" showErrorMessage="1" sqref="J760">
      <formula1>"$,US$,UF"</formula1>
    </dataValidation>
    <dataValidation type="list" allowBlank="1" showInputMessage="1" showErrorMessage="1" sqref="K760">
      <formula1>"Usado,Nuevo"</formula1>
    </dataValidation>
    <dataValidation type="list" allowBlank="1" showInputMessage="1" showErrorMessage="1" sqref="L760">
      <formula1>"Mercado Envíos a cargo del comprador,Mercado Envíos gratis"</formula1>
    </dataValidation>
    <dataValidation type="list" allowBlank="1" showInputMessage="1" showErrorMessage="1" sqref="M760">
      <formula1>"Clásica,Premium"</formula1>
    </dataValidation>
    <dataValidation type="list" allowBlank="1" showInputMessage="1" showErrorMessage="1" sqref="O760">
      <formula1>"Activa,Inactiva"</formula1>
    </dataValidation>
    <dataValidation type="list" allowBlank="1" showInputMessage="1" showErrorMessage="1" sqref="J763">
      <formula1>"$,US$,UF"</formula1>
    </dataValidation>
    <dataValidation type="list" allowBlank="1" showInputMessage="1" showErrorMessage="1" sqref="K763">
      <formula1>"Nuevo"</formula1>
    </dataValidation>
    <dataValidation type="list" allowBlank="1" showInputMessage="1" showErrorMessage="1" sqref="L763">
      <formula1>"Mercado Envíos a cargo del comprador,Mercado Envíos por mi cuenta"</formula1>
    </dataValidation>
    <dataValidation type="list" allowBlank="1" showInputMessage="1" showErrorMessage="1" sqref="M763">
      <formula1>"Clásica,Premium"</formula1>
    </dataValidation>
    <dataValidation type="list" allowBlank="1" showInputMessage="1" showErrorMessage="1" sqref="O763">
      <formula1>"Activa,Inactiva"</formula1>
    </dataValidation>
    <dataValidation type="list" allowBlank="1" showInputMessage="1" showErrorMessage="1" sqref="J764">
      <formula1>"$,US$,UF"</formula1>
    </dataValidation>
    <dataValidation type="list" allowBlank="1" showInputMessage="1" showErrorMessage="1" sqref="K764">
      <formula1>"Usado,Nuevo"</formula1>
    </dataValidation>
    <dataValidation type="list" allowBlank="1" showInputMessage="1" showErrorMessage="1" sqref="L764">
      <formula1>"Mercado Envíos a cargo del comprador,Mercado Envíos gratis"</formula1>
    </dataValidation>
    <dataValidation type="list" allowBlank="1" showInputMessage="1" showErrorMessage="1" sqref="M764">
      <formula1>"Clásica,Premium"</formula1>
    </dataValidation>
    <dataValidation type="list" allowBlank="1" showInputMessage="1" showErrorMessage="1" sqref="O764">
      <formula1>"Activa,Inactiva"</formula1>
    </dataValidation>
    <dataValidation type="list" allowBlank="1" showInputMessage="1" showErrorMessage="1" sqref="J765">
      <formula1>"$,US$,UF"</formula1>
    </dataValidation>
    <dataValidation type="list" allowBlank="1" showInputMessage="1" showErrorMessage="1" sqref="K765">
      <formula1>"Usado,Nuevo"</formula1>
    </dataValidation>
    <dataValidation type="list" allowBlank="1" showInputMessage="1" showErrorMessage="1" sqref="L765">
      <formula1>"Mercado Envíos a cargo del comprador,Mercado Envíos gratis"</formula1>
    </dataValidation>
    <dataValidation type="list" allowBlank="1" showInputMessage="1" showErrorMessage="1" sqref="M765">
      <formula1>"Clásica,Premium"</formula1>
    </dataValidation>
    <dataValidation type="list" allowBlank="1" showInputMessage="1" showErrorMessage="1" sqref="O765">
      <formula1>"Activa,Inactiva"</formula1>
    </dataValidation>
    <dataValidation type="list" allowBlank="1" showInputMessage="1" showErrorMessage="1" sqref="J766">
      <formula1>"$,US$,UF"</formula1>
    </dataValidation>
    <dataValidation type="list" allowBlank="1" showInputMessage="1" showErrorMessage="1" sqref="K766">
      <formula1>"Usado,Nuevo"</formula1>
    </dataValidation>
    <dataValidation type="list" allowBlank="1" showInputMessage="1" showErrorMessage="1" sqref="L766">
      <formula1>"Mercado Envíos a cargo del comprador,Mercado Envíos gratis"</formula1>
    </dataValidation>
    <dataValidation type="list" allowBlank="1" showInputMessage="1" showErrorMessage="1" sqref="M766">
      <formula1>"Clásica,Premium"</formula1>
    </dataValidation>
    <dataValidation type="list" allowBlank="1" showInputMessage="1" showErrorMessage="1" sqref="O766">
      <formula1>"Activa,Inactiva"</formula1>
    </dataValidation>
    <dataValidation type="list" allowBlank="1" showInputMessage="1" showErrorMessage="1" sqref="J767">
      <formula1>"$,US$,UF"</formula1>
    </dataValidation>
    <dataValidation type="list" allowBlank="1" showInputMessage="1" showErrorMessage="1" sqref="K767">
      <formula1>"Usado,Nuevo"</formula1>
    </dataValidation>
    <dataValidation type="list" allowBlank="1" showInputMessage="1" showErrorMessage="1" sqref="L767">
      <formula1>"Mercado Envíos a cargo del comprador,Mercado Envíos por mi cuenta"</formula1>
    </dataValidation>
    <dataValidation type="list" allowBlank="1" showInputMessage="1" showErrorMessage="1" sqref="M767">
      <formula1>"Clásica,Premium"</formula1>
    </dataValidation>
    <dataValidation type="list" allowBlank="1" showInputMessage="1" showErrorMessage="1" sqref="O767">
      <formula1>"Activa,Inactiva"</formula1>
    </dataValidation>
    <dataValidation type="list" allowBlank="1" showInputMessage="1" showErrorMessage="1" sqref="J768">
      <formula1>"$,US$,UF"</formula1>
    </dataValidation>
    <dataValidation type="list" allowBlank="1" showInputMessage="1" showErrorMessage="1" sqref="K768">
      <formula1>"Usado,Nuevo"</formula1>
    </dataValidation>
    <dataValidation type="list" allowBlank="1" showInputMessage="1" showErrorMessage="1" sqref="L768">
      <formula1>"Mercado Envíos a cargo del comprador,Mercado Envíos gratis"</formula1>
    </dataValidation>
    <dataValidation type="list" allowBlank="1" showInputMessage="1" showErrorMessage="1" sqref="M768">
      <formula1>"Clásica,Premium"</formula1>
    </dataValidation>
    <dataValidation type="list" allowBlank="1" showInputMessage="1" showErrorMessage="1" sqref="O768">
      <formula1>"Activa,Inactiva"</formula1>
    </dataValidation>
    <dataValidation type="list" allowBlank="1" showInputMessage="1" showErrorMessage="1" sqref="J769">
      <formula1>"$,US$,UF"</formula1>
    </dataValidation>
    <dataValidation type="list" allowBlank="1" showInputMessage="1" showErrorMessage="1" sqref="K769">
      <formula1>"Usado,Nuevo"</formula1>
    </dataValidation>
    <dataValidation type="list" allowBlank="1" showInputMessage="1" showErrorMessage="1" sqref="L769">
      <formula1>"Mercado Envíos a cargo del comprador,Mercado Envíos gratis"</formula1>
    </dataValidation>
    <dataValidation type="list" allowBlank="1" showInputMessage="1" showErrorMessage="1" sqref="M769">
      <formula1>"Clásica,Premium"</formula1>
    </dataValidation>
    <dataValidation type="list" allowBlank="1" showInputMessage="1" showErrorMessage="1" sqref="O769">
      <formula1>"Activa,Inactiva"</formula1>
    </dataValidation>
    <dataValidation type="list" allowBlank="1" showInputMessage="1" showErrorMessage="1" sqref="J770">
      <formula1>"$,US$,UF"</formula1>
    </dataValidation>
    <dataValidation type="list" allowBlank="1" showInputMessage="1" showErrorMessage="1" sqref="K770">
      <formula1>"Nuevo"</formula1>
    </dataValidation>
    <dataValidation type="list" allowBlank="1" showInputMessage="1" showErrorMessage="1" sqref="L770">
      <formula1>"Mercado Envíos a cargo del comprador,Mercado Envíos gratis"</formula1>
    </dataValidation>
    <dataValidation type="list" allowBlank="1" showInputMessage="1" showErrorMessage="1" sqref="M770">
      <formula1>"Clásica,Premium"</formula1>
    </dataValidation>
    <dataValidation type="list" allowBlank="1" showInputMessage="1" showErrorMessage="1" sqref="O770">
      <formula1>"Activa,Inactiva"</formula1>
    </dataValidation>
    <dataValidation type="list" allowBlank="1" showInputMessage="1" showErrorMessage="1" sqref="J771">
      <formula1>"$,US$,UF"</formula1>
    </dataValidation>
    <dataValidation type="list" allowBlank="1" showInputMessage="1" showErrorMessage="1" sqref="K771">
      <formula1>"Usado,Nuevo"</formula1>
    </dataValidation>
    <dataValidation type="list" allowBlank="1" showInputMessage="1" showErrorMessage="1" sqref="L771">
      <formula1>"Mercado Envíos a cargo del comprador,Mercado Envíos gratis"</formula1>
    </dataValidation>
    <dataValidation type="list" allowBlank="1" showInputMessage="1" showErrorMessage="1" sqref="M771">
      <formula1>"Clásica,Premium"</formula1>
    </dataValidation>
    <dataValidation type="list" allowBlank="1" showInputMessage="1" showErrorMessage="1" sqref="O771">
      <formula1>"Activa,Inactiva"</formula1>
    </dataValidation>
    <dataValidation type="list" allowBlank="1" showInputMessage="1" showErrorMessage="1" sqref="J772">
      <formula1>"$,US$,UF"</formula1>
    </dataValidation>
    <dataValidation type="list" allowBlank="1" showInputMessage="1" showErrorMessage="1" sqref="K772">
      <formula1>"Usado,Nuevo"</formula1>
    </dataValidation>
    <dataValidation type="list" allowBlank="1" showInputMessage="1" showErrorMessage="1" sqref="L772">
      <formula1>"Mercado Envíos a cargo del comprador,Mercado Envíos gratis"</formula1>
    </dataValidation>
    <dataValidation type="list" allowBlank="1" showInputMessage="1" showErrorMessage="1" sqref="M772">
      <formula1>"Clásica,Premium"</formula1>
    </dataValidation>
    <dataValidation type="list" allowBlank="1" showInputMessage="1" showErrorMessage="1" sqref="O772">
      <formula1>"Activa,Inactiva"</formula1>
    </dataValidation>
    <dataValidation type="list" allowBlank="1" showInputMessage="1" showErrorMessage="1" sqref="J773">
      <formula1>"$,US$,UF"</formula1>
    </dataValidation>
    <dataValidation type="list" allowBlank="1" showInputMessage="1" showErrorMessage="1" sqref="K773">
      <formula1>"Usado,Nuevo"</formula1>
    </dataValidation>
    <dataValidation type="list" allowBlank="1" showInputMessage="1" showErrorMessage="1" sqref="L773">
      <formula1>"Mercado Envíos a cargo del comprador,Mercado Envíos gratis"</formula1>
    </dataValidation>
    <dataValidation type="list" allowBlank="1" showInputMessage="1" showErrorMessage="1" sqref="M773">
      <formula1>"Clásica,Premium"</formula1>
    </dataValidation>
    <dataValidation type="list" allowBlank="1" showInputMessage="1" showErrorMessage="1" sqref="O773">
      <formula1>"Activa,Inactiva"</formula1>
    </dataValidation>
    <dataValidation type="list" allowBlank="1" showInputMessage="1" showErrorMessage="1" sqref="J774">
      <formula1>"$,US$,UF"</formula1>
    </dataValidation>
    <dataValidation type="list" allowBlank="1" showInputMessage="1" showErrorMessage="1" sqref="K774">
      <formula1>"Usado,Nuevo"</formula1>
    </dataValidation>
    <dataValidation type="list" allowBlank="1" showInputMessage="1" showErrorMessage="1" sqref="L774">
      <formula1>"Mercado Envíos a cargo del comprador,Mercado Envíos gratis"</formula1>
    </dataValidation>
    <dataValidation type="list" allowBlank="1" showInputMessage="1" showErrorMessage="1" sqref="M774">
      <formula1>"Clásica,Premium"</formula1>
    </dataValidation>
    <dataValidation type="list" allowBlank="1" showInputMessage="1" showErrorMessage="1" sqref="O774">
      <formula1>"Activa,Inactiva"</formula1>
    </dataValidation>
    <dataValidation type="list" allowBlank="1" showInputMessage="1" showErrorMessage="1" sqref="J775">
      <formula1>"$,US$,UF"</formula1>
    </dataValidation>
    <dataValidation type="list" allowBlank="1" showInputMessage="1" showErrorMessage="1" sqref="K775">
      <formula1>"Usado,Nuevo"</formula1>
    </dataValidation>
    <dataValidation type="list" allowBlank="1" showInputMessage="1" showErrorMessage="1" sqref="L775">
      <formula1>"Mercado Envíos a cargo del comprador,Mercado Envíos gratis"</formula1>
    </dataValidation>
    <dataValidation type="list" allowBlank="1" showInputMessage="1" showErrorMessage="1" sqref="M775">
      <formula1>"Clásica,Premium"</formula1>
    </dataValidation>
    <dataValidation type="list" allowBlank="1" showInputMessage="1" showErrorMessage="1" sqref="O775">
      <formula1>"Activa,Inactiva"</formula1>
    </dataValidation>
    <dataValidation type="list" allowBlank="1" showInputMessage="1" showErrorMessage="1" sqref="J776">
      <formula1>"$,US$,UF"</formula1>
    </dataValidation>
    <dataValidation type="list" allowBlank="1" showInputMessage="1" showErrorMessage="1" sqref="K776">
      <formula1>"Usado,Nuevo"</formula1>
    </dataValidation>
    <dataValidation type="list" allowBlank="1" showInputMessage="1" showErrorMessage="1" sqref="L776">
      <formula1>"Mercado Envíos a cargo del comprador,Mercado Envíos gratis"</formula1>
    </dataValidation>
    <dataValidation type="list" allowBlank="1" showInputMessage="1" showErrorMessage="1" sqref="M776">
      <formula1>"Clásica,Premium"</formula1>
    </dataValidation>
    <dataValidation type="list" allowBlank="1" showInputMessage="1" showErrorMessage="1" sqref="O776">
      <formula1>"Activa,Inactiva"</formula1>
    </dataValidation>
    <dataValidation type="list" allowBlank="1" showInputMessage="1" showErrorMessage="1" sqref="J779">
      <formula1>"$,US$,UF"</formula1>
    </dataValidation>
    <dataValidation type="list" allowBlank="1" showInputMessage="1" showErrorMessage="1" sqref="K779">
      <formula1>"Usado,Nuevo"</formula1>
    </dataValidation>
    <dataValidation type="list" allowBlank="1" showInputMessage="1" showErrorMessage="1" sqref="L779">
      <formula1>"Mercado Envíos a cargo del comprador,Mercado Envíos gratis"</formula1>
    </dataValidation>
    <dataValidation type="list" allowBlank="1" showInputMessage="1" showErrorMessage="1" sqref="M779">
      <formula1>"Clásica,Premium"</formula1>
    </dataValidation>
    <dataValidation type="list" allowBlank="1" showInputMessage="1" showErrorMessage="1" sqref="O779">
      <formula1>"Activa,Inactiva"</formula1>
    </dataValidation>
    <dataValidation type="list" allowBlank="1" showInputMessage="1" showErrorMessage="1" sqref="J780">
      <formula1>"$,US$,UF"</formula1>
    </dataValidation>
    <dataValidation type="list" allowBlank="1" showInputMessage="1" showErrorMessage="1" sqref="K780">
      <formula1>"Usado,Nuevo"</formula1>
    </dataValidation>
    <dataValidation type="list" allowBlank="1" showInputMessage="1" showErrorMessage="1" sqref="L780">
      <formula1>"Mercado Envíos a cargo del comprador,Mercado Envíos gratis"</formula1>
    </dataValidation>
    <dataValidation type="list" allowBlank="1" showInputMessage="1" showErrorMessage="1" sqref="M780">
      <formula1>"Clásica,Premium"</formula1>
    </dataValidation>
    <dataValidation type="list" allowBlank="1" showInputMessage="1" showErrorMessage="1" sqref="O780">
      <formula1>"Activa,Inactiva"</formula1>
    </dataValidation>
    <dataValidation type="list" allowBlank="1" showInputMessage="1" showErrorMessage="1" sqref="J783">
      <formula1>"$,US$,UF"</formula1>
    </dataValidation>
    <dataValidation type="list" allowBlank="1" showInputMessage="1" showErrorMessage="1" sqref="K783">
      <formula1>"Usado,Nuevo,Reacondicionado"</formula1>
    </dataValidation>
    <dataValidation type="list" allowBlank="1" showInputMessage="1" showErrorMessage="1" sqref="L783">
      <formula1>"Mercado Envíos a cargo del comprador,Mercado Envíos gratis"</formula1>
    </dataValidation>
    <dataValidation type="list" allowBlank="1" showInputMessage="1" showErrorMessage="1" sqref="M783">
      <formula1>"Clásica,Premium"</formula1>
    </dataValidation>
    <dataValidation type="list" allowBlank="1" showInputMessage="1" showErrorMessage="1" sqref="O783">
      <formula1>"Activa,Inactiva"</formula1>
    </dataValidation>
    <dataValidation type="list" allowBlank="1" showInputMessage="1" showErrorMessage="1" sqref="J784">
      <formula1>"$,US$,UF"</formula1>
    </dataValidation>
    <dataValidation type="list" allowBlank="1" showInputMessage="1" showErrorMessage="1" sqref="K784">
      <formula1>"Usado,Nuevo"</formula1>
    </dataValidation>
    <dataValidation type="list" allowBlank="1" showInputMessage="1" showErrorMessage="1" sqref="L784">
      <formula1>"Mercado Envíos a cargo del comprador,Mercado Envíos por mi cuenta"</formula1>
    </dataValidation>
    <dataValidation type="list" allowBlank="1" showInputMessage="1" showErrorMessage="1" sqref="M784">
      <formula1>"Clásica,Premium"</formula1>
    </dataValidation>
    <dataValidation type="list" allowBlank="1" showInputMessage="1" showErrorMessage="1" sqref="O784">
      <formula1>"Activa,Inactiva"</formula1>
    </dataValidation>
    <dataValidation type="list" allowBlank="1" showInputMessage="1" showErrorMessage="1" sqref="J785">
      <formula1>"$,US$,UF"</formula1>
    </dataValidation>
    <dataValidation type="list" allowBlank="1" showInputMessage="1" showErrorMessage="1" sqref="L785">
      <formula1>"Mercado Envíos a cargo del comprador,Mercado Envíos por mi cuenta"</formula1>
    </dataValidation>
    <dataValidation type="list" allowBlank="1" showInputMessage="1" showErrorMessage="1" sqref="M785">
      <formula1>"Clásica,Premium"</formula1>
    </dataValidation>
    <dataValidation type="list" allowBlank="1" showInputMessage="1" showErrorMessage="1" sqref="O785">
      <formula1>"Activa,Inactiva"</formula1>
    </dataValidation>
    <dataValidation type="list" allowBlank="1" showInputMessage="1" showErrorMessage="1" sqref="J786">
      <formula1>"$,US$,UF"</formula1>
    </dataValidation>
    <dataValidation type="list" allowBlank="1" showInputMessage="1" showErrorMessage="1" sqref="K786">
      <formula1>"Nuevo,Usado,Reacondicionado"</formula1>
    </dataValidation>
    <dataValidation type="list" allowBlank="1" showInputMessage="1" showErrorMessage="1" sqref="L786">
      <formula1>"Mercado Envíos a cargo del comprador,Mercado Envíos gratis"</formula1>
    </dataValidation>
    <dataValidation type="list" allowBlank="1" showInputMessage="1" showErrorMessage="1" sqref="M786">
      <formula1>"Clásica,Premium"</formula1>
    </dataValidation>
    <dataValidation type="list" allowBlank="1" showInputMessage="1" showErrorMessage="1" sqref="O786">
      <formula1>"Activa,Inactiva"</formula1>
    </dataValidation>
    <dataValidation type="list" allowBlank="1" showInputMessage="1" showErrorMessage="1" sqref="J787">
      <formula1>"$,US$,UF"</formula1>
    </dataValidation>
    <dataValidation type="list" allowBlank="1" showInputMessage="1" showErrorMessage="1" sqref="K787">
      <formula1>"Usado,Nuevo"</formula1>
    </dataValidation>
    <dataValidation type="list" allowBlank="1" showInputMessage="1" showErrorMessage="1" sqref="L787">
      <formula1>"Mercado Envíos a cargo del comprador,Mercado Envíos gratis"</formula1>
    </dataValidation>
    <dataValidation type="list" allowBlank="1" showInputMessage="1" showErrorMessage="1" sqref="M787">
      <formula1>"Clásica,Premium"</formula1>
    </dataValidation>
    <dataValidation type="list" allowBlank="1" showInputMessage="1" showErrorMessage="1" sqref="O787">
      <formula1>"Activa,Inactiva"</formula1>
    </dataValidation>
    <dataValidation type="list" allowBlank="1" showInputMessage="1" showErrorMessage="1" sqref="J790">
      <formula1>"$,US$,UF"</formula1>
    </dataValidation>
    <dataValidation type="list" allowBlank="1" showInputMessage="1" showErrorMessage="1" sqref="K790">
      <formula1>"Usado,Nuevo"</formula1>
    </dataValidation>
    <dataValidation type="list" allowBlank="1" showInputMessage="1" showErrorMessage="1" sqref="L790">
      <formula1>"Mercado Envíos a cargo del comprador,Mercado Envíos gratis"</formula1>
    </dataValidation>
    <dataValidation type="list" allowBlank="1" showInputMessage="1" showErrorMessage="1" sqref="M790">
      <formula1>"Clásica,Premium"</formula1>
    </dataValidation>
    <dataValidation type="list" allowBlank="1" showInputMessage="1" showErrorMessage="1" sqref="O790">
      <formula1>"Activa,Inactiva"</formula1>
    </dataValidation>
    <dataValidation type="list" allowBlank="1" showInputMessage="1" showErrorMessage="1" sqref="J791">
      <formula1>"$,US$,UF"</formula1>
    </dataValidation>
    <dataValidation type="list" allowBlank="1" showInputMessage="1" showErrorMessage="1" sqref="K791">
      <formula1>"Usado,Nuevo"</formula1>
    </dataValidation>
    <dataValidation type="list" allowBlank="1" showInputMessage="1" showErrorMessage="1" sqref="L791">
      <formula1>"Mercado Envíos a cargo del comprador,Mercado Envíos gratis"</formula1>
    </dataValidation>
    <dataValidation type="list" allowBlank="1" showInputMessage="1" showErrorMessage="1" sqref="M791">
      <formula1>"Clásica,Premium"</formula1>
    </dataValidation>
    <dataValidation type="list" allowBlank="1" showInputMessage="1" showErrorMessage="1" sqref="O791">
      <formula1>"Activa,Inactiva"</formula1>
    </dataValidation>
    <dataValidation type="list" allowBlank="1" showInputMessage="1" showErrorMessage="1" sqref="J792">
      <formula1>"$,US$,UF"</formula1>
    </dataValidation>
    <dataValidation type="list" allowBlank="1" showInputMessage="1" showErrorMessage="1" sqref="K792">
      <formula1>"Usado,Nuevo"</formula1>
    </dataValidation>
    <dataValidation type="list" allowBlank="1" showInputMessage="1" showErrorMessage="1" sqref="L792">
      <formula1>"Mercado Envíos a cargo del comprador,Mercado Envíos por mi cuenta"</formula1>
    </dataValidation>
    <dataValidation type="list" allowBlank="1" showInputMessage="1" showErrorMessage="1" sqref="M792">
      <formula1>"Clásica,Premium"</formula1>
    </dataValidation>
    <dataValidation type="list" allowBlank="1" showInputMessage="1" showErrorMessage="1" sqref="O792">
      <formula1>"Activa,Inactiva"</formula1>
    </dataValidation>
    <dataValidation type="list" allowBlank="1" showInputMessage="1" showErrorMessage="1" sqref="J795">
      <formula1>"$,US$,UF"</formula1>
    </dataValidation>
    <dataValidation type="list" allowBlank="1" showInputMessage="1" showErrorMessage="1" sqref="K795">
      <formula1>"Usado,Nuevo,Reacondicionado"</formula1>
    </dataValidation>
    <dataValidation type="list" allowBlank="1" showInputMessage="1" showErrorMessage="1" sqref="L795">
      <formula1>"Mercado Envíos a cargo del comprador,Mercado Envíos gratis"</formula1>
    </dataValidation>
    <dataValidation type="list" allowBlank="1" showInputMessage="1" showErrorMessage="1" sqref="M795">
      <formula1>"Clásica,Premium"</formula1>
    </dataValidation>
    <dataValidation type="list" allowBlank="1" showInputMessage="1" showErrorMessage="1" sqref="O795">
      <formula1>"Activa,Inactiva"</formula1>
    </dataValidation>
    <dataValidation type="list" allowBlank="1" showInputMessage="1" showErrorMessage="1" sqref="J796">
      <formula1>"$,US$,UF"</formula1>
    </dataValidation>
    <dataValidation type="list" allowBlank="1" showInputMessage="1" showErrorMessage="1" sqref="K796">
      <formula1>"Usado,Nuevo"</formula1>
    </dataValidation>
    <dataValidation type="list" allowBlank="1" showInputMessage="1" showErrorMessage="1" sqref="L796">
      <formula1>"Mercado Envíos a cargo del comprador,Mercado Envíos por mi cuenta"</formula1>
    </dataValidation>
    <dataValidation type="list" allowBlank="1" showInputMessage="1" showErrorMessage="1" sqref="M796">
      <formula1>"Clásica,Premium"</formula1>
    </dataValidation>
    <dataValidation type="list" allowBlank="1" showInputMessage="1" showErrorMessage="1" sqref="O796">
      <formula1>"Activa,Inactiva"</formula1>
    </dataValidation>
    <dataValidation type="list" allowBlank="1" showInputMessage="1" showErrorMessage="1" sqref="J797">
      <formula1>"$,US$,UF"</formula1>
    </dataValidation>
    <dataValidation type="list" allowBlank="1" showInputMessage="1" showErrorMessage="1" sqref="K797">
      <formula1>"Usado,Nuevo"</formula1>
    </dataValidation>
    <dataValidation type="list" allowBlank="1" showInputMessage="1" showErrorMessage="1" sqref="L797">
      <formula1>"Mercado Envíos a cargo del comprador,Mercado Envíos por mi cuenta"</formula1>
    </dataValidation>
    <dataValidation type="list" allowBlank="1" showInputMessage="1" showErrorMessage="1" sqref="M797">
      <formula1>"Clásica,Premium"</formula1>
    </dataValidation>
    <dataValidation type="list" allowBlank="1" showInputMessage="1" showErrorMessage="1" sqref="O797">
      <formula1>"Activa,Inactiva"</formula1>
    </dataValidation>
    <dataValidation type="list" allowBlank="1" showInputMessage="1" showErrorMessage="1" sqref="J798">
      <formula1>"$,US$,UF"</formula1>
    </dataValidation>
    <dataValidation type="list" allowBlank="1" showInputMessage="1" showErrorMessage="1" sqref="K798">
      <formula1>"Usado,Nuevo"</formula1>
    </dataValidation>
    <dataValidation type="list" allowBlank="1" showInputMessage="1" showErrorMessage="1" sqref="L798">
      <formula1>"Mercado Envíos a cargo del comprador,Mercado Envíos por mi cuenta"</formula1>
    </dataValidation>
    <dataValidation type="list" allowBlank="1" showInputMessage="1" showErrorMessage="1" sqref="M798">
      <formula1>"Clásica,Premium"</formula1>
    </dataValidation>
    <dataValidation type="list" allowBlank="1" showInputMessage="1" showErrorMessage="1" sqref="O798">
      <formula1>"Activa,Inactiva"</formula1>
    </dataValidation>
    <dataValidation type="list" allowBlank="1" showInputMessage="1" showErrorMessage="1" sqref="J802">
      <formula1>"$,US$,UF"</formula1>
    </dataValidation>
    <dataValidation type="list" allowBlank="1" showInputMessage="1" showErrorMessage="1" sqref="K802">
      <formula1>"Nuevo"</formula1>
    </dataValidation>
    <dataValidation type="list" allowBlank="1" showInputMessage="1" showErrorMessage="1" sqref="L802">
      <formula1>"Mercado Envíos a cargo del comprador,Mercado Envíos gratis"</formula1>
    </dataValidation>
    <dataValidation type="list" allowBlank="1" showInputMessage="1" showErrorMessage="1" sqref="M802">
      <formula1>"Clásica,Premium"</formula1>
    </dataValidation>
    <dataValidation type="list" allowBlank="1" showInputMessage="1" showErrorMessage="1" sqref="O802">
      <formula1>"Activa,Inactiva"</formula1>
    </dataValidation>
    <dataValidation type="list" allowBlank="1" showInputMessage="1" showErrorMessage="1" sqref="J803">
      <formula1>"$,US$,UF"</formula1>
    </dataValidation>
    <dataValidation type="list" allowBlank="1" showInputMessage="1" showErrorMessage="1" sqref="K803">
      <formula1>"Usado,Nuevo"</formula1>
    </dataValidation>
    <dataValidation type="list" allowBlank="1" showInputMessage="1" showErrorMessage="1" sqref="L803">
      <formula1>"Mercado Envíos a cargo del comprador,Mercado Envíos gratis"</formula1>
    </dataValidation>
    <dataValidation type="list" allowBlank="1" showInputMessage="1" showErrorMessage="1" sqref="M803">
      <formula1>"Clásica,Premium"</formula1>
    </dataValidation>
    <dataValidation type="list" allowBlank="1" showInputMessage="1" showErrorMessage="1" sqref="O803">
      <formula1>"Activa,Inactiva"</formula1>
    </dataValidation>
    <dataValidation type="list" allowBlank="1" showInputMessage="1" showErrorMessage="1" sqref="J804">
      <formula1>"$,US$,UF"</formula1>
    </dataValidation>
    <dataValidation type="list" allowBlank="1" showInputMessage="1" showErrorMessage="1" sqref="K804">
      <formula1>"Usado,Nuevo"</formula1>
    </dataValidation>
    <dataValidation type="list" allowBlank="1" showInputMessage="1" showErrorMessage="1" sqref="L804">
      <formula1>"Mercado Envíos a cargo del comprador,Mercado Envíos gratis"</formula1>
    </dataValidation>
    <dataValidation type="list" allowBlank="1" showInputMessage="1" showErrorMessage="1" sqref="M804">
      <formula1>"Clásica,Premium"</formula1>
    </dataValidation>
    <dataValidation type="list" allowBlank="1" showInputMessage="1" showErrorMessage="1" sqref="O804">
      <formula1>"Activa,Inactiva"</formula1>
    </dataValidation>
    <dataValidation type="list" allowBlank="1" showInputMessage="1" showErrorMessage="1" sqref="J805">
      <formula1>"$,US$,UF"</formula1>
    </dataValidation>
    <dataValidation type="list" allowBlank="1" showInputMessage="1" showErrorMessage="1" sqref="K805">
      <formula1>"Nuevo"</formula1>
    </dataValidation>
    <dataValidation type="list" allowBlank="1" showInputMessage="1" showErrorMessage="1" sqref="L805">
      <formula1>"Mercado Envíos a cargo del comprador,Mercado Envíos gratis"</formula1>
    </dataValidation>
    <dataValidation type="list" allowBlank="1" showInputMessage="1" showErrorMessage="1" sqref="M805">
      <formula1>"Clásica,Premium"</formula1>
    </dataValidation>
    <dataValidation type="list" allowBlank="1" showInputMessage="1" showErrorMessage="1" sqref="O805">
      <formula1>"Activa,Inactiva"</formula1>
    </dataValidation>
    <dataValidation type="list" allowBlank="1" showInputMessage="1" showErrorMessage="1" sqref="J806">
      <formula1>"$,US$,UF"</formula1>
    </dataValidation>
    <dataValidation type="list" allowBlank="1" showInputMessage="1" showErrorMessage="1" sqref="K806">
      <formula1>"Nuevo"</formula1>
    </dataValidation>
    <dataValidation type="list" allowBlank="1" showInputMessage="1" showErrorMessage="1" sqref="L806">
      <formula1>"Mercado Envíos a cargo del comprador,Mercado Envíos gratis"</formula1>
    </dataValidation>
    <dataValidation type="list" allowBlank="1" showInputMessage="1" showErrorMessage="1" sqref="M806">
      <formula1>"Clásica,Premium"</formula1>
    </dataValidation>
    <dataValidation type="list" allowBlank="1" showInputMessage="1" showErrorMessage="1" sqref="O806">
      <formula1>"Activa,Inactiva"</formula1>
    </dataValidation>
    <dataValidation type="list" allowBlank="1" showInputMessage="1" showErrorMessage="1" sqref="J807">
      <formula1>"$,US$,UF"</formula1>
    </dataValidation>
    <dataValidation type="list" allowBlank="1" showInputMessage="1" showErrorMessage="1" sqref="K807">
      <formula1>"Nuevo"</formula1>
    </dataValidation>
    <dataValidation type="list" allowBlank="1" showInputMessage="1" showErrorMessage="1" sqref="L807">
      <formula1>"Mercado Envíos a cargo del comprador,Mercado Envíos gratis"</formula1>
    </dataValidation>
    <dataValidation type="list" allowBlank="1" showInputMessage="1" showErrorMessage="1" sqref="M807">
      <formula1>"Clásica,Premium"</formula1>
    </dataValidation>
    <dataValidation type="list" allowBlank="1" showInputMessage="1" showErrorMessage="1" sqref="O807">
      <formula1>"Activa,Inactiva"</formula1>
    </dataValidation>
    <dataValidation type="list" allowBlank="1" showInputMessage="1" showErrorMessage="1" sqref="J808">
      <formula1>"$,US$,UF"</formula1>
    </dataValidation>
    <dataValidation type="list" allowBlank="1" showInputMessage="1" showErrorMessage="1" sqref="K808">
      <formula1>"Nuevo"</formula1>
    </dataValidation>
    <dataValidation type="list" allowBlank="1" showInputMessage="1" showErrorMessage="1" sqref="L808">
      <formula1>"Mercado Envíos a cargo del comprador,Mercado Envíos gratis"</formula1>
    </dataValidation>
    <dataValidation type="list" allowBlank="1" showInputMessage="1" showErrorMessage="1" sqref="M808">
      <formula1>"Clásica,Premium"</formula1>
    </dataValidation>
    <dataValidation type="list" allowBlank="1" showInputMessage="1" showErrorMessage="1" sqref="O808">
      <formula1>"Activa,Inactiva"</formula1>
    </dataValidation>
    <dataValidation type="list" allowBlank="1" showInputMessage="1" showErrorMessage="1" sqref="J809">
      <formula1>"$,US$,UF"</formula1>
    </dataValidation>
    <dataValidation type="list" allowBlank="1" showInputMessage="1" showErrorMessage="1" sqref="K809">
      <formula1>"Usado,Nuevo"</formula1>
    </dataValidation>
    <dataValidation type="list" allowBlank="1" showInputMessage="1" showErrorMessage="1" sqref="L809">
      <formula1>"Mercado Envíos a cargo del comprador,Mercado Envíos gratis"</formula1>
    </dataValidation>
    <dataValidation type="list" allowBlank="1" showInputMessage="1" showErrorMessage="1" sqref="M809">
      <formula1>"Clásica,Premium"</formula1>
    </dataValidation>
    <dataValidation type="list" allowBlank="1" showInputMessage="1" showErrorMessage="1" sqref="O809">
      <formula1>"Activa,Inactiva"</formula1>
    </dataValidation>
    <dataValidation type="list" allowBlank="1" showInputMessage="1" showErrorMessage="1" sqref="J810">
      <formula1>"$,US$,UF"</formula1>
    </dataValidation>
    <dataValidation type="list" allowBlank="1" showInputMessage="1" showErrorMessage="1" sqref="K810">
      <formula1>"Usado,Nuevo"</formula1>
    </dataValidation>
    <dataValidation type="list" allowBlank="1" showInputMessage="1" showErrorMessage="1" sqref="L810">
      <formula1>"Mercado Envíos a cargo del comprador,Mercado Envíos gratis"</formula1>
    </dataValidation>
    <dataValidation type="list" allowBlank="1" showInputMessage="1" showErrorMessage="1" sqref="M810">
      <formula1>"Clásica,Premium"</formula1>
    </dataValidation>
    <dataValidation type="list" allowBlank="1" showInputMessage="1" showErrorMessage="1" sqref="O810">
      <formula1>"Activa,Inactiva"</formula1>
    </dataValidation>
    <dataValidation type="list" allowBlank="1" showInputMessage="1" showErrorMessage="1" sqref="J814">
      <formula1>"$,US$,UF"</formula1>
    </dataValidation>
    <dataValidation type="list" allowBlank="1" showInputMessage="1" showErrorMessage="1" sqref="K814">
      <formula1>"Usado,Nuevo"</formula1>
    </dataValidation>
    <dataValidation type="list" allowBlank="1" showInputMessage="1" showErrorMessage="1" sqref="L814">
      <formula1>"Mercado Envíos a cargo del comprador,Mercado Envíos gratis"</formula1>
    </dataValidation>
    <dataValidation type="list" allowBlank="1" showInputMessage="1" showErrorMessage="1" sqref="M814">
      <formula1>"Clásica,Premium"</formula1>
    </dataValidation>
    <dataValidation type="list" allowBlank="1" showInputMessage="1" showErrorMessage="1" sqref="O814">
      <formula1>"Activa,Inactiva"</formula1>
    </dataValidation>
    <dataValidation type="list" allowBlank="1" showInputMessage="1" showErrorMessage="1" sqref="J815">
      <formula1>"$,US$,UF"</formula1>
    </dataValidation>
    <dataValidation type="list" allowBlank="1" showInputMessage="1" showErrorMessage="1" sqref="K815">
      <formula1>"Usado,Nuevo"</formula1>
    </dataValidation>
    <dataValidation type="list" allowBlank="1" showInputMessage="1" showErrorMessage="1" sqref="L815">
      <formula1>"Mercado Envíos a cargo del comprador,Mercado Envíos gratis"</formula1>
    </dataValidation>
    <dataValidation type="list" allowBlank="1" showInputMessage="1" showErrorMessage="1" sqref="M815">
      <formula1>"Clásica,Premium"</formula1>
    </dataValidation>
    <dataValidation type="list" allowBlank="1" showInputMessage="1" showErrorMessage="1" sqref="O815">
      <formula1>"Activa,Inactiva"</formula1>
    </dataValidation>
    <dataValidation type="list" allowBlank="1" showInputMessage="1" showErrorMessage="1" sqref="J816">
      <formula1>"$,US$,UF"</formula1>
    </dataValidation>
    <dataValidation type="list" allowBlank="1" showInputMessage="1" showErrorMessage="1" sqref="K816">
      <formula1>"Usado,Nuevo"</formula1>
    </dataValidation>
    <dataValidation type="list" allowBlank="1" showInputMessage="1" showErrorMessage="1" sqref="L816">
      <formula1>"Mercado Envíos a cargo del comprador,Mercado Envíos por mi cuenta"</formula1>
    </dataValidation>
    <dataValidation type="list" allowBlank="1" showInputMessage="1" showErrorMessage="1" sqref="M816">
      <formula1>"Clásica,Premium"</formula1>
    </dataValidation>
    <dataValidation type="list" allowBlank="1" showInputMessage="1" showErrorMessage="1" sqref="O816">
      <formula1>"Activa,Inactiva"</formula1>
    </dataValidation>
    <dataValidation type="list" allowBlank="1" showInputMessage="1" showErrorMessage="1" sqref="J819">
      <formula1>"$,US$,UF"</formula1>
    </dataValidation>
    <dataValidation type="list" allowBlank="1" showInputMessage="1" showErrorMessage="1" sqref="K819">
      <formula1>"Usado,Nuevo"</formula1>
    </dataValidation>
    <dataValidation type="list" allowBlank="1" showInputMessage="1" showErrorMessage="1" sqref="L819">
      <formula1>"Mercado Envíos a cargo del comprador,Mercado Envíos gratis"</formula1>
    </dataValidation>
    <dataValidation type="list" allowBlank="1" showInputMessage="1" showErrorMessage="1" sqref="M819">
      <formula1>"Clásica,Premium"</formula1>
    </dataValidation>
    <dataValidation type="list" allowBlank="1" showInputMessage="1" showErrorMessage="1" sqref="O819">
      <formula1>"Activa,Inactiva"</formula1>
    </dataValidation>
    <dataValidation type="list" allowBlank="1" showInputMessage="1" showErrorMessage="1" sqref="J820">
      <formula1>"$,US$,UF"</formula1>
    </dataValidation>
    <dataValidation type="list" allowBlank="1" showInputMessage="1" showErrorMessage="1" sqref="K820">
      <formula1>"Usado,Nuevo"</formula1>
    </dataValidation>
    <dataValidation type="list" allowBlank="1" showInputMessage="1" showErrorMessage="1" sqref="L820">
      <formula1>"Mercado Envíos a cargo del comprador,Mercado Envíos gratis"</formula1>
    </dataValidation>
    <dataValidation type="list" allowBlank="1" showInputMessage="1" showErrorMessage="1" sqref="M820">
      <formula1>"Clásica,Premium"</formula1>
    </dataValidation>
    <dataValidation type="list" allowBlank="1" showInputMessage="1" showErrorMessage="1" sqref="O820">
      <formula1>"Activa,Inactiva"</formula1>
    </dataValidation>
    <dataValidation type="list" allowBlank="1" showInputMessage="1" showErrorMessage="1" sqref="J821">
      <formula1>"$,US$,UF"</formula1>
    </dataValidation>
    <dataValidation type="list" allowBlank="1" showInputMessage="1" showErrorMessage="1" sqref="K821">
      <formula1>"Usado,Nuevo"</formula1>
    </dataValidation>
    <dataValidation type="list" allowBlank="1" showInputMessage="1" showErrorMessage="1" sqref="L821">
      <formula1>"Mercado Envíos a cargo del comprador,Mercado Envíos gratis"</formula1>
    </dataValidation>
    <dataValidation type="list" allowBlank="1" showInputMessage="1" showErrorMessage="1" sqref="M821">
      <formula1>"Clásica,Premium"</formula1>
    </dataValidation>
    <dataValidation type="list" allowBlank="1" showInputMessage="1" showErrorMessage="1" sqref="O821">
      <formula1>"Activa,Inactiva"</formula1>
    </dataValidation>
    <dataValidation type="list" allowBlank="1" showInputMessage="1" showErrorMessage="1" sqref="J822">
      <formula1>"$,US$,UF"</formula1>
    </dataValidation>
    <dataValidation type="list" allowBlank="1" showInputMessage="1" showErrorMessage="1" sqref="K822">
      <formula1>"Usado,Nuevo"</formula1>
    </dataValidation>
    <dataValidation type="list" allowBlank="1" showInputMessage="1" showErrorMessage="1" sqref="L822">
      <formula1>"Mercado Envíos a cargo del comprador,Mercado Envíos gratis"</formula1>
    </dataValidation>
    <dataValidation type="list" allowBlank="1" showInputMessage="1" showErrorMessage="1" sqref="M822">
      <formula1>"Clásica,Premium"</formula1>
    </dataValidation>
    <dataValidation type="list" allowBlank="1" showInputMessage="1" showErrorMessage="1" sqref="O822">
      <formula1>"Activa,Inactiva"</formula1>
    </dataValidation>
    <dataValidation type="list" allowBlank="1" showInputMessage="1" showErrorMessage="1" sqref="J825">
      <formula1>"$,US$,UF"</formula1>
    </dataValidation>
    <dataValidation type="list" allowBlank="1" showInputMessage="1" showErrorMessage="1" sqref="K825">
      <formula1>"Usado,Nuevo"</formula1>
    </dataValidation>
    <dataValidation type="list" allowBlank="1" showInputMessage="1" showErrorMessage="1" sqref="L825">
      <formula1>"Mercado Envíos a cargo del comprador,Mercado Envíos gratis"</formula1>
    </dataValidation>
    <dataValidation type="list" allowBlank="1" showInputMessage="1" showErrorMessage="1" sqref="M825">
      <formula1>"Clásica,Premium"</formula1>
    </dataValidation>
    <dataValidation type="list" allowBlank="1" showInputMessage="1" showErrorMessage="1" sqref="O825">
      <formula1>"Activa,Inactiva"</formula1>
    </dataValidation>
    <dataValidation type="list" allowBlank="1" showInputMessage="1" showErrorMessage="1" sqref="J826">
      <formula1>"$,US$,UF"</formula1>
    </dataValidation>
    <dataValidation type="list" allowBlank="1" showInputMessage="1" showErrorMessage="1" sqref="K826">
      <formula1>"Usado,Nuevo"</formula1>
    </dataValidation>
    <dataValidation type="list" allowBlank="1" showInputMessage="1" showErrorMessage="1" sqref="L826">
      <formula1>"Mercado Envíos a cargo del comprador,Mercado Envíos gratis"</formula1>
    </dataValidation>
    <dataValidation type="list" allowBlank="1" showInputMessage="1" showErrorMessage="1" sqref="M826">
      <formula1>"Clásica,Premium"</formula1>
    </dataValidation>
    <dataValidation type="list" allowBlank="1" showInputMessage="1" showErrorMessage="1" sqref="O826">
      <formula1>"Activa,Inactiva"</formula1>
    </dataValidation>
    <dataValidation type="list" allowBlank="1" showInputMessage="1" showErrorMessage="1" sqref="J827">
      <formula1>"$,US$,UF"</formula1>
    </dataValidation>
    <dataValidation type="list" allowBlank="1" showInputMessage="1" showErrorMessage="1" sqref="K827">
      <formula1>"Usado,Nuevo"</formula1>
    </dataValidation>
    <dataValidation type="list" allowBlank="1" showInputMessage="1" showErrorMessage="1" sqref="L827">
      <formula1>"Mercado Envíos a cargo del comprador,Mercado Envíos gratis"</formula1>
    </dataValidation>
    <dataValidation type="list" allowBlank="1" showInputMessage="1" showErrorMessage="1" sqref="M827">
      <formula1>"Clásica,Premium"</formula1>
    </dataValidation>
    <dataValidation type="list" allowBlank="1" showInputMessage="1" showErrorMessage="1" sqref="O827">
      <formula1>"Activa,Inactiva"</formula1>
    </dataValidation>
    <dataValidation type="list" allowBlank="1" showInputMessage="1" showErrorMessage="1" sqref="J828">
      <formula1>"$,US$,UF"</formula1>
    </dataValidation>
    <dataValidation type="list" allowBlank="1" showInputMessage="1" showErrorMessage="1" sqref="K828">
      <formula1>"Nuevo"</formula1>
    </dataValidation>
    <dataValidation type="list" allowBlank="1" showInputMessage="1" showErrorMessage="1" sqref="L828">
      <formula1>"Mercado Envíos a cargo del comprador,Mercado Envíos gratis"</formula1>
    </dataValidation>
    <dataValidation type="list" allowBlank="1" showInputMessage="1" showErrorMessage="1" sqref="M828">
      <formula1>"Clásica,Premium"</formula1>
    </dataValidation>
    <dataValidation type="list" allowBlank="1" showInputMessage="1" showErrorMessage="1" sqref="O828">
      <formula1>"Activa,Inactiva"</formula1>
    </dataValidation>
    <dataValidation type="list" allowBlank="1" showInputMessage="1" showErrorMessage="1" sqref="J829">
      <formula1>"$,US$,UF"</formula1>
    </dataValidation>
    <dataValidation type="list" allowBlank="1" showInputMessage="1" showErrorMessage="1" sqref="K829">
      <formula1>"Usado,Nuevo"</formula1>
    </dataValidation>
    <dataValidation type="list" allowBlank="1" showInputMessage="1" showErrorMessage="1" sqref="L829">
      <formula1>"Mercado Envíos a cargo del comprador,Mercado Envíos gratis"</formula1>
    </dataValidation>
    <dataValidation type="list" allowBlank="1" showInputMessage="1" showErrorMessage="1" sqref="M829">
      <formula1>"Clásica,Premium"</formula1>
    </dataValidation>
    <dataValidation type="list" allowBlank="1" showInputMessage="1" showErrorMessage="1" sqref="O829">
      <formula1>"Activa,Inactiva"</formula1>
    </dataValidation>
    <dataValidation type="list" allowBlank="1" showInputMessage="1" showErrorMessage="1" sqref="J830">
      <formula1>"$,US$,UF"</formula1>
    </dataValidation>
    <dataValidation type="list" allowBlank="1" showInputMessage="1" showErrorMessage="1" sqref="K830">
      <formula1>"Usado,Nuevo"</formula1>
    </dataValidation>
    <dataValidation type="list" allowBlank="1" showInputMessage="1" showErrorMessage="1" sqref="L830">
      <formula1>"Mercado Envíos a cargo del comprador,Mercado Envíos gratis"</formula1>
    </dataValidation>
    <dataValidation type="list" allowBlank="1" showInputMessage="1" showErrorMessage="1" sqref="M830">
      <formula1>"Clásica,Premium"</formula1>
    </dataValidation>
    <dataValidation type="list" allowBlank="1" showInputMessage="1" showErrorMessage="1" sqref="O830">
      <formula1>"Activa,Inactiva"</formula1>
    </dataValidation>
    <dataValidation type="list" allowBlank="1" showInputMessage="1" showErrorMessage="1" sqref="J831">
      <formula1>"$,US$,UF"</formula1>
    </dataValidation>
    <dataValidation type="list" allowBlank="1" showInputMessage="1" showErrorMessage="1" sqref="K831">
      <formula1>"Nuevo"</formula1>
    </dataValidation>
    <dataValidation type="list" allowBlank="1" showInputMessage="1" showErrorMessage="1" sqref="L831">
      <formula1>"Mercado Envíos a cargo del comprador,Mercado Envíos gratis"</formula1>
    </dataValidation>
    <dataValidation type="list" allowBlank="1" showInputMessage="1" showErrorMessage="1" sqref="M831">
      <formula1>"Clásica,Premium"</formula1>
    </dataValidation>
    <dataValidation type="list" allowBlank="1" showInputMessage="1" showErrorMessage="1" sqref="O831">
      <formula1>"Activa,Inactiva"</formula1>
    </dataValidation>
    <dataValidation type="list" allowBlank="1" showInputMessage="1" showErrorMessage="1" sqref="J832">
      <formula1>"$,US$,UF"</formula1>
    </dataValidation>
    <dataValidation type="list" allowBlank="1" showInputMessage="1" showErrorMessage="1" sqref="K832">
      <formula1>"Usado,Nuevo"</formula1>
    </dataValidation>
    <dataValidation type="list" allowBlank="1" showInputMessage="1" showErrorMessage="1" sqref="L832">
      <formula1>"Mercado Envíos a cargo del comprador,Mercado Envíos gratis"</formula1>
    </dataValidation>
    <dataValidation type="list" allowBlank="1" showInputMessage="1" showErrorMessage="1" sqref="M832">
      <formula1>"Clásica,Premium"</formula1>
    </dataValidation>
    <dataValidation type="list" allowBlank="1" showInputMessage="1" showErrorMessage="1" sqref="O832">
      <formula1>"Activa,Inactiva"</formula1>
    </dataValidation>
    <dataValidation type="list" allowBlank="1" showInputMessage="1" showErrorMessage="1" sqref="J835">
      <formula1>"$,US$,UF"</formula1>
    </dataValidation>
    <dataValidation type="list" allowBlank="1" showInputMessage="1" showErrorMessage="1" sqref="K835">
      <formula1>"Usado,Nuevo"</formula1>
    </dataValidation>
    <dataValidation type="list" allowBlank="1" showInputMessage="1" showErrorMessage="1" sqref="L835">
      <formula1>"Mercado Envíos a cargo del comprador,Mercado Envíos gratis"</formula1>
    </dataValidation>
    <dataValidation type="list" allowBlank="1" showInputMessage="1" showErrorMessage="1" sqref="M835">
      <formula1>"Clásica,Premium"</formula1>
    </dataValidation>
    <dataValidation type="list" allowBlank="1" showInputMessage="1" showErrorMessage="1" sqref="O835">
      <formula1>"Activa,Inactiva"</formula1>
    </dataValidation>
    <dataValidation type="list" allowBlank="1" showInputMessage="1" showErrorMessage="1" sqref="J838">
      <formula1>"$,US$,UF"</formula1>
    </dataValidation>
    <dataValidation type="list" allowBlank="1" showInputMessage="1" showErrorMessage="1" sqref="K838">
      <formula1>"Usado,Nuevo"</formula1>
    </dataValidation>
    <dataValidation type="list" allowBlank="1" showInputMessage="1" showErrorMessage="1" sqref="L838">
      <formula1>"Mercado Envíos a cargo del comprador,Mercado Envíos gratis"</formula1>
    </dataValidation>
    <dataValidation type="list" allowBlank="1" showInputMessage="1" showErrorMessage="1" sqref="M838">
      <formula1>"Clásica,Premium"</formula1>
    </dataValidation>
    <dataValidation type="list" allowBlank="1" showInputMessage="1" showErrorMessage="1" sqref="O838">
      <formula1>"Activa,Inactiva"</formula1>
    </dataValidation>
    <dataValidation type="list" allowBlank="1" showInputMessage="1" showErrorMessage="1" sqref="J841">
      <formula1>"$,US$,UF"</formula1>
    </dataValidation>
    <dataValidation type="list" allowBlank="1" showInputMessage="1" showErrorMessage="1" sqref="K841">
      <formula1>"Usado,Nuevo"</formula1>
    </dataValidation>
    <dataValidation type="list" allowBlank="1" showInputMessage="1" showErrorMessage="1" sqref="L841">
      <formula1>"Mercado Envíos a cargo del comprador,Mercado Envíos gratis"</formula1>
    </dataValidation>
    <dataValidation type="list" allowBlank="1" showInputMessage="1" showErrorMessage="1" sqref="M841">
      <formula1>"Clásica,Premium"</formula1>
    </dataValidation>
    <dataValidation type="list" allowBlank="1" showInputMessage="1" showErrorMessage="1" sqref="O841">
      <formula1>"Activa,Inactiva"</formula1>
    </dataValidation>
    <dataValidation type="list" allowBlank="1" showInputMessage="1" showErrorMessage="1" sqref="J842">
      <formula1>"$,US$,UF"</formula1>
    </dataValidation>
    <dataValidation type="list" allowBlank="1" showInputMessage="1" showErrorMessage="1" sqref="K842">
      <formula1>"Usado,Nuevo"</formula1>
    </dataValidation>
    <dataValidation type="list" allowBlank="1" showInputMessage="1" showErrorMessage="1" sqref="L842">
      <formula1>"Mercado Envíos a cargo del comprador,Mercado Envíos gratis"</formula1>
    </dataValidation>
    <dataValidation type="list" allowBlank="1" showInputMessage="1" showErrorMessage="1" sqref="M842">
      <formula1>"Clásica,Premium"</formula1>
    </dataValidation>
    <dataValidation type="list" allowBlank="1" showInputMessage="1" showErrorMessage="1" sqref="O842">
      <formula1>"Activa,Inactiva"</formula1>
    </dataValidation>
    <dataValidation type="list" allowBlank="1" showInputMessage="1" showErrorMessage="1" sqref="J843">
      <formula1>"$,US$,UF"</formula1>
    </dataValidation>
    <dataValidation type="list" allowBlank="1" showInputMessage="1" showErrorMessage="1" sqref="K843">
      <formula1>"Usado,Nuevo"</formula1>
    </dataValidation>
    <dataValidation type="list" allowBlank="1" showInputMessage="1" showErrorMessage="1" sqref="L843">
      <formula1>"Mercado Envíos a cargo del comprador,Mercado Envíos por mi cuenta"</formula1>
    </dataValidation>
    <dataValidation type="list" allowBlank="1" showInputMessage="1" showErrorMessage="1" sqref="M843">
      <formula1>"Clásica,Premium"</formula1>
    </dataValidation>
    <dataValidation type="list" allowBlank="1" showInputMessage="1" showErrorMessage="1" sqref="O843">
      <formula1>"Activa,Inactiva"</formula1>
    </dataValidation>
    <dataValidation type="list" allowBlank="1" showInputMessage="1" showErrorMessage="1" sqref="J844">
      <formula1>"$,US$,UF"</formula1>
    </dataValidation>
    <dataValidation type="list" allowBlank="1" showInputMessage="1" showErrorMessage="1" sqref="K844">
      <formula1>"Nuevo"</formula1>
    </dataValidation>
    <dataValidation type="list" allowBlank="1" showInputMessage="1" showErrorMessage="1" sqref="L844">
      <formula1>"Mercado Envíos a cargo del comprador,Mercado Envíos gratis"</formula1>
    </dataValidation>
    <dataValidation type="list" allowBlank="1" showInputMessage="1" showErrorMessage="1" sqref="M844">
      <formula1>"Clásica,Premium"</formula1>
    </dataValidation>
    <dataValidation type="list" allowBlank="1" showInputMessage="1" showErrorMessage="1" sqref="O844">
      <formula1>"Activa,Inactiva"</formula1>
    </dataValidation>
    <dataValidation type="list" allowBlank="1" showInputMessage="1" showErrorMessage="1" sqref="J845">
      <formula1>"$,US$,UF"</formula1>
    </dataValidation>
    <dataValidation type="list" allowBlank="1" showInputMessage="1" showErrorMessage="1" sqref="K845">
      <formula1>"Nuevo"</formula1>
    </dataValidation>
    <dataValidation type="list" allowBlank="1" showInputMessage="1" showErrorMessage="1" sqref="L845">
      <formula1>"Mercado Envíos a cargo del comprador,Mercado Envíos gratis"</formula1>
    </dataValidation>
    <dataValidation type="list" allowBlank="1" showInputMessage="1" showErrorMessage="1" sqref="M845">
      <formula1>"Clásica,Premium"</formula1>
    </dataValidation>
    <dataValidation type="list" allowBlank="1" showInputMessage="1" showErrorMessage="1" sqref="O845">
      <formula1>"Activa,Inactiva"</formula1>
    </dataValidation>
    <dataValidation type="list" allowBlank="1" showInputMessage="1" showErrorMessage="1" sqref="J846">
      <formula1>"$,US$,UF"</formula1>
    </dataValidation>
    <dataValidation type="list" allowBlank="1" showInputMessage="1" showErrorMessage="1" sqref="L846">
      <formula1>"Mercado Envíos a cargo del comprador,Mercado Envíos gratis"</formula1>
    </dataValidation>
    <dataValidation type="list" allowBlank="1" showInputMessage="1" showErrorMessage="1" sqref="M846">
      <formula1>"Clásica,Premium"</formula1>
    </dataValidation>
    <dataValidation type="list" allowBlank="1" showInputMessage="1" showErrorMessage="1" sqref="O846">
      <formula1>"Activa,Inactiva"</formula1>
    </dataValidation>
    <dataValidation type="list" allowBlank="1" showInputMessage="1" showErrorMessage="1" sqref="J847">
      <formula1>"$,US$,UF"</formula1>
    </dataValidation>
    <dataValidation type="list" allowBlank="1" showInputMessage="1" showErrorMessage="1" sqref="K847">
      <formula1>"Usado,Nuevo"</formula1>
    </dataValidation>
    <dataValidation type="list" allowBlank="1" showInputMessage="1" showErrorMessage="1" sqref="L847">
      <formula1>"Mercado Envíos a cargo del comprador,Mercado Envíos gratis"</formula1>
    </dataValidation>
    <dataValidation type="list" allowBlank="1" showInputMessage="1" showErrorMessage="1" sqref="M847">
      <formula1>"Clásica,Premium"</formula1>
    </dataValidation>
    <dataValidation type="list" allowBlank="1" showInputMessage="1" showErrorMessage="1" sqref="O847">
      <formula1>"Activa,Inactiva"</formula1>
    </dataValidation>
    <dataValidation type="list" allowBlank="1" showInputMessage="1" showErrorMessage="1" sqref="J848">
      <formula1>"$,US$,UF"</formula1>
    </dataValidation>
    <dataValidation type="list" allowBlank="1" showInputMessage="1" showErrorMessage="1" sqref="K848">
      <formula1>"Usado,Nuevo"</formula1>
    </dataValidation>
    <dataValidation type="list" allowBlank="1" showInputMessage="1" showErrorMessage="1" sqref="L848">
      <formula1>"Mercado Envíos a cargo del comprador,Mercado Envíos gratis"</formula1>
    </dataValidation>
    <dataValidation type="list" allowBlank="1" showInputMessage="1" showErrorMessage="1" sqref="M848">
      <formula1>"Clásica,Premium"</formula1>
    </dataValidation>
    <dataValidation type="list" allowBlank="1" showInputMessage="1" showErrorMessage="1" sqref="O848">
      <formula1>"Activa,Inactiva"</formula1>
    </dataValidation>
    <dataValidation type="list" allowBlank="1" showInputMessage="1" showErrorMessage="1" sqref="J849">
      <formula1>"$,US$,UF"</formula1>
    </dataValidation>
    <dataValidation type="list" allowBlank="1" showInputMessage="1" showErrorMessage="1" sqref="K849">
      <formula1>"Usado,Nuevo"</formula1>
    </dataValidation>
    <dataValidation type="list" allowBlank="1" showInputMessage="1" showErrorMessage="1" sqref="L849">
      <formula1>"Mercado Envíos a cargo del comprador,Mercado Envíos gratis"</formula1>
    </dataValidation>
    <dataValidation type="list" allowBlank="1" showInputMessage="1" showErrorMessage="1" sqref="M849">
      <formula1>"Clásica,Premium"</formula1>
    </dataValidation>
    <dataValidation type="list" allowBlank="1" showInputMessage="1" showErrorMessage="1" sqref="O849">
      <formula1>"Activa,Inactiva"</formula1>
    </dataValidation>
    <dataValidation type="list" allowBlank="1" showInputMessage="1" showErrorMessage="1" sqref="J850">
      <formula1>"$,US$,UF"</formula1>
    </dataValidation>
    <dataValidation type="list" allowBlank="1" showInputMessage="1" showErrorMessage="1" sqref="K850">
      <formula1>"Usado,Nuevo"</formula1>
    </dataValidation>
    <dataValidation type="list" allowBlank="1" showInputMessage="1" showErrorMessage="1" sqref="L850">
      <formula1>"Mercado Envíos a cargo del comprador,Mercado Envíos gratis"</formula1>
    </dataValidation>
    <dataValidation type="list" allowBlank="1" showInputMessage="1" showErrorMessage="1" sqref="M850">
      <formula1>"Clásica,Premium"</formula1>
    </dataValidation>
    <dataValidation type="list" allowBlank="1" showInputMessage="1" showErrorMessage="1" sqref="O850">
      <formula1>"Activa,Inactiva"</formula1>
    </dataValidation>
    <dataValidation type="list" allowBlank="1" showInputMessage="1" showErrorMessage="1" sqref="J851">
      <formula1>"$,US$,UF"</formula1>
    </dataValidation>
    <dataValidation type="list" allowBlank="1" showInputMessage="1" showErrorMessage="1" sqref="K851">
      <formula1>"Usado,Nuevo"</formula1>
    </dataValidation>
    <dataValidation type="list" allowBlank="1" showInputMessage="1" showErrorMessage="1" sqref="L851">
      <formula1>"Mercado Envíos a cargo del comprador,Mercado Envíos gratis"</formula1>
    </dataValidation>
    <dataValidation type="list" allowBlank="1" showInputMessage="1" showErrorMessage="1" sqref="M851">
      <formula1>"Clásica,Premium"</formula1>
    </dataValidation>
    <dataValidation type="list" allowBlank="1" showInputMessage="1" showErrorMessage="1" sqref="O851">
      <formula1>"Activa,Inactiva"</formula1>
    </dataValidation>
    <dataValidation type="list" allowBlank="1" showInputMessage="1" showErrorMessage="1" sqref="J852">
      <formula1>"$,US$,UF"</formula1>
    </dataValidation>
    <dataValidation type="list" allowBlank="1" showInputMessage="1" showErrorMessage="1" sqref="K852">
      <formula1>"Usado,Nuevo"</formula1>
    </dataValidation>
    <dataValidation type="list" allowBlank="1" showInputMessage="1" showErrorMessage="1" sqref="L852">
      <formula1>"Mercado Envíos a cargo del comprador,Mercado Envíos gratis"</formula1>
    </dataValidation>
    <dataValidation type="list" allowBlank="1" showInputMessage="1" showErrorMessage="1" sqref="M852">
      <formula1>"Clásica,Premium"</formula1>
    </dataValidation>
    <dataValidation type="list" allowBlank="1" showInputMessage="1" showErrorMessage="1" sqref="O852">
      <formula1>"Activa,Inactiva"</formula1>
    </dataValidation>
    <dataValidation type="list" allowBlank="1" showInputMessage="1" showErrorMessage="1" sqref="J853">
      <formula1>"$,US$,UF"</formula1>
    </dataValidation>
    <dataValidation type="list" allowBlank="1" showInputMessage="1" showErrorMessage="1" sqref="K853">
      <formula1>"Usado,Nuevo"</formula1>
    </dataValidation>
    <dataValidation type="list" allowBlank="1" showInputMessage="1" showErrorMessage="1" sqref="L853">
      <formula1>"Mercado Envíos a cargo del comprador,Mercado Envíos gratis"</formula1>
    </dataValidation>
    <dataValidation type="list" allowBlank="1" showInputMessage="1" showErrorMessage="1" sqref="M853">
      <formula1>"Clásica,Premium"</formula1>
    </dataValidation>
    <dataValidation type="list" allowBlank="1" showInputMessage="1" showErrorMessage="1" sqref="O853">
      <formula1>"Activa,Inactiva"</formula1>
    </dataValidation>
    <dataValidation type="list" allowBlank="1" showInputMessage="1" showErrorMessage="1" sqref="J854">
      <formula1>"$,US$,UF"</formula1>
    </dataValidation>
    <dataValidation type="list" allowBlank="1" showInputMessage="1" showErrorMessage="1" sqref="K854">
      <formula1>"Usado,Nuevo"</formula1>
    </dataValidation>
    <dataValidation type="list" allowBlank="1" showInputMessage="1" showErrorMessage="1" sqref="L854">
      <formula1>"Mercado Envíos a cargo del comprador,Mercado Envíos gratis"</formula1>
    </dataValidation>
    <dataValidation type="list" allowBlank="1" showInputMessage="1" showErrorMessage="1" sqref="M854">
      <formula1>"Clásica,Premium"</formula1>
    </dataValidation>
    <dataValidation type="list" allowBlank="1" showInputMessage="1" showErrorMessage="1" sqref="O854">
      <formula1>"Activa,Inactiva"</formula1>
    </dataValidation>
    <dataValidation type="list" allowBlank="1" showInputMessage="1" showErrorMessage="1" sqref="J855">
      <formula1>"$,US$,UF"</formula1>
    </dataValidation>
    <dataValidation type="list" allowBlank="1" showInputMessage="1" showErrorMessage="1" sqref="K855">
      <formula1>"Usado,Nuevo"</formula1>
    </dataValidation>
    <dataValidation type="list" allowBlank="1" showInputMessage="1" showErrorMessage="1" sqref="L855">
      <formula1>"Mercado Envíos a cargo del comprador,Mercado Envíos gratis"</formula1>
    </dataValidation>
    <dataValidation type="list" allowBlank="1" showInputMessage="1" showErrorMessage="1" sqref="M855">
      <formula1>"Clásica,Premium"</formula1>
    </dataValidation>
    <dataValidation type="list" allowBlank="1" showInputMessage="1" showErrorMessage="1" sqref="O855">
      <formula1>"Activa,Inactiva"</formula1>
    </dataValidation>
    <dataValidation type="list" allowBlank="1" showInputMessage="1" showErrorMessage="1" sqref="J856">
      <formula1>"$,US$,UF"</formula1>
    </dataValidation>
    <dataValidation type="list" allowBlank="1" showInputMessage="1" showErrorMessage="1" sqref="K856">
      <formula1>"Usado,Nuevo"</formula1>
    </dataValidation>
    <dataValidation type="list" allowBlank="1" showInputMessage="1" showErrorMessage="1" sqref="L856">
      <formula1>"Mercado Envíos a cargo del comprador,Mercado Envíos gratis"</formula1>
    </dataValidation>
    <dataValidation type="list" allowBlank="1" showInputMessage="1" showErrorMessage="1" sqref="M856">
      <formula1>"Clásica,Premium"</formula1>
    </dataValidation>
    <dataValidation type="list" allowBlank="1" showInputMessage="1" showErrorMessage="1" sqref="O856">
      <formula1>"Activa,Inactiva"</formula1>
    </dataValidation>
    <dataValidation type="list" allowBlank="1" showInputMessage="1" showErrorMessage="1" sqref="J857">
      <formula1>"$,US$,UF"</formula1>
    </dataValidation>
    <dataValidation type="list" allowBlank="1" showInputMessage="1" showErrorMessage="1" sqref="K857">
      <formula1>"Usado,Nuevo"</formula1>
    </dataValidation>
    <dataValidation type="list" allowBlank="1" showInputMessage="1" showErrorMessage="1" sqref="L857">
      <formula1>"Mercado Envíos a cargo del comprador,Mercado Envíos gratis"</formula1>
    </dataValidation>
    <dataValidation type="list" allowBlank="1" showInputMessage="1" showErrorMessage="1" sqref="M857">
      <formula1>"Clásica,Premium"</formula1>
    </dataValidation>
    <dataValidation type="list" allowBlank="1" showInputMessage="1" showErrorMessage="1" sqref="O857">
      <formula1>"Activa,Inactiva"</formula1>
    </dataValidation>
    <dataValidation type="list" allowBlank="1" showInputMessage="1" showErrorMessage="1" sqref="J858">
      <formula1>"$,US$,UF"</formula1>
    </dataValidation>
    <dataValidation type="list" allowBlank="1" showInputMessage="1" showErrorMessage="1" sqref="K858">
      <formula1>"Usado,Nuevo"</formula1>
    </dataValidation>
    <dataValidation type="list" allowBlank="1" showInputMessage="1" showErrorMessage="1" sqref="L858">
      <formula1>"Mercado Envíos a cargo del comprador,Mercado Envíos gratis"</formula1>
    </dataValidation>
    <dataValidation type="list" allowBlank="1" showInputMessage="1" showErrorMessage="1" sqref="M858">
      <formula1>"Clásica,Premium"</formula1>
    </dataValidation>
    <dataValidation type="list" allowBlank="1" showInputMessage="1" showErrorMessage="1" sqref="O858">
      <formula1>"Activa,Inactiva"</formula1>
    </dataValidation>
    <dataValidation type="list" allowBlank="1" showInputMessage="1" showErrorMessage="1" sqref="J859">
      <formula1>"$,US$,UF"</formula1>
    </dataValidation>
    <dataValidation type="list" allowBlank="1" showInputMessage="1" showErrorMessage="1" sqref="K859">
      <formula1>"Usado,Nuevo"</formula1>
    </dataValidation>
    <dataValidation type="list" allowBlank="1" showInputMessage="1" showErrorMessage="1" sqref="L859">
      <formula1>"Mercado Envíos a cargo del comprador,Mercado Envíos gratis"</formula1>
    </dataValidation>
    <dataValidation type="list" allowBlank="1" showInputMessage="1" showErrorMessage="1" sqref="M859">
      <formula1>"Clásica,Premium"</formula1>
    </dataValidation>
    <dataValidation type="list" allowBlank="1" showInputMessage="1" showErrorMessage="1" sqref="O859">
      <formula1>"Activa,Inactiva"</formula1>
    </dataValidation>
    <dataValidation type="list" allowBlank="1" showInputMessage="1" showErrorMessage="1" sqref="J860">
      <formula1>"$,US$,UF"</formula1>
    </dataValidation>
    <dataValidation type="list" allowBlank="1" showInputMessage="1" showErrorMessage="1" sqref="K860">
      <formula1>"Usado,Nuevo"</formula1>
    </dataValidation>
    <dataValidation type="list" allowBlank="1" showInputMessage="1" showErrorMessage="1" sqref="L860">
      <formula1>"Mercado Envíos a cargo del comprador,Mercado Envíos gratis"</formula1>
    </dataValidation>
    <dataValidation type="list" allowBlank="1" showInputMessage="1" showErrorMessage="1" sqref="M860">
      <formula1>"Clásica,Premium"</formula1>
    </dataValidation>
    <dataValidation type="list" allowBlank="1" showInputMessage="1" showErrorMessage="1" sqref="O860">
      <formula1>"Activa,Inactiva"</formula1>
    </dataValidation>
    <dataValidation type="list" allowBlank="1" showInputMessage="1" showErrorMessage="1" sqref="J861">
      <formula1>"$,US$,UF"</formula1>
    </dataValidation>
    <dataValidation type="list" allowBlank="1" showInputMessage="1" showErrorMessage="1" sqref="K861">
      <formula1>"Usado,Nuevo"</formula1>
    </dataValidation>
    <dataValidation type="list" allowBlank="1" showInputMessage="1" showErrorMessage="1" sqref="L861">
      <formula1>"Mercado Envíos a cargo del comprador,Mercado Envíos gratis"</formula1>
    </dataValidation>
    <dataValidation type="list" allowBlank="1" showInputMessage="1" showErrorMessage="1" sqref="M861">
      <formula1>"Clásica,Premium"</formula1>
    </dataValidation>
    <dataValidation type="list" allowBlank="1" showInputMessage="1" showErrorMessage="1" sqref="O861">
      <formula1>"Activa,Inactiva"</formula1>
    </dataValidation>
    <dataValidation type="list" allowBlank="1" showInputMessage="1" showErrorMessage="1" sqref="J862">
      <formula1>"$,US$,UF"</formula1>
    </dataValidation>
    <dataValidation type="list" allowBlank="1" showInputMessage="1" showErrorMessage="1" sqref="K862">
      <formula1>"Usado,Nuevo"</formula1>
    </dataValidation>
    <dataValidation type="list" allowBlank="1" showInputMessage="1" showErrorMessage="1" sqref="L862">
      <formula1>"Mercado Envíos a cargo del comprador,Mercado Envíos gratis"</formula1>
    </dataValidation>
    <dataValidation type="list" allowBlank="1" showInputMessage="1" showErrorMessage="1" sqref="M862">
      <formula1>"Clásica,Premium"</formula1>
    </dataValidation>
    <dataValidation type="list" allowBlank="1" showInputMessage="1" showErrorMessage="1" sqref="O862">
      <formula1>"Activa,Inactiva"</formula1>
    </dataValidation>
    <dataValidation type="list" allowBlank="1" showInputMessage="1" showErrorMessage="1" sqref="J863">
      <formula1>"$,US$,UF"</formula1>
    </dataValidation>
    <dataValidation type="list" allowBlank="1" showInputMessage="1" showErrorMessage="1" sqref="K863">
      <formula1>"Usado,Nuevo"</formula1>
    </dataValidation>
    <dataValidation type="list" allowBlank="1" showInputMessage="1" showErrorMessage="1" sqref="L863">
      <formula1>"Mercado Envíos a cargo del comprador,Mercado Envíos gratis"</formula1>
    </dataValidation>
    <dataValidation type="list" allowBlank="1" showInputMessage="1" showErrorMessage="1" sqref="M863">
      <formula1>"Clásica,Premium"</formula1>
    </dataValidation>
    <dataValidation type="list" allowBlank="1" showInputMessage="1" showErrorMessage="1" sqref="O863">
      <formula1>"Activa,Inactiva"</formula1>
    </dataValidation>
    <dataValidation type="list" allowBlank="1" showInputMessage="1" showErrorMessage="1" sqref="J864">
      <formula1>"$,US$,UF"</formula1>
    </dataValidation>
    <dataValidation type="list" allowBlank="1" showInputMessage="1" showErrorMessage="1" sqref="K864">
      <formula1>"Usado,Nuevo"</formula1>
    </dataValidation>
    <dataValidation type="list" allowBlank="1" showInputMessage="1" showErrorMessage="1" sqref="L864">
      <formula1>"Mercado Envíos a cargo del comprador,Mercado Envíos gratis"</formula1>
    </dataValidation>
    <dataValidation type="list" allowBlank="1" showInputMessage="1" showErrorMessage="1" sqref="M864">
      <formula1>"Clásica,Premium"</formula1>
    </dataValidation>
    <dataValidation type="list" allowBlank="1" showInputMessage="1" showErrorMessage="1" sqref="O864">
      <formula1>"Activa,Inactiva"</formula1>
    </dataValidation>
    <dataValidation type="list" allowBlank="1" showInputMessage="1" showErrorMessage="1" sqref="J865">
      <formula1>"$,US$,UF"</formula1>
    </dataValidation>
    <dataValidation type="list" allowBlank="1" showInputMessage="1" showErrorMessage="1" sqref="K865">
      <formula1>"Usado,Nuevo"</formula1>
    </dataValidation>
    <dataValidation type="list" allowBlank="1" showInputMessage="1" showErrorMessage="1" sqref="L865">
      <formula1>"Mercado Envíos a cargo del comprador,Mercado Envíos por mi cuenta"</formula1>
    </dataValidation>
    <dataValidation type="list" allowBlank="1" showInputMessage="1" showErrorMessage="1" sqref="M865">
      <formula1>"Clásica,Premium"</formula1>
    </dataValidation>
    <dataValidation type="list" allowBlank="1" showInputMessage="1" showErrorMessage="1" sqref="O865">
      <formula1>"Activa,Inactiva"</formula1>
    </dataValidation>
    <dataValidation type="list" allowBlank="1" showInputMessage="1" showErrorMessage="1" sqref="J866">
      <formula1>"$,US$,UF"</formula1>
    </dataValidation>
    <dataValidation type="list" allowBlank="1" showInputMessage="1" showErrorMessage="1" sqref="K866">
      <formula1>"Usado,Nuevo"</formula1>
    </dataValidation>
    <dataValidation type="list" allowBlank="1" showInputMessage="1" showErrorMessage="1" sqref="L866">
      <formula1>"Mercado Envíos a cargo del comprador,Mercado Envíos gratis"</formula1>
    </dataValidation>
    <dataValidation type="list" allowBlank="1" showInputMessage="1" showErrorMessage="1" sqref="M866">
      <formula1>"Clásica,Premium"</formula1>
    </dataValidation>
    <dataValidation type="list" allowBlank="1" showInputMessage="1" showErrorMessage="1" sqref="O866">
      <formula1>"Activa,Inactiva"</formula1>
    </dataValidation>
    <dataValidation type="list" allowBlank="1" showInputMessage="1" showErrorMessage="1" sqref="J867">
      <formula1>"$,US$,UF"</formula1>
    </dataValidation>
    <dataValidation type="list" allowBlank="1" showInputMessage="1" showErrorMessage="1" sqref="K867">
      <formula1>"Usado,Nuevo"</formula1>
    </dataValidation>
    <dataValidation type="list" allowBlank="1" showInputMessage="1" showErrorMessage="1" sqref="L867">
      <formula1>"Mercado Envíos a cargo del comprador,Mercado Envíos gratis"</formula1>
    </dataValidation>
    <dataValidation type="list" allowBlank="1" showInputMessage="1" showErrorMessage="1" sqref="M867">
      <formula1>"Clásica,Premium"</formula1>
    </dataValidation>
    <dataValidation type="list" allowBlank="1" showInputMessage="1" showErrorMessage="1" sqref="O867">
      <formula1>"Activa,Inactiva"</formula1>
    </dataValidation>
    <dataValidation type="list" allowBlank="1" showInputMessage="1" showErrorMessage="1" sqref="J868">
      <formula1>"$,US$,UF"</formula1>
    </dataValidation>
    <dataValidation type="list" allowBlank="1" showInputMessage="1" showErrorMessage="1" sqref="K868">
      <formula1>"Nuevo"</formula1>
    </dataValidation>
    <dataValidation type="list" allowBlank="1" showInputMessage="1" showErrorMessage="1" sqref="L868">
      <formula1>"Mercado Envíos a cargo del comprador,Mercado Envíos por mi cuenta"</formula1>
    </dataValidation>
    <dataValidation type="list" allowBlank="1" showInputMessage="1" showErrorMessage="1" sqref="M868">
      <formula1>"Clásica,Premium"</formula1>
    </dataValidation>
    <dataValidation type="list" allowBlank="1" showInputMessage="1" showErrorMessage="1" sqref="O868">
      <formula1>"Activa,Inactiva"</formula1>
    </dataValidation>
    <dataValidation type="list" allowBlank="1" showInputMessage="1" showErrorMessage="1" sqref="J869">
      <formula1>"$,US$,UF"</formula1>
    </dataValidation>
    <dataValidation type="list" allowBlank="1" showInputMessage="1" showErrorMessage="1" sqref="L869">
      <formula1>"Mercado Envíos a cargo del comprador,Mercado Envíos gratis"</formula1>
    </dataValidation>
    <dataValidation type="list" allowBlank="1" showInputMessage="1" showErrorMessage="1" sqref="M869">
      <formula1>"Clásica,Premium"</formula1>
    </dataValidation>
    <dataValidation type="list" allowBlank="1" showInputMessage="1" showErrorMessage="1" sqref="O869">
      <formula1>"Activa,Inactiva"</formula1>
    </dataValidation>
    <dataValidation type="list" allowBlank="1" showInputMessage="1" showErrorMessage="1" sqref="J870">
      <formula1>"$,US$,UF"</formula1>
    </dataValidation>
    <dataValidation type="list" allowBlank="1" showInputMessage="1" showErrorMessage="1" sqref="K870">
      <formula1>"Usado,Nuevo"</formula1>
    </dataValidation>
    <dataValidation type="list" allowBlank="1" showInputMessage="1" showErrorMessage="1" sqref="L870">
      <formula1>"Mercado Envíos a cargo del comprador,Mercado Envíos gratis"</formula1>
    </dataValidation>
    <dataValidation type="list" allowBlank="1" showInputMessage="1" showErrorMessage="1" sqref="M870">
      <formula1>"Clásica,Premium"</formula1>
    </dataValidation>
    <dataValidation type="list" allowBlank="1" showInputMessage="1" showErrorMessage="1" sqref="O870">
      <formula1>"Activa,Inactiva"</formula1>
    </dataValidation>
    <dataValidation type="list" allowBlank="1" showInputMessage="1" showErrorMessage="1" sqref="J871">
      <formula1>"$,US$,UF"</formula1>
    </dataValidation>
    <dataValidation type="list" allowBlank="1" showInputMessage="1" showErrorMessage="1" sqref="K871">
      <formula1>"Usado,Nuevo"</formula1>
    </dataValidation>
    <dataValidation type="list" allowBlank="1" showInputMessage="1" showErrorMessage="1" sqref="L871">
      <formula1>"Mercado Envíos a cargo del comprador,Mercado Envíos gratis"</formula1>
    </dataValidation>
    <dataValidation type="list" allowBlank="1" showInputMessage="1" showErrorMessage="1" sqref="M871">
      <formula1>"Clásica,Premium"</formula1>
    </dataValidation>
    <dataValidation type="list" allowBlank="1" showInputMessage="1" showErrorMessage="1" sqref="O871">
      <formula1>"Activa,Inactiva"</formula1>
    </dataValidation>
    <dataValidation type="list" allowBlank="1" showInputMessage="1" showErrorMessage="1" sqref="J872">
      <formula1>"$,US$,UF"</formula1>
    </dataValidation>
    <dataValidation type="list" allowBlank="1" showInputMessage="1" showErrorMessage="1" sqref="K872">
      <formula1>"Nuevo"</formula1>
    </dataValidation>
    <dataValidation type="list" allowBlank="1" showInputMessage="1" showErrorMessage="1" sqref="L872">
      <formula1>"Mercado Envíos a cargo del comprador,Mercado Envíos gratis"</formula1>
    </dataValidation>
    <dataValidation type="list" allowBlank="1" showInputMessage="1" showErrorMessage="1" sqref="M872">
      <formula1>"Clásica,Premium"</formula1>
    </dataValidation>
    <dataValidation type="list" allowBlank="1" showInputMessage="1" showErrorMessage="1" sqref="O872">
      <formula1>"Activa,Inactiva"</formula1>
    </dataValidation>
    <dataValidation type="list" allowBlank="1" showInputMessage="1" showErrorMessage="1" sqref="J873">
      <formula1>"$,US$,UF"</formula1>
    </dataValidation>
    <dataValidation type="list" allowBlank="1" showInputMessage="1" showErrorMessage="1" sqref="K873">
      <formula1>"Usado,Nuevo"</formula1>
    </dataValidation>
    <dataValidation type="list" allowBlank="1" showInputMessage="1" showErrorMessage="1" sqref="L873">
      <formula1>"Mercado Envíos a cargo del comprador,Mercado Envíos gratis"</formula1>
    </dataValidation>
    <dataValidation type="list" allowBlank="1" showInputMessage="1" showErrorMessage="1" sqref="M873">
      <formula1>"Clásica,Premium"</formula1>
    </dataValidation>
    <dataValidation type="list" allowBlank="1" showInputMessage="1" showErrorMessage="1" sqref="O873">
      <formula1>"Activa,Inactiva"</formula1>
    </dataValidation>
    <dataValidation type="list" allowBlank="1" showInputMessage="1" showErrorMessage="1" sqref="J874">
      <formula1>"$,US$,UF"</formula1>
    </dataValidation>
    <dataValidation type="list" allowBlank="1" showInputMessage="1" showErrorMessage="1" sqref="K874">
      <formula1>"Usado,Nuevo"</formula1>
    </dataValidation>
    <dataValidation type="list" allowBlank="1" showInputMessage="1" showErrorMessage="1" sqref="L874">
      <formula1>"Mercado Envíos a cargo del comprador,Mercado Envíos gratis"</formula1>
    </dataValidation>
    <dataValidation type="list" allowBlank="1" showInputMessage="1" showErrorMessage="1" sqref="M874">
      <formula1>"Clásica,Premium"</formula1>
    </dataValidation>
    <dataValidation type="list" allowBlank="1" showInputMessage="1" showErrorMessage="1" sqref="O874">
      <formula1>"Activa,Inactiva"</formula1>
    </dataValidation>
    <dataValidation type="list" allowBlank="1" showInputMessage="1" showErrorMessage="1" sqref="J875">
      <formula1>"$,US$,UF"</formula1>
    </dataValidation>
    <dataValidation type="list" allowBlank="1" showInputMessage="1" showErrorMessage="1" sqref="K875">
      <formula1>"Usado,Nuevo"</formula1>
    </dataValidation>
    <dataValidation type="list" allowBlank="1" showInputMessage="1" showErrorMessage="1" sqref="L875">
      <formula1>"Mercado Envíos a cargo del comprador,Mercado Envíos gratis"</formula1>
    </dataValidation>
    <dataValidation type="list" allowBlank="1" showInputMessage="1" showErrorMessage="1" sqref="M875">
      <formula1>"Clásica,Premium"</formula1>
    </dataValidation>
    <dataValidation type="list" allowBlank="1" showInputMessage="1" showErrorMessage="1" sqref="O875">
      <formula1>"Activa,Inactiva"</formula1>
    </dataValidation>
    <dataValidation type="list" allowBlank="1" showInputMessage="1" showErrorMessage="1" sqref="J876">
      <formula1>"$,US$,UF"</formula1>
    </dataValidation>
    <dataValidation type="list" allowBlank="1" showInputMessage="1" showErrorMessage="1" sqref="K876">
      <formula1>"Usado,Nuevo"</formula1>
    </dataValidation>
    <dataValidation type="list" allowBlank="1" showInputMessage="1" showErrorMessage="1" sqref="L876">
      <formula1>"Mercado Envíos a cargo del comprador,Mercado Envíos gratis"</formula1>
    </dataValidation>
    <dataValidation type="list" allowBlank="1" showInputMessage="1" showErrorMessage="1" sqref="M876">
      <formula1>"Clásica,Premium"</formula1>
    </dataValidation>
    <dataValidation type="list" allowBlank="1" showInputMessage="1" showErrorMessage="1" sqref="O876">
      <formula1>"Activa,Inactiva"</formula1>
    </dataValidation>
    <dataValidation type="list" allowBlank="1" showInputMessage="1" showErrorMessage="1" sqref="J877">
      <formula1>"$,US$,UF"</formula1>
    </dataValidation>
    <dataValidation type="list" allowBlank="1" showInputMessage="1" showErrorMessage="1" sqref="K877">
      <formula1>"Usado,Nuevo"</formula1>
    </dataValidation>
    <dataValidation type="list" allowBlank="1" showInputMessage="1" showErrorMessage="1" sqref="L877">
      <formula1>"Mercado Envíos a cargo del comprador,Mercado Envíos gratis"</formula1>
    </dataValidation>
    <dataValidation type="list" allowBlank="1" showInputMessage="1" showErrorMessage="1" sqref="M877">
      <formula1>"Clásica,Premium"</formula1>
    </dataValidation>
    <dataValidation type="list" allowBlank="1" showInputMessage="1" showErrorMessage="1" sqref="O877">
      <formula1>"Activa,Inactiva"</formula1>
    </dataValidation>
    <dataValidation type="list" allowBlank="1" showInputMessage="1" showErrorMessage="1" sqref="J878">
      <formula1>"$,US$,UF"</formula1>
    </dataValidation>
    <dataValidation type="list" allowBlank="1" showInputMessage="1" showErrorMessage="1" sqref="K878">
      <formula1>"Usado,Nuevo"</formula1>
    </dataValidation>
    <dataValidation type="list" allowBlank="1" showInputMessage="1" showErrorMessage="1" sqref="L878">
      <formula1>"Mercado Envíos a cargo del comprador,Mercado Envíos gratis"</formula1>
    </dataValidation>
    <dataValidation type="list" allowBlank="1" showInputMessage="1" showErrorMessage="1" sqref="M878">
      <formula1>"Clásica,Premium"</formula1>
    </dataValidation>
    <dataValidation type="list" allowBlank="1" showInputMessage="1" showErrorMessage="1" sqref="O878">
      <formula1>"Activa,Inactiva"</formula1>
    </dataValidation>
    <dataValidation type="list" allowBlank="1" showInputMessage="1" showErrorMessage="1" sqref="J879">
      <formula1>"$,US$,UF"</formula1>
    </dataValidation>
    <dataValidation type="list" allowBlank="1" showInputMessage="1" showErrorMessage="1" sqref="K879">
      <formula1>"Usado,Nuevo,Reacondicionado"</formula1>
    </dataValidation>
    <dataValidation type="list" allowBlank="1" showInputMessage="1" showErrorMessage="1" sqref="L879">
      <formula1>"Mercado Envíos a cargo del comprador,Mercado Envíos gratis"</formula1>
    </dataValidation>
    <dataValidation type="list" allowBlank="1" showInputMessage="1" showErrorMessage="1" sqref="M879">
      <formula1>"Clásica,Premium"</formula1>
    </dataValidation>
    <dataValidation type="list" allowBlank="1" showInputMessage="1" showErrorMessage="1" sqref="O879">
      <formula1>"Activa,Inactiva"</formula1>
    </dataValidation>
    <dataValidation type="list" allowBlank="1" showInputMessage="1" showErrorMessage="1" sqref="J882">
      <formula1>"$,US$,UF"</formula1>
    </dataValidation>
    <dataValidation type="list" allowBlank="1" showInputMessage="1" showErrorMessage="1" sqref="K882">
      <formula1>"Usado,Nuevo"</formula1>
    </dataValidation>
    <dataValidation type="list" allowBlank="1" showInputMessage="1" showErrorMessage="1" sqref="L882">
      <formula1>"Mercado Envíos a cargo del comprador,Mercado Envíos por mi cuenta"</formula1>
    </dataValidation>
    <dataValidation type="list" allowBlank="1" showInputMessage="1" showErrorMessage="1" sqref="M882">
      <formula1>"Clásica,Premium"</formula1>
    </dataValidation>
    <dataValidation type="list" allowBlank="1" showInputMessage="1" showErrorMessage="1" sqref="O882">
      <formula1>"Activa,Inactiva"</formula1>
    </dataValidation>
    <dataValidation type="list" allowBlank="1" showInputMessage="1" showErrorMessage="1" sqref="J883">
      <formula1>"$,US$,UF"</formula1>
    </dataValidation>
    <dataValidation type="list" allowBlank="1" showInputMessage="1" showErrorMessage="1" sqref="K883">
      <formula1>"Usado,Nuevo"</formula1>
    </dataValidation>
    <dataValidation type="list" allowBlank="1" showInputMessage="1" showErrorMessage="1" sqref="L883">
      <formula1>"Mercado Envíos a cargo del comprador,Mercado Envíos gratis"</formula1>
    </dataValidation>
    <dataValidation type="list" allowBlank="1" showInputMessage="1" showErrorMessage="1" sqref="M883">
      <formula1>"Clásica,Premium"</formula1>
    </dataValidation>
    <dataValidation type="list" allowBlank="1" showInputMessage="1" showErrorMessage="1" sqref="O883">
      <formula1>"Activa,Inactiva"</formula1>
    </dataValidation>
    <dataValidation type="list" allowBlank="1" showInputMessage="1" showErrorMessage="1" sqref="J884">
      <formula1>"$,US$,UF"</formula1>
    </dataValidation>
    <dataValidation type="list" allowBlank="1" showInputMessage="1" showErrorMessage="1" sqref="K884">
      <formula1>"Usado,Nuevo"</formula1>
    </dataValidation>
    <dataValidation type="list" allowBlank="1" showInputMessage="1" showErrorMessage="1" sqref="L884">
      <formula1>"Mercado Envíos a cargo del comprador,Mercado Envíos por mi cuenta"</formula1>
    </dataValidation>
    <dataValidation type="list" allowBlank="1" showInputMessage="1" showErrorMessage="1" sqref="M884">
      <formula1>"Clásica,Premium"</formula1>
    </dataValidation>
    <dataValidation type="list" allowBlank="1" showInputMessage="1" showErrorMessage="1" sqref="O884">
      <formula1>"Activa,Inactiva"</formula1>
    </dataValidation>
    <dataValidation type="list" allowBlank="1" showInputMessage="1" showErrorMessage="1" sqref="J885">
      <formula1>"$,US$,UF"</formula1>
    </dataValidation>
    <dataValidation type="list" allowBlank="1" showInputMessage="1" showErrorMessage="1" sqref="K885">
      <formula1>"Usado,Nuevo"</formula1>
    </dataValidation>
    <dataValidation type="list" allowBlank="1" showInputMessage="1" showErrorMessage="1" sqref="L885">
      <formula1>"Mercado Envíos a cargo del comprador,Mercado Envíos gratis"</formula1>
    </dataValidation>
    <dataValidation type="list" allowBlank="1" showInputMessage="1" showErrorMessage="1" sqref="M885">
      <formula1>"Clásica,Premium"</formula1>
    </dataValidation>
    <dataValidation type="list" allowBlank="1" showInputMessage="1" showErrorMessage="1" sqref="O885">
      <formula1>"Activa,Inactiva"</formula1>
    </dataValidation>
    <dataValidation type="list" allowBlank="1" showInputMessage="1" showErrorMessage="1" sqref="J886">
      <formula1>"$,US$,UF"</formula1>
    </dataValidation>
    <dataValidation type="list" allowBlank="1" showInputMessage="1" showErrorMessage="1" sqref="K886">
      <formula1>"Usado,Nuevo"</formula1>
    </dataValidation>
    <dataValidation type="list" allowBlank="1" showInputMessage="1" showErrorMessage="1" sqref="L886">
      <formula1>"Mercado Envíos a cargo del comprador,Mercado Envíos gratis"</formula1>
    </dataValidation>
    <dataValidation type="list" allowBlank="1" showInputMessage="1" showErrorMessage="1" sqref="M886">
      <formula1>"Clásica,Premium"</formula1>
    </dataValidation>
    <dataValidation type="list" allowBlank="1" showInputMessage="1" showErrorMessage="1" sqref="O886">
      <formula1>"Activa,Inactiva"</formula1>
    </dataValidation>
    <dataValidation type="list" allowBlank="1" showInputMessage="1" showErrorMessage="1" sqref="J887">
      <formula1>"$,US$,UF"</formula1>
    </dataValidation>
    <dataValidation type="list" allowBlank="1" showInputMessage="1" showErrorMessage="1" sqref="K887">
      <formula1>"Usado,Nuevo"</formula1>
    </dataValidation>
    <dataValidation type="list" allowBlank="1" showInputMessage="1" showErrorMessage="1" sqref="L887">
      <formula1>"Mercado Envíos a cargo del comprador,Mercado Envíos gratis"</formula1>
    </dataValidation>
    <dataValidation type="list" allowBlank="1" showInputMessage="1" showErrorMessage="1" sqref="M887">
      <formula1>"Clásica,Premium"</formula1>
    </dataValidation>
    <dataValidation type="list" allowBlank="1" showInputMessage="1" showErrorMessage="1" sqref="O887">
      <formula1>"Activa,Inactiva"</formula1>
    </dataValidation>
    <dataValidation type="list" allowBlank="1" showInputMessage="1" showErrorMessage="1" sqref="J888">
      <formula1>"$,US$,UF"</formula1>
    </dataValidation>
    <dataValidation type="list" allowBlank="1" showInputMessage="1" showErrorMessage="1" sqref="K888">
      <formula1>"Usado,Nuevo"</formula1>
    </dataValidation>
    <dataValidation type="list" allowBlank="1" showInputMessage="1" showErrorMessage="1" sqref="L888">
      <formula1>"Mercado Envíos a cargo del comprador,Mercado Envíos gratis"</formula1>
    </dataValidation>
    <dataValidation type="list" allowBlank="1" showInputMessage="1" showErrorMessage="1" sqref="M888">
      <formula1>"Clásica,Premium"</formula1>
    </dataValidation>
    <dataValidation type="list" allowBlank="1" showInputMessage="1" showErrorMessage="1" sqref="O888">
      <formula1>"Activa,Inactiva"</formula1>
    </dataValidation>
    <dataValidation type="list" allowBlank="1" showInputMessage="1" showErrorMessage="1" sqref="J889">
      <formula1>"$,US$,UF"</formula1>
    </dataValidation>
    <dataValidation type="list" allowBlank="1" showInputMessage="1" showErrorMessage="1" sqref="K889">
      <formula1>"Usado,Nuevo"</formula1>
    </dataValidation>
    <dataValidation type="list" allowBlank="1" showInputMessage="1" showErrorMessage="1" sqref="L889">
      <formula1>"Mercado Envíos a cargo del comprador,Mercado Envíos gratis"</formula1>
    </dataValidation>
    <dataValidation type="list" allowBlank="1" showInputMessage="1" showErrorMessage="1" sqref="M889">
      <formula1>"Clásica,Premium"</formula1>
    </dataValidation>
    <dataValidation type="list" allowBlank="1" showInputMessage="1" showErrorMessage="1" sqref="O889">
      <formula1>"Activa,Inactiva"</formula1>
    </dataValidation>
    <dataValidation type="list" allowBlank="1" showInputMessage="1" showErrorMessage="1" sqref="J890">
      <formula1>"$,US$,UF"</formula1>
    </dataValidation>
    <dataValidation type="list" allowBlank="1" showInputMessage="1" showErrorMessage="1" sqref="K890">
      <formula1>"Usado,Nuevo"</formula1>
    </dataValidation>
    <dataValidation type="list" allowBlank="1" showInputMessage="1" showErrorMessage="1" sqref="L890">
      <formula1>"Mercado Envíos a cargo del comprador,Mercado Envíos gratis"</formula1>
    </dataValidation>
    <dataValidation type="list" allowBlank="1" showInputMessage="1" showErrorMessage="1" sqref="M890">
      <formula1>"Clásica,Premium"</formula1>
    </dataValidation>
    <dataValidation type="list" allowBlank="1" showInputMessage="1" showErrorMessage="1" sqref="O890">
      <formula1>"Activa,Inactiva"</formula1>
    </dataValidation>
    <dataValidation type="list" allowBlank="1" showInputMessage="1" showErrorMessage="1" sqref="J891">
      <formula1>"$,US$,UF"</formula1>
    </dataValidation>
    <dataValidation type="list" allowBlank="1" showInputMessage="1" showErrorMessage="1" sqref="K891">
      <formula1>"Usado,Nuevo"</formula1>
    </dataValidation>
    <dataValidation type="list" allowBlank="1" showInputMessage="1" showErrorMessage="1" sqref="L891">
      <formula1>"Mercado Envíos a cargo del comprador,Mercado Envíos gratis"</formula1>
    </dataValidation>
    <dataValidation type="list" allowBlank="1" showInputMessage="1" showErrorMessage="1" sqref="M891">
      <formula1>"Clásica,Premium"</formula1>
    </dataValidation>
    <dataValidation type="list" allowBlank="1" showInputMessage="1" showErrorMessage="1" sqref="O891">
      <formula1>"Activa,Inactiva"</formula1>
    </dataValidation>
    <dataValidation type="list" allowBlank="1" showInputMessage="1" showErrorMessage="1" sqref="J892">
      <formula1>"$,US$,UF"</formula1>
    </dataValidation>
    <dataValidation type="list" allowBlank="1" showInputMessage="1" showErrorMessage="1" sqref="K892">
      <formula1>"Usado,Nuevo,Reacondicionado"</formula1>
    </dataValidation>
    <dataValidation type="list" allowBlank="1" showInputMessage="1" showErrorMessage="1" sqref="L892">
      <formula1>"Mercado Envíos a cargo del comprador,Mercado Envíos gratis"</formula1>
    </dataValidation>
    <dataValidation type="list" allowBlank="1" showInputMessage="1" showErrorMessage="1" sqref="M892">
      <formula1>"Clásica,Premium"</formula1>
    </dataValidation>
    <dataValidation type="list" allowBlank="1" showInputMessage="1" showErrorMessage="1" sqref="O892">
      <formula1>"Activa,Inactiva"</formula1>
    </dataValidation>
    <dataValidation type="list" allowBlank="1" showInputMessage="1" showErrorMessage="1" sqref="J893">
      <formula1>"$,US$,UF"</formula1>
    </dataValidation>
    <dataValidation type="list" allowBlank="1" showInputMessage="1" showErrorMessage="1" sqref="K893">
      <formula1>"Usado,Nuevo,Reacondicionado"</formula1>
    </dataValidation>
    <dataValidation type="list" allowBlank="1" showInputMessage="1" showErrorMessage="1" sqref="L893">
      <formula1>"Mercado Envíos a cargo del comprador,Mercado Envíos gratis"</formula1>
    </dataValidation>
    <dataValidation type="list" allowBlank="1" showInputMessage="1" showErrorMessage="1" sqref="M893">
      <formula1>"Clásica,Premium"</formula1>
    </dataValidation>
    <dataValidation type="list" allowBlank="1" showInputMessage="1" showErrorMessage="1" sqref="O893">
      <formula1>"Activa,Inactiva"</formula1>
    </dataValidation>
    <dataValidation type="list" allowBlank="1" showInputMessage="1" showErrorMessage="1" sqref="J894">
      <formula1>"$,US$,UF"</formula1>
    </dataValidation>
    <dataValidation type="list" allowBlank="1" showInputMessage="1" showErrorMessage="1" sqref="K894">
      <formula1>"Usado,Nuevo"</formula1>
    </dataValidation>
    <dataValidation type="list" allowBlank="1" showInputMessage="1" showErrorMessage="1" sqref="L894">
      <formula1>"Mercado Envíos a cargo del comprador,Mercado Envíos gratis"</formula1>
    </dataValidation>
    <dataValidation type="list" allowBlank="1" showInputMessage="1" showErrorMessage="1" sqref="M894">
      <formula1>"Clásica,Premium"</formula1>
    </dataValidation>
    <dataValidation type="list" allowBlank="1" showInputMessage="1" showErrorMessage="1" sqref="O894">
      <formula1>"Activa,Inactiva"</formula1>
    </dataValidation>
    <dataValidation type="list" allowBlank="1" showInputMessage="1" showErrorMessage="1" sqref="J897">
      <formula1>"$,US$,UF"</formula1>
    </dataValidation>
    <dataValidation type="list" allowBlank="1" showInputMessage="1" showErrorMessage="1" sqref="K897">
      <formula1>"Usado,Nuevo"</formula1>
    </dataValidation>
    <dataValidation type="list" allowBlank="1" showInputMessage="1" showErrorMessage="1" sqref="L897">
      <formula1>"Mercado Envíos a cargo del comprador,Mercado Envíos gratis"</formula1>
    </dataValidation>
    <dataValidation type="list" allowBlank="1" showInputMessage="1" showErrorMessage="1" sqref="M897">
      <formula1>"Clásica,Premium"</formula1>
    </dataValidation>
    <dataValidation type="list" allowBlank="1" showInputMessage="1" showErrorMessage="1" sqref="O897">
      <formula1>"Activa,Inactiva"</formula1>
    </dataValidation>
    <dataValidation type="list" allowBlank="1" showInputMessage="1" showErrorMessage="1" sqref="J898">
      <formula1>"$,US$,UF"</formula1>
    </dataValidation>
    <dataValidation type="list" allowBlank="1" showInputMessage="1" showErrorMessage="1" sqref="K898">
      <formula1>"Usado,Nuevo"</formula1>
    </dataValidation>
    <dataValidation type="list" allowBlank="1" showInputMessage="1" showErrorMessage="1" sqref="L898">
      <formula1>"Mercado Envíos a cargo del comprador,Mercado Envíos gratis"</formula1>
    </dataValidation>
    <dataValidation type="list" allowBlank="1" showInputMessage="1" showErrorMessage="1" sqref="M898">
      <formula1>"Clásica,Premium"</formula1>
    </dataValidation>
    <dataValidation type="list" allowBlank="1" showInputMessage="1" showErrorMessage="1" sqref="O898">
      <formula1>"Activa,Inactiva"</formula1>
    </dataValidation>
    <dataValidation type="list" allowBlank="1" showInputMessage="1" showErrorMessage="1" sqref="J899">
      <formula1>"$,US$,UF"</formula1>
    </dataValidation>
    <dataValidation type="list" allowBlank="1" showInputMessage="1" showErrorMessage="1" sqref="K899">
      <formula1>"Usado,Nuevo"</formula1>
    </dataValidation>
    <dataValidation type="list" allowBlank="1" showInputMessage="1" showErrorMessage="1" sqref="L899">
      <formula1>"Mercado Envíos a cargo del comprador,Mercado Envíos gratis"</formula1>
    </dataValidation>
    <dataValidation type="list" allowBlank="1" showInputMessage="1" showErrorMessage="1" sqref="M899">
      <formula1>"Clásica,Premium"</formula1>
    </dataValidation>
    <dataValidation type="list" allowBlank="1" showInputMessage="1" showErrorMessage="1" sqref="O899">
      <formula1>"Activa,Inactiva"</formula1>
    </dataValidation>
    <dataValidation type="list" allowBlank="1" showInputMessage="1" showErrorMessage="1" sqref="J900">
      <formula1>"$,US$,UF"</formula1>
    </dataValidation>
    <dataValidation type="list" allowBlank="1" showInputMessage="1" showErrorMessage="1" sqref="K900">
      <formula1>"Usado,Nuevo"</formula1>
    </dataValidation>
    <dataValidation type="list" allowBlank="1" showInputMessage="1" showErrorMessage="1" sqref="L900">
      <formula1>"Mercado Envíos a cargo del comprador,Mercado Envíos gratis"</formula1>
    </dataValidation>
    <dataValidation type="list" allowBlank="1" showInputMessage="1" showErrorMessage="1" sqref="M900">
      <formula1>"Clásica,Premium"</formula1>
    </dataValidation>
    <dataValidation type="list" allowBlank="1" showInputMessage="1" showErrorMessage="1" sqref="O900">
      <formula1>"Activa,Inactiva"</formula1>
    </dataValidation>
    <dataValidation type="list" allowBlank="1" showInputMessage="1" showErrorMessage="1" sqref="J901">
      <formula1>"$,US$,UF"</formula1>
    </dataValidation>
    <dataValidation type="list" allowBlank="1" showInputMessage="1" showErrorMessage="1" sqref="K901">
      <formula1>"Usado,Nuevo"</formula1>
    </dataValidation>
    <dataValidation type="list" allowBlank="1" showInputMessage="1" showErrorMessage="1" sqref="L901">
      <formula1>"Mercado Envíos a cargo del comprador,Mercado Envíos por mi cuenta"</formula1>
    </dataValidation>
    <dataValidation type="list" allowBlank="1" showInputMessage="1" showErrorMessage="1" sqref="M901">
      <formula1>"Clásica,Premium"</formula1>
    </dataValidation>
    <dataValidation type="list" allowBlank="1" showInputMessage="1" showErrorMessage="1" sqref="O901">
      <formula1>"Activa,Inactiva"</formula1>
    </dataValidation>
    <dataValidation type="list" allowBlank="1" showInputMessage="1" showErrorMessage="1" sqref="J902">
      <formula1>"$,US$,UF"</formula1>
    </dataValidation>
    <dataValidation type="list" allowBlank="1" showInputMessage="1" showErrorMessage="1" sqref="K902">
      <formula1>"Usado,Nuevo"</formula1>
    </dataValidation>
    <dataValidation type="list" allowBlank="1" showInputMessage="1" showErrorMessage="1" sqref="L902">
      <formula1>"Mercado Envíos a cargo del comprador,Mercado Envíos gratis"</formula1>
    </dataValidation>
    <dataValidation type="list" allowBlank="1" showInputMessage="1" showErrorMessage="1" sqref="M902">
      <formula1>"Clásica,Premium"</formula1>
    </dataValidation>
    <dataValidation type="list" allowBlank="1" showInputMessage="1" showErrorMessage="1" sqref="O902">
      <formula1>"Activa,Inactiva"</formula1>
    </dataValidation>
    <dataValidation type="list" allowBlank="1" showInputMessage="1" showErrorMessage="1" sqref="J903">
      <formula1>"$,US$,UF"</formula1>
    </dataValidation>
    <dataValidation type="list" allowBlank="1" showInputMessage="1" showErrorMessage="1" sqref="K903">
      <formula1>"Usado,Nuevo"</formula1>
    </dataValidation>
    <dataValidation type="list" allowBlank="1" showInputMessage="1" showErrorMessage="1" sqref="L903">
      <formula1>"Mercado Envíos a cargo del comprador,Mercado Envíos gratis"</formula1>
    </dataValidation>
    <dataValidation type="list" allowBlank="1" showInputMessage="1" showErrorMessage="1" sqref="M903">
      <formula1>"Clásica,Premium"</formula1>
    </dataValidation>
    <dataValidation type="list" allowBlank="1" showInputMessage="1" showErrorMessage="1" sqref="O903">
      <formula1>"Activa,Inactiva"</formula1>
    </dataValidation>
    <dataValidation type="list" allowBlank="1" showInputMessage="1" showErrorMessage="1" sqref="J904">
      <formula1>"$,US$,UF"</formula1>
    </dataValidation>
    <dataValidation type="list" allowBlank="1" showInputMessage="1" showErrorMessage="1" sqref="K904">
      <formula1>"Nuevo"</formula1>
    </dataValidation>
    <dataValidation type="list" allowBlank="1" showInputMessage="1" showErrorMessage="1" sqref="L904">
      <formula1>"Mercado Envíos a cargo del comprador,Mercado Envíos gratis"</formula1>
    </dataValidation>
    <dataValidation type="list" allowBlank="1" showInputMessage="1" showErrorMessage="1" sqref="M904">
      <formula1>"Clásica,Premium"</formula1>
    </dataValidation>
    <dataValidation type="list" allowBlank="1" showInputMessage="1" showErrorMessage="1" sqref="O904">
      <formula1>"Activa,Inactiva"</formula1>
    </dataValidation>
    <dataValidation type="list" allowBlank="1" showInputMessage="1" showErrorMessage="1" sqref="J905">
      <formula1>"$,US$,UF"</formula1>
    </dataValidation>
    <dataValidation type="list" allowBlank="1" showInputMessage="1" showErrorMessage="1" sqref="K905">
      <formula1>"Usado,Nuevo"</formula1>
    </dataValidation>
    <dataValidation type="list" allowBlank="1" showInputMessage="1" showErrorMessage="1" sqref="L905">
      <formula1>"Mercado Envíos a cargo del comprador,Mercado Envíos por mi cuenta"</formula1>
    </dataValidation>
    <dataValidation type="list" allowBlank="1" showInputMessage="1" showErrorMessage="1" sqref="M905">
      <formula1>"Clásica,Premium"</formula1>
    </dataValidation>
    <dataValidation type="list" allowBlank="1" showInputMessage="1" showErrorMessage="1" sqref="O905">
      <formula1>"Activa,Inactiva"</formula1>
    </dataValidation>
    <dataValidation type="list" allowBlank="1" showInputMessage="1" showErrorMessage="1" sqref="J906">
      <formula1>"$,US$,UF"</formula1>
    </dataValidation>
    <dataValidation type="list" allowBlank="1" showInputMessage="1" showErrorMessage="1" sqref="K906">
      <formula1>"Usado,Nuevo"</formula1>
    </dataValidation>
    <dataValidation type="list" allowBlank="1" showInputMessage="1" showErrorMessage="1" sqref="L906">
      <formula1>"Mercado Envíos a cargo del comprador,Mercado Envíos gratis"</formula1>
    </dataValidation>
    <dataValidation type="list" allowBlank="1" showInputMessage="1" showErrorMessage="1" sqref="M906">
      <formula1>"Clásica,Premium"</formula1>
    </dataValidation>
    <dataValidation type="list" allowBlank="1" showInputMessage="1" showErrorMessage="1" sqref="O906">
      <formula1>"Activa,Inactiva"</formula1>
    </dataValidation>
    <dataValidation type="list" allowBlank="1" showInputMessage="1" showErrorMessage="1" sqref="J907">
      <formula1>"$,US$,UF"</formula1>
    </dataValidation>
    <dataValidation type="list" allowBlank="1" showInputMessage="1" showErrorMessage="1" sqref="K907">
      <formula1>"Usado,Nuevo"</formula1>
    </dataValidation>
    <dataValidation type="list" allowBlank="1" showInputMessage="1" showErrorMessage="1" sqref="L907">
      <formula1>"Mercado Envíos a cargo del comprador,Mercado Envíos gratis"</formula1>
    </dataValidation>
    <dataValidation type="list" allowBlank="1" showInputMessage="1" showErrorMessage="1" sqref="M907">
      <formula1>"Clásica,Premium"</formula1>
    </dataValidation>
    <dataValidation type="list" allowBlank="1" showInputMessage="1" showErrorMessage="1" sqref="O907">
      <formula1>"Activa,Inactiva"</formula1>
    </dataValidation>
    <dataValidation type="list" allowBlank="1" showInputMessage="1" showErrorMessage="1" sqref="J908">
      <formula1>"$,US$,UF"</formula1>
    </dataValidation>
    <dataValidation type="list" allowBlank="1" showInputMessage="1" showErrorMessage="1" sqref="K908">
      <formula1>"Usado,Nuevo"</formula1>
    </dataValidation>
    <dataValidation type="list" allowBlank="1" showInputMessage="1" showErrorMessage="1" sqref="L908">
      <formula1>"Mercado Envíos a cargo del comprador,Mercado Envíos gratis"</formula1>
    </dataValidation>
    <dataValidation type="list" allowBlank="1" showInputMessage="1" showErrorMessage="1" sqref="M908">
      <formula1>"Clásica,Premium"</formula1>
    </dataValidation>
    <dataValidation type="list" allowBlank="1" showInputMessage="1" showErrorMessage="1" sqref="O908">
      <formula1>"Activa,Inactiva"</formula1>
    </dataValidation>
    <dataValidation type="list" allowBlank="1" showInputMessage="1" showErrorMessage="1" sqref="J909">
      <formula1>"$,US$,UF"</formula1>
    </dataValidation>
    <dataValidation type="list" allowBlank="1" showInputMessage="1" showErrorMessage="1" sqref="K909">
      <formula1>"Usado,Nuevo"</formula1>
    </dataValidation>
    <dataValidation type="list" allowBlank="1" showInputMessage="1" showErrorMessage="1" sqref="L909">
      <formula1>"Mercado Envíos a cargo del comprador,Mercado Envíos gratis"</formula1>
    </dataValidation>
    <dataValidation type="list" allowBlank="1" showInputMessage="1" showErrorMessage="1" sqref="M909">
      <formula1>"Clásica,Premium"</formula1>
    </dataValidation>
    <dataValidation type="list" allowBlank="1" showInputMessage="1" showErrorMessage="1" sqref="O909">
      <formula1>"Activa,Inactiva"</formula1>
    </dataValidation>
    <dataValidation type="list" allowBlank="1" showInputMessage="1" showErrorMessage="1" sqref="J910">
      <formula1>"$,US$,UF"</formula1>
    </dataValidation>
    <dataValidation type="list" allowBlank="1" showInputMessage="1" showErrorMessage="1" sqref="K910">
      <formula1>"Usado,Nuevo"</formula1>
    </dataValidation>
    <dataValidation type="list" allowBlank="1" showInputMessage="1" showErrorMessage="1" sqref="L910">
      <formula1>"Mercado Envíos a cargo del comprador,Mercado Envíos por mi cuenta"</formula1>
    </dataValidation>
    <dataValidation type="list" allowBlank="1" showInputMessage="1" showErrorMessage="1" sqref="M910">
      <formula1>"Clásica,Premium"</formula1>
    </dataValidation>
    <dataValidation type="list" allowBlank="1" showInputMessage="1" showErrorMessage="1" sqref="O910">
      <formula1>"Activa,Inactiva"</formula1>
    </dataValidation>
    <dataValidation type="list" allowBlank="1" showInputMessage="1" showErrorMessage="1" sqref="J911">
      <formula1>"$,US$,UF"</formula1>
    </dataValidation>
    <dataValidation type="list" allowBlank="1" showInputMessage="1" showErrorMessage="1" sqref="K911">
      <formula1>"Usado,Nuevo"</formula1>
    </dataValidation>
    <dataValidation type="list" allowBlank="1" showInputMessage="1" showErrorMessage="1" sqref="L911">
      <formula1>"Mercado Envíos a cargo del comprador,Mercado Envíos gratis"</formula1>
    </dataValidation>
    <dataValidation type="list" allowBlank="1" showInputMessage="1" showErrorMessage="1" sqref="M911">
      <formula1>"Clásica,Premium"</formula1>
    </dataValidation>
    <dataValidation type="list" allowBlank="1" showInputMessage="1" showErrorMessage="1" sqref="O911">
      <formula1>"Activa,Inactiva"</formula1>
    </dataValidation>
    <dataValidation type="list" allowBlank="1" showInputMessage="1" showErrorMessage="1" sqref="J912">
      <formula1>"$,US$,UF"</formula1>
    </dataValidation>
    <dataValidation type="list" allowBlank="1" showInputMessage="1" showErrorMessage="1" sqref="K912">
      <formula1>"Usado,Nuevo"</formula1>
    </dataValidation>
    <dataValidation type="list" allowBlank="1" showInputMessage="1" showErrorMessage="1" sqref="L912">
      <formula1>"Mercado Envíos a cargo del comprador,Mercado Envíos gratis"</formula1>
    </dataValidation>
    <dataValidation type="list" allowBlank="1" showInputMessage="1" showErrorMessage="1" sqref="M912">
      <formula1>"Clásica,Premium"</formula1>
    </dataValidation>
    <dataValidation type="list" allowBlank="1" showInputMessage="1" showErrorMessage="1" sqref="O912">
      <formula1>"Activa,Inactiva"</formula1>
    </dataValidation>
    <dataValidation type="list" allowBlank="1" showInputMessage="1" showErrorMessage="1" sqref="J913">
      <formula1>"$,US$,UF"</formula1>
    </dataValidation>
    <dataValidation type="list" allowBlank="1" showInputMessage="1" showErrorMessage="1" sqref="K913">
      <formula1>"Usado,Nuevo"</formula1>
    </dataValidation>
    <dataValidation type="list" allowBlank="1" showInputMessage="1" showErrorMessage="1" sqref="L913">
      <formula1>"Mercado Envíos a cargo del comprador,Mercado Envíos gratis"</formula1>
    </dataValidation>
    <dataValidation type="list" allowBlank="1" showInputMessage="1" showErrorMessage="1" sqref="M913">
      <formula1>"Clásica,Premium"</formula1>
    </dataValidation>
    <dataValidation type="list" allowBlank="1" showInputMessage="1" showErrorMessage="1" sqref="O913">
      <formula1>"Activa,Inactiva"</formula1>
    </dataValidation>
    <dataValidation type="list" allowBlank="1" showInputMessage="1" showErrorMessage="1" sqref="J914">
      <formula1>"$,US$,UF"</formula1>
    </dataValidation>
    <dataValidation type="list" allowBlank="1" showInputMessage="1" showErrorMessage="1" sqref="K914">
      <formula1>"Usado,Nuevo"</formula1>
    </dataValidation>
    <dataValidation type="list" allowBlank="1" showInputMessage="1" showErrorMessage="1" sqref="L914">
      <formula1>"Mercado Envíos a cargo del comprador,Mercado Envíos gratis"</formula1>
    </dataValidation>
    <dataValidation type="list" allowBlank="1" showInputMessage="1" showErrorMessage="1" sqref="M914">
      <formula1>"Clásica,Premium"</formula1>
    </dataValidation>
    <dataValidation type="list" allowBlank="1" showInputMessage="1" showErrorMessage="1" sqref="O914">
      <formula1>"Activa,Inactiva"</formula1>
    </dataValidation>
    <dataValidation type="list" allowBlank="1" showInputMessage="1" showErrorMessage="1" sqref="J915">
      <formula1>"$,US$,UF"</formula1>
    </dataValidation>
    <dataValidation type="list" allowBlank="1" showInputMessage="1" showErrorMessage="1" sqref="K915">
      <formula1>"Usado,Nuevo"</formula1>
    </dataValidation>
    <dataValidation type="list" allowBlank="1" showInputMessage="1" showErrorMessage="1" sqref="L915">
      <formula1>"Mercado Envíos a cargo del comprador,Mercado Envíos gratis"</formula1>
    </dataValidation>
    <dataValidation type="list" allowBlank="1" showInputMessage="1" showErrorMessage="1" sqref="M915">
      <formula1>"Clásica,Premium"</formula1>
    </dataValidation>
    <dataValidation type="list" allowBlank="1" showInputMessage="1" showErrorMessage="1" sqref="O915">
      <formula1>"Activa,Inactiva"</formula1>
    </dataValidation>
    <dataValidation type="list" allowBlank="1" showInputMessage="1" showErrorMessage="1" sqref="J916">
      <formula1>"$,US$,UF"</formula1>
    </dataValidation>
    <dataValidation type="list" allowBlank="1" showInputMessage="1" showErrorMessage="1" sqref="K916">
      <formula1>"Usado,Nuevo"</formula1>
    </dataValidation>
    <dataValidation type="list" allowBlank="1" showInputMessage="1" showErrorMessage="1" sqref="L916">
      <formula1>"Mercado Envíos a cargo del comprador,Mercado Envíos por mi cuenta"</formula1>
    </dataValidation>
    <dataValidation type="list" allowBlank="1" showInputMessage="1" showErrorMessage="1" sqref="M916">
      <formula1>"Clásica,Premium"</formula1>
    </dataValidation>
    <dataValidation type="list" allowBlank="1" showInputMessage="1" showErrorMessage="1" sqref="O916">
      <formula1>"Activa,Inactiva"</formula1>
    </dataValidation>
    <dataValidation type="list" allowBlank="1" showInputMessage="1" showErrorMessage="1" sqref="J917">
      <formula1>"$,US$,UF"</formula1>
    </dataValidation>
    <dataValidation type="list" allowBlank="1" showInputMessage="1" showErrorMessage="1" sqref="K917">
      <formula1>"Usado,Nuevo"</formula1>
    </dataValidation>
    <dataValidation type="list" allowBlank="1" showInputMessage="1" showErrorMessage="1" sqref="L917">
      <formula1>"Mercado Envíos a cargo del comprador,Mercado Envíos gratis"</formula1>
    </dataValidation>
    <dataValidation type="list" allowBlank="1" showInputMessage="1" showErrorMessage="1" sqref="M917">
      <formula1>"Clásica,Premium"</formula1>
    </dataValidation>
    <dataValidation type="list" allowBlank="1" showInputMessage="1" showErrorMessage="1" sqref="O917">
      <formula1>"Activa,Inactiva"</formula1>
    </dataValidation>
    <dataValidation type="list" allowBlank="1" showInputMessage="1" showErrorMessage="1" sqref="J918">
      <formula1>"$,US$,UF"</formula1>
    </dataValidation>
    <dataValidation type="list" allowBlank="1" showInputMessage="1" showErrorMessage="1" sqref="K918">
      <formula1>"Usado,Nuevo"</formula1>
    </dataValidation>
    <dataValidation type="list" allowBlank="1" showInputMessage="1" showErrorMessage="1" sqref="L918">
      <formula1>"Mercado Envíos a cargo del comprador,Mercado Envíos por mi cuenta"</formula1>
    </dataValidation>
    <dataValidation type="list" allowBlank="1" showInputMessage="1" showErrorMessage="1" sqref="M918">
      <formula1>"Clásica,Premium"</formula1>
    </dataValidation>
    <dataValidation type="list" allowBlank="1" showInputMessage="1" showErrorMessage="1" sqref="O918">
      <formula1>"Activa,Inactiva"</formula1>
    </dataValidation>
    <dataValidation type="list" allowBlank="1" showInputMessage="1" showErrorMessage="1" sqref="J919">
      <formula1>"$,US$,UF"</formula1>
    </dataValidation>
    <dataValidation type="list" allowBlank="1" showInputMessage="1" showErrorMessage="1" sqref="K919">
      <formula1>"Usado,Nuevo"</formula1>
    </dataValidation>
    <dataValidation type="list" allowBlank="1" showInputMessage="1" showErrorMessage="1" sqref="L919">
      <formula1>"Mercado Envíos a cargo del comprador,Mercado Envíos gratis"</formula1>
    </dataValidation>
    <dataValidation type="list" allowBlank="1" showInputMessage="1" showErrorMessage="1" sqref="M919">
      <formula1>"Clásica,Premium"</formula1>
    </dataValidation>
    <dataValidation type="list" allowBlank="1" showInputMessage="1" showErrorMessage="1" sqref="O919">
      <formula1>"Activa,Inactiva"</formula1>
    </dataValidation>
    <dataValidation type="list" allowBlank="1" showInputMessage="1" showErrorMessage="1" sqref="J920">
      <formula1>"$,US$,UF"</formula1>
    </dataValidation>
    <dataValidation type="list" allowBlank="1" showInputMessage="1" showErrorMessage="1" sqref="K920">
      <formula1>"Usado,Nuevo"</formula1>
    </dataValidation>
    <dataValidation type="list" allowBlank="1" showInputMessage="1" showErrorMessage="1" sqref="L920">
      <formula1>"Mercado Envíos a cargo del comprador,Mercado Envíos por mi cuenta"</formula1>
    </dataValidation>
    <dataValidation type="list" allowBlank="1" showInputMessage="1" showErrorMessage="1" sqref="M920">
      <formula1>"Clásica,Premium"</formula1>
    </dataValidation>
    <dataValidation type="list" allowBlank="1" showInputMessage="1" showErrorMessage="1" sqref="O920">
      <formula1>"Activa,Inactiva"</formula1>
    </dataValidation>
    <dataValidation type="list" allowBlank="1" showInputMessage="1" showErrorMessage="1" sqref="J921">
      <formula1>"$,US$,UF"</formula1>
    </dataValidation>
    <dataValidation type="list" allowBlank="1" showInputMessage="1" showErrorMessage="1" sqref="K921">
      <formula1>"Usado,Nuevo"</formula1>
    </dataValidation>
    <dataValidation type="list" allowBlank="1" showInputMessage="1" showErrorMessage="1" sqref="L921">
      <formula1>"Mercado Envíos a cargo del comprador,Mercado Envíos por mi cuenta"</formula1>
    </dataValidation>
    <dataValidation type="list" allowBlank="1" showInputMessage="1" showErrorMessage="1" sqref="M921">
      <formula1>"Clásica,Premium"</formula1>
    </dataValidation>
    <dataValidation type="list" allowBlank="1" showInputMessage="1" showErrorMessage="1" sqref="O921">
      <formula1>"Activa,Inactiva"</formula1>
    </dataValidation>
    <dataValidation type="list" allowBlank="1" showInputMessage="1" showErrorMessage="1" sqref="J922">
      <formula1>"$,US$,UF"</formula1>
    </dataValidation>
    <dataValidation type="list" allowBlank="1" showInputMessage="1" showErrorMessage="1" sqref="K922">
      <formula1>"Usado,Nuevo"</formula1>
    </dataValidation>
    <dataValidation type="list" allowBlank="1" showInputMessage="1" showErrorMessage="1" sqref="L922">
      <formula1>"Mercado Envíos a cargo del comprador,Mercado Envíos por mi cuenta"</formula1>
    </dataValidation>
    <dataValidation type="list" allowBlank="1" showInputMessage="1" showErrorMessage="1" sqref="M922">
      <formula1>"Clásica,Premium"</formula1>
    </dataValidation>
    <dataValidation type="list" allowBlank="1" showInputMessage="1" showErrorMessage="1" sqref="O922">
      <formula1>"Activa,Inactiva"</formula1>
    </dataValidation>
    <dataValidation type="list" allowBlank="1" showInputMessage="1" showErrorMessage="1" sqref="J923">
      <formula1>"$,US$,UF"</formula1>
    </dataValidation>
    <dataValidation type="list" allowBlank="1" showInputMessage="1" showErrorMessage="1" sqref="K923">
      <formula1>"Usado,Nuevo,Reacondicionado"</formula1>
    </dataValidation>
    <dataValidation type="list" allowBlank="1" showInputMessage="1" showErrorMessage="1" sqref="L923">
      <formula1>"Mercado Envíos a cargo del comprador,Mercado Envíos gratis"</formula1>
    </dataValidation>
    <dataValidation type="list" allowBlank="1" showInputMessage="1" showErrorMessage="1" sqref="M923">
      <formula1>"Clásica,Premium"</formula1>
    </dataValidation>
    <dataValidation type="list" allowBlank="1" showInputMessage="1" showErrorMessage="1" sqref="O923">
      <formula1>"Activa,Inactiva"</formula1>
    </dataValidation>
    <dataValidation type="list" allowBlank="1" showInputMessage="1" showErrorMessage="1" sqref="J924">
      <formula1>"$,US$,UF"</formula1>
    </dataValidation>
    <dataValidation type="list" allowBlank="1" showInputMessage="1" showErrorMessage="1" sqref="K924">
      <formula1>"Usado,Nuevo"</formula1>
    </dataValidation>
    <dataValidation type="list" allowBlank="1" showInputMessage="1" showErrorMessage="1" sqref="L924">
      <formula1>"Mercado Envíos a cargo del comprador,Mercado Envíos gratis"</formula1>
    </dataValidation>
    <dataValidation type="list" allowBlank="1" showInputMessage="1" showErrorMessage="1" sqref="M924">
      <formula1>"Clásica,Premium"</formula1>
    </dataValidation>
    <dataValidation type="list" allowBlank="1" showInputMessage="1" showErrorMessage="1" sqref="O924">
      <formula1>"Activa,Inactiva"</formula1>
    </dataValidation>
    <dataValidation type="list" allowBlank="1" showInputMessage="1" showErrorMessage="1" sqref="J925">
      <formula1>"$,US$,UF"</formula1>
    </dataValidation>
    <dataValidation type="list" allowBlank="1" showInputMessage="1" showErrorMessage="1" sqref="K925">
      <formula1>"Usado,Nuevo,Reacondicionado"</formula1>
    </dataValidation>
    <dataValidation type="list" allowBlank="1" showInputMessage="1" showErrorMessage="1" sqref="L925">
      <formula1>"Mercado Envíos a cargo del comprador,Mercado Envíos gratis"</formula1>
    </dataValidation>
    <dataValidation type="list" allowBlank="1" showInputMessage="1" showErrorMessage="1" sqref="M925">
      <formula1>"Clásica,Premium"</formula1>
    </dataValidation>
    <dataValidation type="list" allowBlank="1" showInputMessage="1" showErrorMessage="1" sqref="O925">
      <formula1>"Activa,Inactiva"</formula1>
    </dataValidation>
    <dataValidation type="list" allowBlank="1" showInputMessage="1" showErrorMessage="1" sqref="J926">
      <formula1>"$,US$,UF"</formula1>
    </dataValidation>
    <dataValidation type="list" allowBlank="1" showInputMessage="1" showErrorMessage="1" sqref="K926">
      <formula1>"Usado,Nuevo,Reacondicionado"</formula1>
    </dataValidation>
    <dataValidation type="list" allowBlank="1" showInputMessage="1" showErrorMessage="1" sqref="L926">
      <formula1>"Mercado Envíos a cargo del comprador,Mercado Envíos gratis"</formula1>
    </dataValidation>
    <dataValidation type="list" allowBlank="1" showInputMessage="1" showErrorMessage="1" sqref="M926">
      <formula1>"Clásica,Premium"</formula1>
    </dataValidation>
    <dataValidation type="list" allowBlank="1" showInputMessage="1" showErrorMessage="1" sqref="O926">
      <formula1>"Activa,Inactiva"</formula1>
    </dataValidation>
    <dataValidation type="list" allowBlank="1" showInputMessage="1" showErrorMessage="1" sqref="J927">
      <formula1>"$,US$,UF"</formula1>
    </dataValidation>
    <dataValidation type="list" allowBlank="1" showInputMessage="1" showErrorMessage="1" sqref="K927">
      <formula1>"Nuevo"</formula1>
    </dataValidation>
    <dataValidation type="list" allowBlank="1" showInputMessage="1" showErrorMessage="1" sqref="L927">
      <formula1>"Mercado Envíos a cargo del comprador,Mercado Envíos gratis"</formula1>
    </dataValidation>
    <dataValidation type="list" allowBlank="1" showInputMessage="1" showErrorMessage="1" sqref="M927">
      <formula1>"Clásica,Premium"</formula1>
    </dataValidation>
    <dataValidation type="list" allowBlank="1" showInputMessage="1" showErrorMessage="1" sqref="O927">
      <formula1>"Activa,Inactiva"</formula1>
    </dataValidation>
    <dataValidation type="list" allowBlank="1" showInputMessage="1" showErrorMessage="1" sqref="J928">
      <formula1>"$,US$,UF"</formula1>
    </dataValidation>
    <dataValidation type="list" allowBlank="1" showInputMessage="1" showErrorMessage="1" sqref="K928">
      <formula1>"Usado,Nuevo"</formula1>
    </dataValidation>
    <dataValidation type="list" allowBlank="1" showInputMessage="1" showErrorMessage="1" sqref="L928">
      <formula1>"Mercado Envíos a cargo del comprador,Mercado Envíos por mi cuenta"</formula1>
    </dataValidation>
    <dataValidation type="list" allowBlank="1" showInputMessage="1" showErrorMessage="1" sqref="M928">
      <formula1>"Clásica,Premium"</formula1>
    </dataValidation>
    <dataValidation type="list" allowBlank="1" showInputMessage="1" showErrorMessage="1" sqref="O928">
      <formula1>"Activa,Inactiva"</formula1>
    </dataValidation>
    <dataValidation type="list" allowBlank="1" showInputMessage="1" showErrorMessage="1" sqref="J929">
      <formula1>"$,US$,UF"</formula1>
    </dataValidation>
    <dataValidation type="list" allowBlank="1" showInputMessage="1" showErrorMessage="1" sqref="K929">
      <formula1>"Usado,Nuevo"</formula1>
    </dataValidation>
    <dataValidation type="list" allowBlank="1" showInputMessage="1" showErrorMessage="1" sqref="L929">
      <formula1>"Mercado Envíos a cargo del comprador,Mercado Envíos gratis"</formula1>
    </dataValidation>
    <dataValidation type="list" allowBlank="1" showInputMessage="1" showErrorMessage="1" sqref="M929">
      <formula1>"Clásica,Premium"</formula1>
    </dataValidation>
    <dataValidation type="list" allowBlank="1" showInputMessage="1" showErrorMessage="1" sqref="O929">
      <formula1>"Activa,Inactiva"</formula1>
    </dataValidation>
    <dataValidation type="list" allowBlank="1" showInputMessage="1" showErrorMessage="1" sqref="J930">
      <formula1>"$,US$,UF"</formula1>
    </dataValidation>
    <dataValidation type="list" allowBlank="1" showInputMessage="1" showErrorMessage="1" sqref="K930">
      <formula1>"Usado,Nuevo"</formula1>
    </dataValidation>
    <dataValidation type="list" allowBlank="1" showInputMessage="1" showErrorMessage="1" sqref="L930">
      <formula1>"Mercado Envíos a cargo del comprador,Mercado Envíos gratis"</formula1>
    </dataValidation>
    <dataValidation type="list" allowBlank="1" showInputMessage="1" showErrorMessage="1" sqref="M930">
      <formula1>"Clásica,Premium"</formula1>
    </dataValidation>
    <dataValidation type="list" allowBlank="1" showInputMessage="1" showErrorMessage="1" sqref="O930">
      <formula1>"Activa,Inactiva"</formula1>
    </dataValidation>
    <dataValidation type="list" allowBlank="1" showInputMessage="1" showErrorMessage="1" sqref="J931">
      <formula1>"$,US$,UF"</formula1>
    </dataValidation>
    <dataValidation type="list" allowBlank="1" showInputMessage="1" showErrorMessage="1" sqref="K931">
      <formula1>"Usado,Nuevo"</formula1>
    </dataValidation>
    <dataValidation type="list" allowBlank="1" showInputMessage="1" showErrorMessage="1" sqref="L931">
      <formula1>"Mercado Envíos a cargo del comprador,Mercado Envíos por mi cuenta"</formula1>
    </dataValidation>
    <dataValidation type="list" allowBlank="1" showInputMessage="1" showErrorMessage="1" sqref="M931">
      <formula1>"Clásica,Premium"</formula1>
    </dataValidation>
    <dataValidation type="list" allowBlank="1" showInputMessage="1" showErrorMessage="1" sqref="O931">
      <formula1>"Activa,Inactiva"</formula1>
    </dataValidation>
    <dataValidation type="list" allowBlank="1" showInputMessage="1" showErrorMessage="1" sqref="J932">
      <formula1>"$,US$,UF"</formula1>
    </dataValidation>
    <dataValidation type="list" allowBlank="1" showInputMessage="1" showErrorMessage="1" sqref="K932">
      <formula1>"Nuevo"</formula1>
    </dataValidation>
    <dataValidation type="list" allowBlank="1" showInputMessage="1" showErrorMessage="1" sqref="L932">
      <formula1>"Mercado Envíos a cargo del comprador,Mercado Envíos gratis"</formula1>
    </dataValidation>
    <dataValidation type="list" allowBlank="1" showInputMessage="1" showErrorMessage="1" sqref="M932">
      <formula1>"Clásica,Premium"</formula1>
    </dataValidation>
    <dataValidation type="list" allowBlank="1" showInputMessage="1" showErrorMessage="1" sqref="O932">
      <formula1>"Activa,Inactiva"</formula1>
    </dataValidation>
    <dataValidation type="list" allowBlank="1" showInputMessage="1" showErrorMessage="1" sqref="J933">
      <formula1>"$,US$,UF"</formula1>
    </dataValidation>
    <dataValidation type="list" allowBlank="1" showInputMessage="1" showErrorMessage="1" sqref="K933">
      <formula1>"Usado,Nuevo"</formula1>
    </dataValidation>
    <dataValidation type="list" allowBlank="1" showInputMessage="1" showErrorMessage="1" sqref="L933">
      <formula1>"Mercado Envíos a cargo del comprador,Mercado Envíos gratis"</formula1>
    </dataValidation>
    <dataValidation type="list" allowBlank="1" showInputMessage="1" showErrorMessage="1" sqref="M933">
      <formula1>"Clásica,Premium"</formula1>
    </dataValidation>
    <dataValidation type="list" allowBlank="1" showInputMessage="1" showErrorMessage="1" sqref="O933">
      <formula1>"Activa,Inactiva"</formula1>
    </dataValidation>
    <dataValidation type="list" allowBlank="1" showInputMessage="1" showErrorMessage="1" sqref="J934">
      <formula1>"$,US$,UF"</formula1>
    </dataValidation>
    <dataValidation type="list" allowBlank="1" showInputMessage="1" showErrorMessage="1" sqref="K934">
      <formula1>"Usado,Nuevo"</formula1>
    </dataValidation>
    <dataValidation type="list" allowBlank="1" showInputMessage="1" showErrorMessage="1" sqref="L934">
      <formula1>"Mercado Envíos a cargo del comprador,Mercado Envíos gratis"</formula1>
    </dataValidation>
    <dataValidation type="list" allowBlank="1" showInputMessage="1" showErrorMessage="1" sqref="M934">
      <formula1>"Clásica,Premium"</formula1>
    </dataValidation>
    <dataValidation type="list" allowBlank="1" showInputMessage="1" showErrorMessage="1" sqref="O934">
      <formula1>"Activa,Inactiva"</formula1>
    </dataValidation>
    <dataValidation type="list" allowBlank="1" showInputMessage="1" showErrorMessage="1" sqref="J935">
      <formula1>"$,US$,UF"</formula1>
    </dataValidation>
    <dataValidation type="list" allowBlank="1" showInputMessage="1" showErrorMessage="1" sqref="K935">
      <formula1>"Nuevo"</formula1>
    </dataValidation>
    <dataValidation type="list" allowBlank="1" showInputMessage="1" showErrorMessage="1" sqref="L935">
      <formula1>"Mercado Envíos a cargo del comprador,Mercado Envíos gratis"</formula1>
    </dataValidation>
    <dataValidation type="list" allowBlank="1" showInputMessage="1" showErrorMessage="1" sqref="M935">
      <formula1>"Clásica,Premium"</formula1>
    </dataValidation>
    <dataValidation type="list" allowBlank="1" showInputMessage="1" showErrorMessage="1" sqref="O935">
      <formula1>"Activa,Inactiva"</formula1>
    </dataValidation>
    <dataValidation type="list" allowBlank="1" showInputMessage="1" showErrorMessage="1" sqref="J936">
      <formula1>"$,US$,UF"</formula1>
    </dataValidation>
    <dataValidation type="list" allowBlank="1" showInputMessage="1" showErrorMessage="1" sqref="K936">
      <formula1>"Usado,Nuevo"</formula1>
    </dataValidation>
    <dataValidation type="list" allowBlank="1" showInputMessage="1" showErrorMessage="1" sqref="L936">
      <formula1>"Mercado Envíos a cargo del comprador,Mercado Envíos gratis"</formula1>
    </dataValidation>
    <dataValidation type="list" allowBlank="1" showInputMessage="1" showErrorMessage="1" sqref="M936">
      <formula1>"Clásica,Premium"</formula1>
    </dataValidation>
    <dataValidation type="list" allowBlank="1" showInputMessage="1" showErrorMessage="1" sqref="O936">
      <formula1>"Activa,Inactiva"</formula1>
    </dataValidation>
    <dataValidation type="list" allowBlank="1" showInputMessage="1" showErrorMessage="1" sqref="J937">
      <formula1>"$,US$,UF"</formula1>
    </dataValidation>
    <dataValidation type="list" allowBlank="1" showInputMessage="1" showErrorMessage="1" sqref="K937">
      <formula1>"Usado,Nuevo"</formula1>
    </dataValidation>
    <dataValidation type="list" allowBlank="1" showInputMessage="1" showErrorMessage="1" sqref="L937">
      <formula1>"Mercado Envíos a cargo del comprador,Mercado Envíos por mi cuenta"</formula1>
    </dataValidation>
    <dataValidation type="list" allowBlank="1" showInputMessage="1" showErrorMessage="1" sqref="M937">
      <formula1>"Clásica,Premium"</formula1>
    </dataValidation>
    <dataValidation type="list" allowBlank="1" showInputMessage="1" showErrorMessage="1" sqref="O937">
      <formula1>"Activa,Inactiva"</formula1>
    </dataValidation>
    <dataValidation type="list" allowBlank="1" showInputMessage="1" showErrorMessage="1" sqref="J938">
      <formula1>"$,US$,UF"</formula1>
    </dataValidation>
    <dataValidation type="list" allowBlank="1" showInputMessage="1" showErrorMessage="1" sqref="K938">
      <formula1>"Usado,Nuevo"</formula1>
    </dataValidation>
    <dataValidation type="list" allowBlank="1" showInputMessage="1" showErrorMessage="1" sqref="L938">
      <formula1>"Mercado Envíos a cargo del comprador,Mercado Envíos gratis"</formula1>
    </dataValidation>
    <dataValidation type="list" allowBlank="1" showInputMessage="1" showErrorMessage="1" sqref="M938">
      <formula1>"Clásica,Premium"</formula1>
    </dataValidation>
    <dataValidation type="list" allowBlank="1" showInputMessage="1" showErrorMessage="1" sqref="O938">
      <formula1>"Activa,Inactiva"</formula1>
    </dataValidation>
    <dataValidation type="list" allowBlank="1" showInputMessage="1" showErrorMessage="1" sqref="J939">
      <formula1>"$,US$,UF"</formula1>
    </dataValidation>
    <dataValidation type="list" allowBlank="1" showInputMessage="1" showErrorMessage="1" sqref="K939">
      <formula1>"Usado,Nuevo"</formula1>
    </dataValidation>
    <dataValidation type="list" allowBlank="1" showInputMessage="1" showErrorMessage="1" sqref="L939">
      <formula1>"Mercado Envíos a cargo del comprador,Mercado Envíos gratis"</formula1>
    </dataValidation>
    <dataValidation type="list" allowBlank="1" showInputMessage="1" showErrorMessage="1" sqref="M939">
      <formula1>"Clásica,Premium"</formula1>
    </dataValidation>
    <dataValidation type="list" allowBlank="1" showInputMessage="1" showErrorMessage="1" sqref="O939">
      <formula1>"Activa,Inactiva"</formula1>
    </dataValidation>
    <dataValidation type="list" allowBlank="1" showInputMessage="1" showErrorMessage="1" sqref="J940">
      <formula1>"$,US$,UF"</formula1>
    </dataValidation>
    <dataValidation type="list" allowBlank="1" showInputMessage="1" showErrorMessage="1" sqref="K940">
      <formula1>"Usado,Nuevo"</formula1>
    </dataValidation>
    <dataValidation type="list" allowBlank="1" showInputMessage="1" showErrorMessage="1" sqref="L940">
      <formula1>"Mercado Envíos a cargo del comprador,Mercado Envíos gratis"</formula1>
    </dataValidation>
    <dataValidation type="list" allowBlank="1" showInputMessage="1" showErrorMessage="1" sqref="M940">
      <formula1>"Clásica,Premium"</formula1>
    </dataValidation>
    <dataValidation type="list" allowBlank="1" showInputMessage="1" showErrorMessage="1" sqref="O940">
      <formula1>"Activa,Inactiva"</formula1>
    </dataValidation>
    <dataValidation type="list" allowBlank="1" showInputMessage="1" showErrorMessage="1" sqref="J941">
      <formula1>"$,US$,UF"</formula1>
    </dataValidation>
    <dataValidation type="list" allowBlank="1" showInputMessage="1" showErrorMessage="1" sqref="K941">
      <formula1>"Usado,Nuevo"</formula1>
    </dataValidation>
    <dataValidation type="list" allowBlank="1" showInputMessage="1" showErrorMessage="1" sqref="L941">
      <formula1>"Mercado Envíos a cargo del comprador,Mercado Envíos gratis"</formula1>
    </dataValidation>
    <dataValidation type="list" allowBlank="1" showInputMessage="1" showErrorMessage="1" sqref="M941">
      <formula1>"Clásica,Premium"</formula1>
    </dataValidation>
    <dataValidation type="list" allowBlank="1" showInputMessage="1" showErrorMessage="1" sqref="O941">
      <formula1>"Activa,Inactiva"</formula1>
    </dataValidation>
    <dataValidation type="list" allowBlank="1" showInputMessage="1" showErrorMessage="1" sqref="J942">
      <formula1>"$,US$,UF"</formula1>
    </dataValidation>
    <dataValidation type="list" allowBlank="1" showInputMessage="1" showErrorMessage="1" sqref="K942">
      <formula1>"Usado,Nuevo"</formula1>
    </dataValidation>
    <dataValidation type="list" allowBlank="1" showInputMessage="1" showErrorMessage="1" sqref="L942">
      <formula1>"Mercado Envíos a cargo del comprador,Mercado Envíos gratis"</formula1>
    </dataValidation>
    <dataValidation type="list" allowBlank="1" showInputMessage="1" showErrorMessage="1" sqref="M942">
      <formula1>"Clásica,Premium"</formula1>
    </dataValidation>
    <dataValidation type="list" allowBlank="1" showInputMessage="1" showErrorMessage="1" sqref="O942">
      <formula1>"Activa,Inactiva"</formula1>
    </dataValidation>
    <dataValidation type="list" allowBlank="1" showInputMessage="1" showErrorMessage="1" sqref="J943">
      <formula1>"$,US$,UF"</formula1>
    </dataValidation>
    <dataValidation type="list" allowBlank="1" showInputMessage="1" showErrorMessage="1" sqref="K943">
      <formula1>"Usado,Nuevo,Reacondicionado"</formula1>
    </dataValidation>
    <dataValidation type="list" allowBlank="1" showInputMessage="1" showErrorMessage="1" sqref="L943">
      <formula1>"Mercado Envíos a cargo del comprador,Mercado Envíos gratis"</formula1>
    </dataValidation>
    <dataValidation type="list" allowBlank="1" showInputMessage="1" showErrorMessage="1" sqref="M943">
      <formula1>"Clásica,Premium"</formula1>
    </dataValidation>
    <dataValidation type="list" allowBlank="1" showInputMessage="1" showErrorMessage="1" sqref="O943">
      <formula1>"Activa,Inactiva"</formula1>
    </dataValidation>
    <dataValidation type="list" allowBlank="1" showInputMessage="1" showErrorMessage="1" sqref="J944">
      <formula1>"$,US$,UF"</formula1>
    </dataValidation>
    <dataValidation type="list" allowBlank="1" showInputMessage="1" showErrorMessage="1" sqref="K944">
      <formula1>"Usado,Nuevo"</formula1>
    </dataValidation>
    <dataValidation type="list" allowBlank="1" showInputMessage="1" showErrorMessage="1" sqref="L944">
      <formula1>"Mercado Envíos a cargo del comprador,Mercado Envíos gratis"</formula1>
    </dataValidation>
    <dataValidation type="list" allowBlank="1" showInputMessage="1" showErrorMessage="1" sqref="M944">
      <formula1>"Clásica,Premium"</formula1>
    </dataValidation>
    <dataValidation type="list" allowBlank="1" showInputMessage="1" showErrorMessage="1" sqref="O944">
      <formula1>"Activa,Inactiva"</formula1>
    </dataValidation>
    <dataValidation type="list" allowBlank="1" showInputMessage="1" showErrorMessage="1" sqref="J945">
      <formula1>"$,US$,UF"</formula1>
    </dataValidation>
    <dataValidation type="list" allowBlank="1" showInputMessage="1" showErrorMessage="1" sqref="K945">
      <formula1>"Nuevo"</formula1>
    </dataValidation>
    <dataValidation type="list" allowBlank="1" showInputMessage="1" showErrorMessage="1" sqref="L945">
      <formula1>"Mercado Envíos a cargo del comprador,Mercado Envíos por mi cuenta"</formula1>
    </dataValidation>
    <dataValidation type="list" allowBlank="1" showInputMessage="1" showErrorMessage="1" sqref="M945">
      <formula1>"Clásica,Premium"</formula1>
    </dataValidation>
    <dataValidation type="list" allowBlank="1" showInputMessage="1" showErrorMessage="1" sqref="O945">
      <formula1>"Activa,Inactiva"</formula1>
    </dataValidation>
    <dataValidation type="list" allowBlank="1" showInputMessage="1" showErrorMessage="1" sqref="J946">
      <formula1>"$,US$,UF"</formula1>
    </dataValidation>
    <dataValidation type="list" allowBlank="1" showInputMessage="1" showErrorMessage="1" sqref="L946">
      <formula1>"Mercado Envíos a cargo del comprador,Mercado Envíos por mi cuenta"</formula1>
    </dataValidation>
    <dataValidation type="list" allowBlank="1" showInputMessage="1" showErrorMessage="1" sqref="M946">
      <formula1>"Clásica,Premium"</formula1>
    </dataValidation>
    <dataValidation type="list" allowBlank="1" showInputMessage="1" showErrorMessage="1" sqref="O946">
      <formula1>"Activa,Inactiva"</formula1>
    </dataValidation>
    <dataValidation type="list" allowBlank="1" showInputMessage="1" showErrorMessage="1" sqref="J947">
      <formula1>"$,US$,UF"</formula1>
    </dataValidation>
    <dataValidation type="list" allowBlank="1" showInputMessage="1" showErrorMessage="1" sqref="K947">
      <formula1>"Usado,Nuevo"</formula1>
    </dataValidation>
    <dataValidation type="list" allowBlank="1" showInputMessage="1" showErrorMessage="1" sqref="L947">
      <formula1>"Mercado Envíos a cargo del comprador,Mercado Envíos por mi cuenta"</formula1>
    </dataValidation>
    <dataValidation type="list" allowBlank="1" showInputMessage="1" showErrorMessage="1" sqref="M947">
      <formula1>"Clásica,Premium"</formula1>
    </dataValidation>
    <dataValidation type="list" allowBlank="1" showInputMessage="1" showErrorMessage="1" sqref="O947">
      <formula1>"Activa,Inactiva"</formula1>
    </dataValidation>
    <dataValidation type="list" allowBlank="1" showInputMessage="1" showErrorMessage="1" sqref="J948">
      <formula1>"$,US$,UF"</formula1>
    </dataValidation>
    <dataValidation type="list" allowBlank="1" showInputMessage="1" showErrorMessage="1" sqref="K948">
      <formula1>"Usado,Nuevo"</formula1>
    </dataValidation>
    <dataValidation type="list" allowBlank="1" showInputMessage="1" showErrorMessage="1" sqref="L948">
      <formula1>"Mercado Envíos a cargo del comprador,Mercado Envíos gratis"</formula1>
    </dataValidation>
    <dataValidation type="list" allowBlank="1" showInputMessage="1" showErrorMessage="1" sqref="M948">
      <formula1>"Clásica,Premium"</formula1>
    </dataValidation>
    <dataValidation type="list" allowBlank="1" showInputMessage="1" showErrorMessage="1" sqref="O948">
      <formula1>"Activa,Inactiva"</formula1>
    </dataValidation>
    <dataValidation type="list" allowBlank="1" showInputMessage="1" showErrorMessage="1" sqref="J949">
      <formula1>"$,US$,UF"</formula1>
    </dataValidation>
    <dataValidation type="list" allowBlank="1" showInputMessage="1" showErrorMessage="1" sqref="K949">
      <formula1>"Usado,Nuevo,Reacondicionado"</formula1>
    </dataValidation>
    <dataValidation type="list" allowBlank="1" showInputMessage="1" showErrorMessage="1" sqref="L949">
      <formula1>"Mercado Envíos a cargo del comprador,Mercado Envíos gratis"</formula1>
    </dataValidation>
    <dataValidation type="list" allowBlank="1" showInputMessage="1" showErrorMessage="1" sqref="M949">
      <formula1>"Clásica,Premium"</formula1>
    </dataValidation>
    <dataValidation type="list" allowBlank="1" showInputMessage="1" showErrorMessage="1" sqref="O949">
      <formula1>"Activa,Inactiva"</formula1>
    </dataValidation>
    <dataValidation type="list" allowBlank="1" showInputMessage="1" showErrorMessage="1" sqref="J950">
      <formula1>"$,US$,UF"</formula1>
    </dataValidation>
    <dataValidation type="list" allowBlank="1" showInputMessage="1" showErrorMessage="1" sqref="K950">
      <formula1>"Usado,Nuevo"</formula1>
    </dataValidation>
    <dataValidation type="list" allowBlank="1" showInputMessage="1" showErrorMessage="1" sqref="L950">
      <formula1>"Mercado Envíos a cargo del comprador,Mercado Envíos gratis"</formula1>
    </dataValidation>
    <dataValidation type="list" allowBlank="1" showInputMessage="1" showErrorMessage="1" sqref="M950">
      <formula1>"Clásica,Premium"</formula1>
    </dataValidation>
    <dataValidation type="list" allowBlank="1" showInputMessage="1" showErrorMessage="1" sqref="O950">
      <formula1>"Activa,Inactiva"</formula1>
    </dataValidation>
    <dataValidation type="list" allowBlank="1" showInputMessage="1" showErrorMessage="1" sqref="J951">
      <formula1>"$,US$,UF"</formula1>
    </dataValidation>
    <dataValidation type="list" allowBlank="1" showInputMessage="1" showErrorMessage="1" sqref="K951">
      <formula1>"Usado,Nuevo"</formula1>
    </dataValidation>
    <dataValidation type="list" allowBlank="1" showInputMessage="1" showErrorMessage="1" sqref="L951">
      <formula1>"Mercado Envíos a cargo del comprador,Mercado Envíos gratis"</formula1>
    </dataValidation>
    <dataValidation type="list" allowBlank="1" showInputMessage="1" showErrorMessage="1" sqref="M951">
      <formula1>"Clásica,Premium"</formula1>
    </dataValidation>
    <dataValidation type="list" allowBlank="1" showInputMessage="1" showErrorMessage="1" sqref="O951">
      <formula1>"Activa,Inactiva"</formula1>
    </dataValidation>
    <dataValidation type="list" allowBlank="1" showInputMessage="1" showErrorMessage="1" sqref="J952">
      <formula1>"$,US$,UF"</formula1>
    </dataValidation>
    <dataValidation type="list" allowBlank="1" showInputMessage="1" showErrorMessage="1" sqref="K952">
      <formula1>"Usado,Nuevo"</formula1>
    </dataValidation>
    <dataValidation type="list" allowBlank="1" showInputMessage="1" showErrorMessage="1" sqref="L952">
      <formula1>"Mercado Envíos a cargo del comprador,Mercado Envíos por mi cuenta"</formula1>
    </dataValidation>
    <dataValidation type="list" allowBlank="1" showInputMessage="1" showErrorMessage="1" sqref="M952">
      <formula1>"Clásica,Premium"</formula1>
    </dataValidation>
    <dataValidation type="list" allowBlank="1" showInputMessage="1" showErrorMessage="1" sqref="O952">
      <formula1>"Activa,Inactiva"</formula1>
    </dataValidation>
    <dataValidation type="list" allowBlank="1" showInputMessage="1" showErrorMessage="1" sqref="J953">
      <formula1>"$,US$,UF"</formula1>
    </dataValidation>
    <dataValidation type="list" allowBlank="1" showInputMessage="1" showErrorMessage="1" sqref="K953">
      <formula1>"Usado,Nuevo"</formula1>
    </dataValidation>
    <dataValidation type="list" allowBlank="1" showInputMessage="1" showErrorMessage="1" sqref="L953">
      <formula1>"Mercado Envíos a cargo del comprador,Mercado Envíos gratis"</formula1>
    </dataValidation>
    <dataValidation type="list" allowBlank="1" showInputMessage="1" showErrorMessage="1" sqref="M953">
      <formula1>"Clásica,Premium"</formula1>
    </dataValidation>
    <dataValidation type="list" allowBlank="1" showInputMessage="1" showErrorMessage="1" sqref="O953">
      <formula1>"Activa,Inactiva"</formula1>
    </dataValidation>
    <dataValidation type="list" allowBlank="1" showInputMessage="1" showErrorMessage="1" sqref="J954">
      <formula1>"$,US$,UF"</formula1>
    </dataValidation>
    <dataValidation type="list" allowBlank="1" showInputMessage="1" showErrorMessage="1" sqref="K954">
      <formula1>"Usado,Nuevo,Reacondicionado"</formula1>
    </dataValidation>
    <dataValidation type="list" allowBlank="1" showInputMessage="1" showErrorMessage="1" sqref="L954">
      <formula1>"Mercado Envíos a cargo del comprador,Mercado Envíos gratis"</formula1>
    </dataValidation>
    <dataValidation type="list" allowBlank="1" showInputMessage="1" showErrorMessage="1" sqref="M954">
      <formula1>"Clásica,Premium"</formula1>
    </dataValidation>
    <dataValidation type="list" allowBlank="1" showInputMessage="1" showErrorMessage="1" sqref="O954">
      <formula1>"Activa,Inactiva"</formula1>
    </dataValidation>
    <dataValidation type="list" allowBlank="1" showInputMessage="1" showErrorMessage="1" sqref="J955">
      <formula1>"$,US$,UF"</formula1>
    </dataValidation>
    <dataValidation type="list" allowBlank="1" showInputMessage="1" showErrorMessage="1" sqref="K955">
      <formula1>"Usado,Nuevo"</formula1>
    </dataValidation>
    <dataValidation type="list" allowBlank="1" showInputMessage="1" showErrorMessage="1" sqref="L955">
      <formula1>"Mercado Envíos a cargo del comprador,Mercado Envíos gratis"</formula1>
    </dataValidation>
    <dataValidation type="list" allowBlank="1" showInputMessage="1" showErrorMessage="1" sqref="M955">
      <formula1>"Clásica,Premium"</formula1>
    </dataValidation>
    <dataValidation type="list" allowBlank="1" showInputMessage="1" showErrorMessage="1" sqref="O955">
      <formula1>"Activa,Inactiva"</formula1>
    </dataValidation>
    <dataValidation type="list" allowBlank="1" showInputMessage="1" showErrorMessage="1" sqref="J956">
      <formula1>"$,US$,UF"</formula1>
    </dataValidation>
    <dataValidation type="list" allowBlank="1" showInputMessage="1" showErrorMessage="1" sqref="K956">
      <formula1>"Usado,Nuevo"</formula1>
    </dataValidation>
    <dataValidation type="list" allowBlank="1" showInputMessage="1" showErrorMessage="1" sqref="L956">
      <formula1>"Mercado Envíos a cargo del comprador,Mercado Envíos gratis"</formula1>
    </dataValidation>
    <dataValidation type="list" allowBlank="1" showInputMessage="1" showErrorMessage="1" sqref="M956">
      <formula1>"Clásica,Premium"</formula1>
    </dataValidation>
    <dataValidation type="list" allowBlank="1" showInputMessage="1" showErrorMessage="1" sqref="O956">
      <formula1>"Activa,Inactiva"</formula1>
    </dataValidation>
    <dataValidation type="list" allowBlank="1" showInputMessage="1" showErrorMessage="1" sqref="J957">
      <formula1>"$,US$,UF"</formula1>
    </dataValidation>
    <dataValidation type="list" allowBlank="1" showInputMessage="1" showErrorMessage="1" sqref="K957">
      <formula1>"Usado,Nuevo"</formula1>
    </dataValidation>
    <dataValidation type="list" allowBlank="1" showInputMessage="1" showErrorMessage="1" sqref="L957">
      <formula1>"Mercado Envíos a cargo del comprador,Mercado Envíos gratis"</formula1>
    </dataValidation>
    <dataValidation type="list" allowBlank="1" showInputMessage="1" showErrorMessage="1" sqref="M957">
      <formula1>"Clásica,Premium"</formula1>
    </dataValidation>
    <dataValidation type="list" allowBlank="1" showInputMessage="1" showErrorMessage="1" sqref="O957">
      <formula1>"Activa,Inactiva"</formula1>
    </dataValidation>
    <dataValidation type="list" allowBlank="1" showInputMessage="1" showErrorMessage="1" sqref="J958">
      <formula1>"$,US$,UF"</formula1>
    </dataValidation>
    <dataValidation type="list" allowBlank="1" showInputMessage="1" showErrorMessage="1" sqref="K958">
      <formula1>"Usado,Nuevo"</formula1>
    </dataValidation>
    <dataValidation type="list" allowBlank="1" showInputMessage="1" showErrorMessage="1" sqref="L958">
      <formula1>"Mercado Envíos a cargo del comprador,Mercado Envíos por mi cuenta"</formula1>
    </dataValidation>
    <dataValidation type="list" allowBlank="1" showInputMessage="1" showErrorMessage="1" sqref="M958">
      <formula1>"Clásica,Premium"</formula1>
    </dataValidation>
    <dataValidation type="list" allowBlank="1" showInputMessage="1" showErrorMessage="1" sqref="O958">
      <formula1>"Activa,Inactiva"</formula1>
    </dataValidation>
    <dataValidation type="list" allowBlank="1" showInputMessage="1" showErrorMessage="1" sqref="J959">
      <formula1>"$,US$,UF"</formula1>
    </dataValidation>
    <dataValidation type="list" allowBlank="1" showInputMessage="1" showErrorMessage="1" sqref="K959">
      <formula1>"Nuevo"</formula1>
    </dataValidation>
    <dataValidation type="list" allowBlank="1" showInputMessage="1" showErrorMessage="1" sqref="L959">
      <formula1>"Mercado Envíos a cargo del comprador,Mercado Envíos gratis"</formula1>
    </dataValidation>
    <dataValidation type="list" allowBlank="1" showInputMessage="1" showErrorMessage="1" sqref="M959">
      <formula1>"Clásica,Premium"</formula1>
    </dataValidation>
    <dataValidation type="list" allowBlank="1" showInputMessage="1" showErrorMessage="1" sqref="O959">
      <formula1>"Activa,Inactiva"</formula1>
    </dataValidation>
    <dataValidation type="list" allowBlank="1" showInputMessage="1" showErrorMessage="1" sqref="J960">
      <formula1>"$,US$,UF"</formula1>
    </dataValidation>
    <dataValidation type="list" allowBlank="1" showInputMessage="1" showErrorMessage="1" sqref="K960">
      <formula1>"Usado,Nuevo"</formula1>
    </dataValidation>
    <dataValidation type="list" allowBlank="1" showInputMessage="1" showErrorMessage="1" sqref="L960">
      <formula1>"Mercado Envíos a cargo del comprador,Mercado Envíos gratis"</formula1>
    </dataValidation>
    <dataValidation type="list" allowBlank="1" showInputMessage="1" showErrorMessage="1" sqref="M960">
      <formula1>"Clásica,Premium"</formula1>
    </dataValidation>
    <dataValidation type="list" allowBlank="1" showInputMessage="1" showErrorMessage="1" sqref="O960">
      <formula1>"Activa,Inactiva"</formula1>
    </dataValidation>
    <dataValidation type="list" allowBlank="1" showInputMessage="1" showErrorMessage="1" sqref="J961">
      <formula1>"$,US$,UF"</formula1>
    </dataValidation>
    <dataValidation type="list" allowBlank="1" showInputMessage="1" showErrorMessage="1" sqref="K961">
      <formula1>"Nuevo"</formula1>
    </dataValidation>
    <dataValidation type="list" allowBlank="1" showInputMessage="1" showErrorMessage="1" sqref="L961">
      <formula1>"Mercado Envíos a cargo del comprador,Mercado Envíos gratis"</formula1>
    </dataValidation>
    <dataValidation type="list" allowBlank="1" showInputMessage="1" showErrorMessage="1" sqref="M961">
      <formula1>"Clásica,Premium"</formula1>
    </dataValidation>
    <dataValidation type="list" allowBlank="1" showInputMessage="1" showErrorMessage="1" sqref="O961">
      <formula1>"Activa,Inactiva"</formula1>
    </dataValidation>
    <dataValidation type="list" allowBlank="1" showInputMessage="1" showErrorMessage="1" sqref="J962">
      <formula1>"$,US$,UF"</formula1>
    </dataValidation>
    <dataValidation type="list" allowBlank="1" showInputMessage="1" showErrorMessage="1" sqref="K962">
      <formula1>"Nuevo"</formula1>
    </dataValidation>
    <dataValidation type="list" allowBlank="1" showInputMessage="1" showErrorMessage="1" sqref="L962">
      <formula1>"Mercado Envíos a cargo del comprador,Mercado Envíos gratis"</formula1>
    </dataValidation>
    <dataValidation type="list" allowBlank="1" showInputMessage="1" showErrorMessage="1" sqref="M962">
      <formula1>"Clásica,Premium"</formula1>
    </dataValidation>
    <dataValidation type="list" allowBlank="1" showInputMessage="1" showErrorMessage="1" sqref="O962">
      <formula1>"Activa,Inactiva"</formula1>
    </dataValidation>
    <dataValidation type="list" allowBlank="1" showInputMessage="1" showErrorMessage="1" sqref="J963">
      <formula1>"$,US$,UF"</formula1>
    </dataValidation>
    <dataValidation type="list" allowBlank="1" showInputMessage="1" showErrorMessage="1" sqref="K963">
      <formula1>"Nuevo"</formula1>
    </dataValidation>
    <dataValidation type="list" allowBlank="1" showInputMessage="1" showErrorMessage="1" sqref="L963">
      <formula1>"Mercado Envíos a cargo del comprador,Mercado Envíos gratis"</formula1>
    </dataValidation>
    <dataValidation type="list" allowBlank="1" showInputMessage="1" showErrorMessage="1" sqref="M963">
      <formula1>"Clásica,Premium"</formula1>
    </dataValidation>
    <dataValidation type="list" allowBlank="1" showInputMessage="1" showErrorMessage="1" sqref="O963">
      <formula1>"Activa,Inactiva"</formula1>
    </dataValidation>
    <dataValidation type="list" allowBlank="1" showInputMessage="1" showErrorMessage="1" sqref="J964">
      <formula1>"$,US$,UF"</formula1>
    </dataValidation>
    <dataValidation type="list" allowBlank="1" showInputMessage="1" showErrorMessage="1" sqref="K964">
      <formula1>"Usado,Nuevo"</formula1>
    </dataValidation>
    <dataValidation type="list" allowBlank="1" showInputMessage="1" showErrorMessage="1" sqref="L964">
      <formula1>"Mercado Envíos a cargo del comprador,Mercado Envíos gratis"</formula1>
    </dataValidation>
    <dataValidation type="list" allowBlank="1" showInputMessage="1" showErrorMessage="1" sqref="M964">
      <formula1>"Clásica,Premium"</formula1>
    </dataValidation>
    <dataValidation type="list" allowBlank="1" showInputMessage="1" showErrorMessage="1" sqref="O964">
      <formula1>"Activa,Inactiva"</formula1>
    </dataValidation>
    <dataValidation type="list" allowBlank="1" showInputMessage="1" showErrorMessage="1" sqref="J965">
      <formula1>"$,US$,UF"</formula1>
    </dataValidation>
    <dataValidation type="list" allowBlank="1" showInputMessage="1" showErrorMessage="1" sqref="K965">
      <formula1>"Nuevo"</formula1>
    </dataValidation>
    <dataValidation type="list" allowBlank="1" showInputMessage="1" showErrorMessage="1" sqref="L965">
      <formula1>"Mercado Envíos a cargo del comprador,Mercado Envíos gratis"</formula1>
    </dataValidation>
    <dataValidation type="list" allowBlank="1" showInputMessage="1" showErrorMessage="1" sqref="M965">
      <formula1>"Clásica,Premium"</formula1>
    </dataValidation>
    <dataValidation type="list" allowBlank="1" showInputMessage="1" showErrorMessage="1" sqref="O965">
      <formula1>"Activa,Inactiva"</formula1>
    </dataValidation>
    <dataValidation type="list" allowBlank="1" showInputMessage="1" showErrorMessage="1" sqref="J966">
      <formula1>"$,US$,UF"</formula1>
    </dataValidation>
    <dataValidation type="list" allowBlank="1" showInputMessage="1" showErrorMessage="1" sqref="K966">
      <formula1>"Nuevo"</formula1>
    </dataValidation>
    <dataValidation type="list" allowBlank="1" showInputMessage="1" showErrorMessage="1" sqref="L966">
      <formula1>"Mercado Envíos a cargo del comprador,Mercado Envíos gratis"</formula1>
    </dataValidation>
    <dataValidation type="list" allowBlank="1" showInputMessage="1" showErrorMessage="1" sqref="M966">
      <formula1>"Clásica,Premium"</formula1>
    </dataValidation>
    <dataValidation type="list" allowBlank="1" showInputMessage="1" showErrorMessage="1" sqref="O966">
      <formula1>"Activa,Inactiva"</formula1>
    </dataValidation>
    <dataValidation type="list" allowBlank="1" showInputMessage="1" showErrorMessage="1" sqref="J967">
      <formula1>"$,US$,UF"</formula1>
    </dataValidation>
    <dataValidation type="list" allowBlank="1" showInputMessage="1" showErrorMessage="1" sqref="K967">
      <formula1>"Usado,Nuevo"</formula1>
    </dataValidation>
    <dataValidation type="list" allowBlank="1" showInputMessage="1" showErrorMessage="1" sqref="L967">
      <formula1>"Mercado Envíos a cargo del comprador,Mercado Envíos por mi cuenta"</formula1>
    </dataValidation>
    <dataValidation type="list" allowBlank="1" showInputMessage="1" showErrorMessage="1" sqref="M967">
      <formula1>"Clásica,Premium"</formula1>
    </dataValidation>
    <dataValidation type="list" allowBlank="1" showInputMessage="1" showErrorMessage="1" sqref="O967">
      <formula1>"Activa,Inactiva"</formula1>
    </dataValidation>
    <dataValidation type="list" allowBlank="1" showInputMessage="1" showErrorMessage="1" sqref="J968">
      <formula1>"$,US$,UF"</formula1>
    </dataValidation>
    <dataValidation type="list" allowBlank="1" showInputMessage="1" showErrorMessage="1" sqref="K968">
      <formula1>"Usado,Nuevo"</formula1>
    </dataValidation>
    <dataValidation type="list" allowBlank="1" showInputMessage="1" showErrorMessage="1" sqref="L968">
      <formula1>"Mercado Envíos a cargo del comprador,Mercado Envíos gratis"</formula1>
    </dataValidation>
    <dataValidation type="list" allowBlank="1" showInputMessage="1" showErrorMessage="1" sqref="M968">
      <formula1>"Clásica,Premium"</formula1>
    </dataValidation>
    <dataValidation type="list" allowBlank="1" showInputMessage="1" showErrorMessage="1" sqref="O968">
      <formula1>"Activa,Inactiva"</formula1>
    </dataValidation>
    <dataValidation type="list" allowBlank="1" showInputMessage="1" showErrorMessage="1" sqref="J969">
      <formula1>"$,US$,UF"</formula1>
    </dataValidation>
    <dataValidation type="list" allowBlank="1" showInputMessage="1" showErrorMessage="1" sqref="K969">
      <formula1>"Usado,Nuevo"</formula1>
    </dataValidation>
    <dataValidation type="list" allowBlank="1" showInputMessage="1" showErrorMessage="1" sqref="L969">
      <formula1>"Mercado Envíos a cargo del comprador,Mercado Envíos gratis"</formula1>
    </dataValidation>
    <dataValidation type="list" allowBlank="1" showInputMessage="1" showErrorMessage="1" sqref="M969">
      <formula1>"Clásica,Premium"</formula1>
    </dataValidation>
    <dataValidation type="list" allowBlank="1" showInputMessage="1" showErrorMessage="1" sqref="O969">
      <formula1>"Activa,Inactiva"</formula1>
    </dataValidation>
    <dataValidation type="list" allowBlank="1" showInputMessage="1" showErrorMessage="1" sqref="J970">
      <formula1>"$,US$,UF"</formula1>
    </dataValidation>
    <dataValidation type="list" allowBlank="1" showInputMessage="1" showErrorMessage="1" sqref="K970">
      <formula1>"Usado,Nuevo"</formula1>
    </dataValidation>
    <dataValidation type="list" allowBlank="1" showInputMessage="1" showErrorMessage="1" sqref="L970">
      <formula1>"Mercado Envíos a cargo del comprador,Mercado Envíos gratis"</formula1>
    </dataValidation>
    <dataValidation type="list" allowBlank="1" showInputMessage="1" showErrorMessage="1" sqref="M970">
      <formula1>"Clásica,Premium"</formula1>
    </dataValidation>
    <dataValidation type="list" allowBlank="1" showInputMessage="1" showErrorMessage="1" sqref="O970">
      <formula1>"Activa,Inactiva"</formula1>
    </dataValidation>
    <dataValidation type="list" allowBlank="1" showInputMessage="1" showErrorMessage="1" sqref="J971">
      <formula1>"$,US$,UF"</formula1>
    </dataValidation>
    <dataValidation type="list" allowBlank="1" showInputMessage="1" showErrorMessage="1" sqref="K971">
      <formula1>"Usado,Nuevo,Reacondicionado"</formula1>
    </dataValidation>
    <dataValidation type="list" allowBlank="1" showInputMessage="1" showErrorMessage="1" sqref="L971">
      <formula1>"Mercado Envíos a cargo del comprador,Mercado Envíos gratis"</formula1>
    </dataValidation>
    <dataValidation type="list" allowBlank="1" showInputMessage="1" showErrorMessage="1" sqref="M971">
      <formula1>"Clásica,Premium"</formula1>
    </dataValidation>
    <dataValidation type="list" allowBlank="1" showInputMessage="1" showErrorMessage="1" sqref="O971">
      <formula1>"Activa,Inactiva"</formula1>
    </dataValidation>
    <dataValidation type="list" allowBlank="1" showInputMessage="1" showErrorMessage="1" sqref="J972">
      <formula1>"$,US$,UF"</formula1>
    </dataValidation>
    <dataValidation type="list" allowBlank="1" showInputMessage="1" showErrorMessage="1" sqref="K972">
      <formula1>"Usado,Nuevo"</formula1>
    </dataValidation>
    <dataValidation type="list" allowBlank="1" showInputMessage="1" showErrorMessage="1" sqref="L972">
      <formula1>"Mercado Envíos a cargo del comprador,Mercado Envíos gratis"</formula1>
    </dataValidation>
    <dataValidation type="list" allowBlank="1" showInputMessage="1" showErrorMessage="1" sqref="M972">
      <formula1>"Clásica,Premium"</formula1>
    </dataValidation>
    <dataValidation type="list" allowBlank="1" showInputMessage="1" showErrorMessage="1" sqref="O972">
      <formula1>"Activa,Inactiva"</formula1>
    </dataValidation>
  </dataValidations>
  <hyperlinks>
    <hyperlink ref="K5" r:id="rId1"/>
  </hyperlinks>
  <pageMargins left="0.7" right="0.7" top="0.75" bottom="0.75" header="0.3" footer="0.3"/>
  <ignoredErrors>
    <ignoredError sqref="A4:A10001 B4:B10001 C4:C10001 D4:D10001 E4:E10001 F4:F10001 G4:G10001 H4:H10001 I4:I10001 J4:J10001 K4:K10001 L4:L10001 M4:M10001 N4:N10001 O4:O10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Ayuda</vt:lpstr>
      <vt:lpstr>Publicaciones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Guerrero Bastias</cp:lastModifiedBy>
  <dcterms:modified xsi:type="dcterms:W3CDTF">2026-02-20T02:57:22Z</dcterms:modified>
</cp:coreProperties>
</file>